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795c621e8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88626d34d5848a0"/>
    <x:sheet xmlns:r="http://schemas.openxmlformats.org/officeDocument/2006/relationships" name="充放电量" sheetId="2" r:id="Rec456b8b2d29451c"/>
    <x:sheet xmlns:r="http://schemas.openxmlformats.org/officeDocument/2006/relationships" name="紧急购电量" sheetId="4" r:id="R44fdff0f023040c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<x:sst xmlns:x="http://schemas.openxmlformats.org/spreadsheetml/2006/main">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</x:sst>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right" vertical="center"/>
    </x:xf>
    <x:xf numFmtId="200" fontId="3" fillId="0" borderId="2" xfId="0" applyNumberFormat="1" applyFont="1" applyFill="1" applyBorder="1" applyAlignment="1">
      <x:alignment horizontal="right" vertical="center"/>
    </x:xf>
    <x:xf numFmtId="200" fontId="3" fillId="0" borderId="6" xfId="0" applyNumberFormat="1" applyFont="1" applyFill="1" applyBorder="1" applyAlignment="1">
      <x:alignment horizontal="right" vertical="center"/>
    </x:xf>
    <x:xf numFmtId="200" fontId="3" fillId="0" borderId="3" xfId="0" applyNumberFormat="1" applyFont="1" applyFill="1" applyBorder="1" applyAlignment="1">
      <x:alignment horizontal="right" vertical="center"/>
    </x:xf>
    <x:xf numFmtId="200" fontId="3" fillId="0" borderId="7" xfId="0" applyNumberFormat="1" applyFont="1" applyFill="1" applyBorder="1" applyAlignment="1">
      <x:alignment horizontal="right" vertical="center"/>
    </x:xf>
    <x:xf numFmtId="200" fontId="3" fillId="0" borderId="4" xfId="0" applyNumberFormat="1" applyFont="1" applyFill="1" applyBorder="1" applyAlignment="1">
      <x:alignment horizontal="right" vertical="center"/>
    </x:xf>
    <x:xf numFmtId="200" fontId="3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1" fontId="3" fillId="0" borderId="9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right" vertical="center"/>
    </x:xf>
    <x:xf numFmtId="20" fontId="3" fillId="0" borderId="9" xfId="0" applyNumberFormat="1" applyFont="1" applyFill="1" applyBorder="1" applyAlignment="1">
      <x:alignment horizontal="center" vertical="center"/>
    </x:xf>
    <x:xf numFmtId="201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right" vertical="center"/>
    </x:xf>
    <x:xf numFmtId="49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vertical="center"/>
    </x:xf>
    <x:xf numFmtId="201" fontId="3" fillId="0" borderId="11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right" vertical="center"/>
    </x:xf>
    <x:xf numFmtId="0" fontId="3" fillId="0" borderId="11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horizontal="center" vertical="center"/>
    </x:xf>
    <x:xf numFmtId="200" fontId="3" fillId="0" borderId="8" xfId="0" applyNumberFormat="1" applyFont="1" applyFill="1" applyBorder="1" applyAlignment="1">
      <x:alignment horizontal="right" vertical="center"/>
    </x:xf>
    <x:xf numFmtId="201" fontId="0" fillId="0" borderId="1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horizontal="right" vertical="center"/>
    </x:xf>
    <x:xf numFmtId="0" fontId="0" fillId="0" borderId="10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200" fontId="0" fillId="0" borderId="11" xfId="0" applyNumberFormat="1" applyFont="1" applyFill="1" applyBorder="1" applyAlignment="1">
      <x:alignment horizontal="right" vertical="center"/>
    </x:xf>
    <x:xf numFmtId="0" fontId="0" fillId="0" borderId="11" xfId="0" applyNumberFormat="1" applyFont="1" applyFill="1" applyBorder="1" applyAlignment="1">
      <x:alignment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200" fontId="3" fillId="0" borderId="12" xfId="0" applyNumberFormat="1" applyFont="1" applyFill="1" applyBorder="1" applyAlignment="1">
      <x:alignment horizontal="right" vertical="center"/>
    </x:xf>
    <x:xf numFmtId="20" fontId="3" fillId="0" borderId="12" xfId="0" applyNumberFormat="1" applyFont="1" applyFill="1" applyBorder="1" applyAlignment="1">
      <x:alignment horizontal="center" vertical="center"/>
    </x:xf>
    <x:xf numFmtId="201" fontId="3" fillId="0" borderId="13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200" fontId="3" fillId="0" borderId="13" xfId="0" applyNumberFormat="1" applyFont="1" applyFill="1" applyBorder="1" applyAlignment="1">
      <x:alignment horizontal="right" vertical="center"/>
    </x:xf>
    <x:xf numFmtId="0" fontId="3" fillId="0" borderId="13" xfId="0" applyNumberFormat="1" applyFont="1" applyFill="1" applyBorder="1" applyAlignment="1">
      <x:alignment vertical="center"/>
    </x:xf>
    <x:xf numFmtId="201" fontId="3" fillId="0" borderId="14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200" fontId="3" fillId="0" borderId="14" xfId="0" applyNumberFormat="1" applyFont="1" applyFill="1" applyBorder="1" applyAlignment="1">
      <x:alignment horizontal="right" vertical="center"/>
    </x:xf>
    <x:xf numFmtId="0" fontId="3" fillId="0" borderId="14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3" xfId="0" applyNumberFormat="1" applyFont="1" applyFill="1" applyBorder="1" applyAlignment="1">
      <x:alignment horizontal="right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horizontal="right" vertical="center"/>
    </x:xf>
    <x:xf numFmtId="0" fontId="0" fillId="0" borderId="12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0" fontId="3" fillId="0" borderId="15" xfId="0" applyNumberFormat="1" applyFont="1" applyFill="1" applyBorder="1" applyAlignment="1">
      <x:alignment horizontal="center" vertical="center"/>
    </x:xf>
    <x:xf numFmtId="201" fontId="3" fillId="0" borderId="15" xfId="0" applyNumberFormat="1" applyFont="1" applyFill="1" applyBorder="1" applyAlignment="1">
      <x:alignment horizontal="center" vertical="center"/>
    </x:xf>
    <x:xf numFmtId="200" fontId="3" fillId="0" borderId="15" xfId="0" applyNumberFormat="1" applyFont="1" applyFill="1" applyBorder="1" applyAlignment="1">
      <x:alignment horizontal="right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a383d328e4cde" /><Relationship Type="http://schemas.openxmlformats.org/officeDocument/2006/relationships/theme" Target="/xl/theme/theme1.xml" Id="Rb9af505cc80b499e" /><Relationship Type="http://schemas.openxmlformats.org/officeDocument/2006/relationships/sharedStrings" Target="/xl/sharedStrings.xml" Id="Rd465af2182814f10" /><Relationship Type="http://schemas.openxmlformats.org/officeDocument/2006/relationships/worksheet" Target="/xl/worksheets/sheet1.xml" Id="R488626d34d5848a0" /><Relationship Type="http://schemas.openxmlformats.org/officeDocument/2006/relationships/worksheet" Target="/xl/worksheets/sheet2.xml" Id="Rec456b8b2d29451c" /><Relationship Type="http://schemas.openxmlformats.org/officeDocument/2006/relationships/worksheet" Target="/xl/worksheets/sheet3.xml" Id="R44fdff0f023040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23" hidden="0" customWidth="1"/>
    <x:col min="147" max="147" width="23" hidden="0" customWidth="1"/>
  </x:cols>
  <x:sheetData>
    <x:row r="1" s="21" customFormat="1" ht="32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440.38260904947913</x:v>
      </x:c>
      <x:c r="C2" s="23" t="n">
        <x:v>442.3250732421875</x:v>
      </x:c>
      <x:c r="D2" s="23" t="n">
        <x:v>1294.8314615885415</x:v>
      </x:c>
      <x:c r="E2" s="23" t="n">
        <x:v>1297.7744140625</x:v>
      </x:c>
      <x:c r="F2" s="23" t="n">
        <x:v>468.1606038411458</x:v>
      </x:c>
      <x:c r="G2" s="23" t="n">
        <x:v>486.14774576822913</x:v>
      </x:c>
      <x:c r="H2" s="23" t="n">
        <x:v>471.02652994791663</x:v>
      </x:c>
      <x:c r="I2" s="23" t="n">
        <x:v>470.1337483723958</x:v>
      </x:c>
      <x:c r="J2" s="23" t="n">
        <x:v>1295.4132080078125</x:v>
      </x:c>
      <x:c r="K2" s="23" t="n">
        <x:v>654.9259940329212</x:v>
      </x:c>
      <x:c r="L2" s="23" t="n">
        <x:v>493.7271321614583</x:v>
      </x:c>
      <x:c r="M2" s="23" t="n">
        <x:v>1342.2968343098958</x:v>
      </x:c>
      <x:c r="N2" s="23" t="n">
        <x:v>1326.4803466796875</x:v>
      </x:c>
      <x:c r="O2" s="23" t="n">
        <x:v>488.24491373697913</x:v>
      </x:c>
      <x:c r="P2" s="23" t="n">
        <x:v>494.8445638020833</x:v>
      </x:c>
      <x:c r="Q2" s="23" t="n">
        <x:v>487.1859944661458</x:v>
      </x:c>
      <x:c r="R2" s="23" t="n">
        <x:v>1321.8275960286458</x:v>
      </x:c>
      <x:c r="S2" s="23" t="n">
        <x:v>502.5550130208333</x:v>
      </x:c>
      <x:c r="T2" s="23" t="n">
        <x:v>521.8339436848958</x:v>
      </x:c>
      <x:c r="U2" s="23" t="n">
        <x:v>491.7464192708333</x:v>
      </x:c>
      <x:c r="V2" s="23" t="n">
        <x:v>491.8736165364583</x:v>
      </x:c>
      <x:c r="W2" s="23" t="n">
        <x:v>493.50830078125</x:v>
      </x:c>
      <x:c r="X2" s="23" t="n">
        <x:v>523.7593180338541</x:v>
      </x:c>
      <x:c r="Y2" s="23" t="n">
        <x:v>553.2871500651041</x:v>
      </x:c>
      <x:c r="Z2" s="23" t="n">
        <x:v>545.5615641276041</x:v>
      </x:c>
      <x:c r="AA2" s="23" t="n">
        <x:v>526.5242106119791</x:v>
      </x:c>
      <x:c r="AB2" s="23" t="n">
        <x:v>528.5094807942708</x:v>
      </x:c>
      <x:c r="AC2" s="23" t="n">
        <x:v>548.9681803385416</x:v>
      </x:c>
      <x:c r="AD2" s="23" t="n">
        <x:v>556.8016357421875</x:v>
      </x:c>
      <x:c r="AE2" s="23" t="n">
        <x:v>547.658447265625</x:v>
      </x:c>
      <x:c r="AF2" s="23" t="n">
        <x:v>547.710205078125</x:v>
      </x:c>
      <x:c r="AG2" s="23" t="n">
        <x:v>556.2519938151041</x:v>
      </x:c>
      <x:c r="AH2" s="23" t="n">
        <x:v>545.9093831380208</x:v>
      </x:c>
      <x:c r="AI2" s="23" t="n">
        <x:v>552.81396484375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395.6459548204475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0</x:v>
      </x:c>
      <x:c r="BV2" s="23" t="n">
        <x:v>0</x:v>
      </x:c>
      <x:c r="BW2" s="23" t="n">
        <x:v>0</x:v>
      </x:c>
      <x:c r="BX2" s="23" t="n">
        <x:v>0</x:v>
      </x:c>
      <x:c r="BY2" s="23" t="n">
        <x:v>0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4.42345531029908</x:v>
      </x:c>
      <x:c r="CO2" s="23" t="n">
        <x:v>53.349925990867476</x:v>
      </x:c>
      <x:c r="CP2" s="23" t="n">
        <x:v>94.79720768412744</x:v>
      </x:c>
      <x:c r="CQ2" s="23" t="n">
        <x:v>163.46199627797398</x:v>
      </x:c>
      <x:c r="CR2" s="23" t="n">
        <x:v>221.21593470733507</x:v>
      </x:c>
      <x:c r="CS2" s="23" t="n">
        <x:v>260.0531967941495</x:v>
      </x:c>
      <x:c r="CT2" s="23" t="n">
        <x:v>282.4596294050924</x:v>
      </x:c>
      <x:c r="CU2" s="23" t="n">
        <x:v>338.07949598786223</x:v>
      </x:c>
      <x:c r="CV2" s="23" t="n">
        <x:v>416.5384192028533</x:v>
      </x:c>
      <x:c r="CW2" s="23" t="n">
        <x:v>453.7105195933117</x:v>
      </x:c>
      <x:c r="CX2" s="23" t="n">
        <x:v>436.0247055830964</x:v>
      </x:c>
      <x:c r="CY2" s="23" t="n">
        <x:v>409.2726844167456</x:v>
      </x:c>
      <x:c r="CZ2" s="23" t="n">
        <x:v>439.3201119767441</x:v>
      </x:c>
      <x:c r="DA2" s="23" t="n">
        <x:v>462.3780517578125</x:v>
      </x:c>
      <x:c r="DB2" s="23" t="n">
        <x:v>456.630126953125</x:v>
      </x:c>
      <x:c r="DC2" s="23" t="n">
        <x:v>453.3647693644226</x:v>
      </x:c>
      <x:c r="DD2" s="23" t="n">
        <x:v>190.56024106770838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520.0553792317708</x:v>
      </x:c>
      <x:c r="DX2" s="23" t="n">
        <x:v>486.47587076822913</x:v>
      </x:c>
      <x:c r="DY2" s="23" t="n">
        <x:v>464.9179280598958</x:v>
      </x:c>
      <x:c r="DZ2" s="23" t="n">
        <x:v>468.26359049479163</x:v>
      </x:c>
      <x:c r="EA2" s="23" t="n">
        <x:v>470.96976725260413</x:v>
      </x:c>
      <x:c r="EB2" s="23" t="n">
        <x:v>463.8997802734375</x:v>
      </x:c>
      <x:c r="EC2" s="23" t="n">
        <x:v>1260.096923828125</x:v>
      </x:c>
      <x:c r="ED2" s="23" t="n">
        <x:v>1250.2233072916665</x:v>
      </x:c>
      <x:c r="EE2" s="23" t="n">
        <x:v>418.6584065755208</x:v>
      </x:c>
      <x:c r="EF2" s="23" t="n">
        <x:v>411.68375651041663</x:v>
      </x:c>
      <x:c r="EG2" s="23" t="n">
        <x:v>1250.361083984375</x:v>
      </x:c>
      <x:c r="EH2" s="23" t="n">
        <x:v>1247.91259765625</x:v>
      </x:c>
      <x:c r="EI2" s="23" t="n">
        <x:v>1249.0652669270833</x:v>
      </x:c>
      <x:c r="EJ2" s="23" t="n">
        <x:v>1251.4078776041665</x:v>
      </x:c>
      <x:c r="EK2" s="23" t="n">
        <x:v>1258.4183756510415</x:v>
      </x:c>
      <x:c r="EL2" s="23" t="n">
        <x:v>423.7366536458333</x:v>
      </x:c>
      <x:c r="EM2" s="23" t="n">
        <x:v>591.9936606585972</x:v>
      </x:c>
      <x:c r="EN2" s="23" t="n">
        <x:v>480.9820149739583</x:v>
      </x:c>
      <x:c r="EO2" s="23" t="n">
        <x:v>0</x:v>
      </x:c>
      <x:c r="EP2" s="23" t="n">
        <x:f>SUM(B2:EO2)</x:f>
        <x:v>41811.41026452821</x:v>
      </x:c>
      <x:c r="EQ2" s="24" t="n">
        <x:f>SUMPRODUCT(B2:EO2,{0.3281,0.3257,0.3041,0.3126,0.3286,0.3438,0.3704,0.3746,0.3606,0.3582,0.3041,0.2537,0.3346,0.3971,0.367,0.3185,0.3285,0.3772,0.3815,0.3822,0.3962,0.3879,0.3405,0.3164,0.3916,0.4109,0.361,0.3799,0.4094,0.4052,0.3896,0.3908,0.3821,0.3475,0.5182,0.8102,0.8756,0.818,0.7708,0.7715,0.8181,0.8678,0.864,0.8237,0.7654,0.7258,0.8697,1.0783,1.0448,0.9667,0.9429,0.893,0.9266,0.9995,0.9415,0.8825,0.8929,0.9059,0.8581,0.8084,0.8605,0.8292,0.7446,0.7982,0.6917,0.438,0.3671,0.3419,0.308,0.3563,0.3499,0.2979,0.3528,0.4214,0.4077,0.3359,0.4541,0.6884,0.7168,0.7194,0.7375,0.6413,0.6761,0.8225,0.8111,0.8061,0.8727,0.8717,0.7054,0.5147,0.5575,0.6606,0.688,0.6617,0.6465,0.6667,0.6956,0.7032,0.7041,0.7357,0.7466,0.7383,0.7642,0.787,0.775,0.7557,0.8692,1.0662,1.1465,1.1653,1.1644,1.1265,1.1134,1.1312,1.1292,1.133,1.1382,1.1103,1.0929,1.1041,1.1204,1.1344,1.1597,1.1766,0.9864,0.724,0.7481,0.8129,0.8144,0.8497,0.6531,0.3205,0.2542,0.273,0.2774,0.3501,0.378,0.3465,0.3534,0.3497,0.3245,0.3293,0.3592,0.4038})</x:f>
        <x:v>17593.97276301356</x:v>
      </x:c>
    </x:row>
    <x:row r="3" ht="14" customHeight="1">
      <x:c r="A3" s="3">
        <x:v>45690</x:v>
      </x:c>
      <x:c r="B3" s="23" t="n">
        <x:v>604.509033203125</x:v>
      </x:c>
      <x:c r="C3" s="23" t="n">
        <x:v>1426.6569010416665</x:v>
      </x:c>
      <x:c r="D3" s="23" t="n">
        <x:v>1426.4534912109375</x:v>
      </x:c>
      <x:c r="E3" s="23" t="n">
        <x:v>1439.4036458333333</x:v>
      </x:c>
      <x:c r="F3" s="23" t="n">
        <x:v>613.2966715494791</x:v>
      </x:c>
      <x:c r="G3" s="23" t="n">
        <x:v>627.3614908854166</x:v>
      </x:c>
      <x:c r="H3" s="23" t="n">
        <x:v>630.5810139973958</x:v>
      </x:c>
      <x:c r="I3" s="23" t="n">
        <x:v>636.5553792317708</x:v>
      </x:c>
      <x:c r="J3" s="23" t="n">
        <x:v>637.3256022135416</x:v>
      </x:c>
      <x:c r="K3" s="23" t="n">
        <x:v>632.9692789713541</x:v>
      </x:c>
      <x:c r="L3" s="23" t="n">
        <x:v>637.2166748046875</x:v>
      </x:c>
      <x:c r="M3" s="23" t="n">
        <x:v>636.137939453125</x:v>
      </x:c>
      <x:c r="N3" s="23" t="n">
        <x:v>648.5005696614583</x:v>
      </x:c>
      <x:c r="O3" s="23" t="n">
        <x:v>662.6368815104166</x:v>
      </x:c>
      <x:c r="P3" s="23" t="n">
        <x:v>664.9781494140625</x:v>
      </x:c>
      <x:c r="Q3" s="23" t="n">
        <x:v>650.6601155598958</x:v>
      </x:c>
      <x:c r="R3" s="23" t="n">
        <x:v>1472.7393391927083</x:v>
      </x:c>
      <x:c r="S3" s="23" t="n">
        <x:v>1243.466303996271</x:v>
      </x:c>
      <x:c r="T3" s="23" t="n">
        <x:v>664.0544840494791</x:v>
      </x:c>
      <x:c r="U3" s="23" t="n">
        <x:v>672.1371663411458</x:v>
      </x:c>
      <x:c r="V3" s="23" t="n">
        <x:v>675.1939697265625</x:v>
      </x:c>
      <x:c r="W3" s="23" t="n">
        <x:v>643.8055419921875</x:v>
      </x:c>
      <x:c r="X3" s="23" t="n">
        <x:v>655.2601318359375</x:v>
      </x:c>
      <x:c r="Y3" s="23" t="n">
        <x:v>690.4937337239583</x:v>
      </x:c>
      <x:c r="Z3" s="23" t="n">
        <x:v>690.11474609375</x:v>
      </x:c>
      <x:c r="AA3" s="23" t="n">
        <x:v>686.8898111979166</x:v>
      </x:c>
      <x:c r="AB3" s="23" t="n">
        <x:v>693.8492024739583</x:v>
      </x:c>
      <x:c r="AC3" s="23" t="n">
        <x:v>702.98779296875</x:v>
      </x:c>
      <x:c r="AD3" s="23" t="n">
        <x:v>695.608642578125</x:v>
      </x:c>
      <x:c r="AE3" s="23" t="n">
        <x:v>689.6100260416666</x:v>
      </x:c>
      <x:c r="AF3" s="23" t="n">
        <x:v>702.1644694010416</x:v>
      </x:c>
      <x:c r="AG3" s="23" t="n">
        <x:v>717.6197916666666</x:v>
      </x:c>
      <x:c r="AH3" s="23" t="n">
        <x:v>698.8953450520833</x:v>
      </x:c>
      <x:c r="AI3" s="23" t="n">
        <x:v>1527.9512532552083</x:v>
      </x:c>
      <x:c r="AJ3" s="23" t="n">
        <x:v>754.2843424479166</x:v>
      </x:c>
      <x:c r="AK3" s="23" t="n">
        <x:v>897.5654296875</x:v>
      </x:c>
      <x:c r="AL3" s="23" t="n">
        <x:v>230.06111653645831</x:v>
      </x:c>
      <x:c r="AM3" s="23" t="n">
        <x:v>897.7976950937789</x:v>
      </x:c>
      <x:c r="AN3" s="23" t="n">
        <x:v>907.484375</x:v>
      </x:c>
      <x:c r="AO3" s="23" t="n">
        <x:v>907.2405598958333</x:v>
      </x:c>
      <x:c r="AP3" s="23" t="n">
        <x:v>885.4286830186085</x:v>
      </x:c>
      <x:c r="AQ3" s="23" t="n">
        <x:v>851.1792572765763</x:v>
      </x:c>
      <x:c r="AR3" s="23" t="n">
        <x:v>806.9162041162245</x:v>
      </x:c>
      <x:c r="AS3" s="23" t="n">
        <x:v>768.2971192477546</x:v>
      </x:c>
      <x:c r="AT3" s="23" t="n">
        <x:v>715.0406752941865</x:v>
      </x:c>
      <x:c r="AU3" s="23" t="n">
        <x:v>1418.1015417071217</x:v>
      </x:c>
      <x:c r="AV3" s="23" t="n">
        <x:v>712.3248559197525</x:v>
      </x:c>
      <x:c r="AW3" s="23" t="n">
        <x:v>115.69454236651502</x:v>
      </x:c>
      <x:c r="AX3" s="23" t="n">
        <x:v>59.6339065672646</x:v>
      </x:c>
      <x:c r="AY3" s="23" t="n">
        <x:v>11.252121065109955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248.52948715702638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0</x:v>
      </x:c>
      <x:c r="BO3" s="23" t="n">
        <x:v>962.3672331677897</x:v>
      </x:c>
      <x:c r="BP3" s="23" t="n">
        <x:v>942.6309482953767</x:v>
      </x:c>
      <x:c r="BQ3" s="23" t="n">
        <x:v>940.6510394083481</x:v>
      </x:c>
      <x:c r="BR3" s="23" t="n">
        <x:v>932.5319842778864</x:v>
      </x:c>
      <x:c r="BS3" s="23" t="n">
        <x:v>897.1118357856299</x:v>
      </x:c>
      <x:c r="BT3" s="23" t="n">
        <x:v>854.3728234025682</x:v>
      </x:c>
      <x:c r="BU3" s="23" t="n">
        <x:v>819.955410565172</x:v>
      </x:c>
      <x:c r="BV3" s="23" t="n">
        <x:v>827.8438339489254</x:v>
      </x:c>
      <x:c r="BW3" s="23" t="n">
        <x:v>830.5425220229943</x:v>
      </x:c>
      <x:c r="BX3" s="23" t="n">
        <x:v>831.2170447792087</x:v>
      </x:c>
      <x:c r="BY3" s="23" t="n">
        <x:v>822.1447463530274</x:v>
      </x:c>
      <x:c r="BZ3" s="23" t="n">
        <x:v>856.2869452714201</x:v>
      </x:c>
      <x:c r="CA3" s="23" t="n">
        <x:v>87.44623060801601</x:v>
      </x:c>
      <x:c r="CB3" s="23" t="n">
        <x:v>85.21126110347525</x:v>
      </x:c>
      <x:c r="CC3" s="23" t="n">
        <x:v>83.2572382956555</x:v>
      </x:c>
      <x:c r="CD3" s="23" t="n">
        <x:v>98.38408947570997</x:v>
      </x:c>
      <x:c r="CE3" s="23" t="n">
        <x:v>119.69331316686521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1120.8463344832494</x:v>
      </x:c>
      <x:c r="CN3" s="23" t="n">
        <x:v>1294.763730685086</x:v>
      </x:c>
      <x:c r="CO3" s="23" t="n">
        <x:v>1332.028545735434</x:v>
      </x:c>
      <x:c r="CP3" s="23" t="n">
        <x:v>554.5574223975183</x:v>
      </x:c>
      <x:c r="CQ3" s="23" t="n">
        <x:v>607.0035818772733</x:v>
      </x:c>
      <x:c r="CR3" s="23" t="n">
        <x:v>655.1649306698409</x:v>
      </x:c>
      <x:c r="CS3" s="23" t="n">
        <x:v>698.2097945079959</x:v>
      </x:c>
      <x:c r="CT3" s="23" t="n">
        <x:v>742.6827183050164</x:v>
      </x:c>
      <x:c r="CU3" s="23" t="n">
        <x:v>796.3546085396529</x:v>
      </x:c>
      <x:c r="CV3" s="23" t="n">
        <x:v>842.480265391893</x:v>
      </x:c>
      <x:c r="CW3" s="23" t="n">
        <x:v>900.5158953596797</x:v>
      </x:c>
      <x:c r="CX3" s="23" t="n">
        <x:v>941.4965117494004</x:v>
      </x:c>
      <x:c r="CY3" s="23" t="n">
        <x:v>953.9760112881359</x:v>
      </x:c>
      <x:c r="CZ3" s="23" t="n">
        <x:v>989.7093686201893</x:v>
      </x:c>
      <x:c r="DA3" s="23" t="n">
        <x:v>1034.9563802083333</x:v>
      </x:c>
      <x:c r="DB3" s="23" t="n">
        <x:v>1035.7893880208333</x:v>
      </x:c>
      <x:c r="DC3" s="23" t="n">
        <x:v>1053.1425444786569</x:v>
      </x:c>
      <x:c r="DD3" s="23" t="n">
        <x:v>937.4356282552083</x:v>
      </x:c>
      <x:c r="DE3" s="23" t="n">
        <x:v>728.6863606770833</x:v>
      </x:c>
      <x:c r="DF3" s="23" t="n">
        <x:v>716.5574544270833</x:v>
      </x:c>
      <x:c r="DG3" s="23" t="n">
        <x:v>738.364013671875</x:v>
      </x:c>
      <x:c r="DH3" s="23" t="n">
        <x:v>729.28955078125</x:v>
      </x:c>
      <x:c r="DI3" s="23" t="n">
        <x:v>712.8937174479166</x:v>
      </x:c>
      <x:c r="DJ3" s="23" t="n">
        <x:v>712.8810221354166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105.74097569444257</x:v>
      </x:c>
      <x:c r="DW3" s="23" t="n">
        <x:v>740.5752807382758</x:v>
      </x:c>
      <x:c r="DX3" s="23" t="n">
        <x:v>736.4328153774434</x:v>
      </x:c>
      <x:c r="DY3" s="23" t="n">
        <x:v>732.192626953125</x:v>
      </x:c>
      <x:c r="DZ3" s="23" t="n">
        <x:v>715.214599609375</x:v>
      </x:c>
      <x:c r="EA3" s="23" t="n">
        <x:v>738.1568196614583</x:v>
      </x:c>
      <x:c r="EB3" s="23" t="n">
        <x:v>678.3310953776041</x:v>
      </x:c>
      <x:c r="EC3" s="23" t="n">
        <x:v>1404.4513753255208</x:v>
      </x:c>
      <x:c r="ED3" s="23" t="n">
        <x:v>1389.8511555989583</x:v>
      </x:c>
      <x:c r="EE3" s="23" t="n">
        <x:v>568.4654947916666</x:v>
      </x:c>
      <x:c r="EF3" s="23" t="n">
        <x:v>577.3434244791666</x:v>
      </x:c>
      <x:c r="EG3" s="23" t="n">
        <x:v>578.136474609375</x:v>
      </x:c>
      <x:c r="EH3" s="23" t="n">
        <x:v>1410.7408854166665</x:v>
      </x:c>
      <x:c r="EI3" s="23" t="n">
        <x:v>1420.060831705729</x:v>
      </x:c>
      <x:c r="EJ3" s="23" t="n">
        <x:v>847.1543941052596</x:v>
      </x:c>
      <x:c r="EK3" s="23" t="n">
        <x:v>1416.8086751302083</x:v>
      </x:c>
      <x:c r="EL3" s="23" t="n">
        <x:v>1420.6424560546875</x:v>
      </x:c>
      <x:c r="EM3" s="23" t="n">
        <x:v>584.0825602213541</x:v>
      </x:c>
      <x:c r="EN3" s="23" t="n">
        <x:v>584.8452555338541</x:v>
      </x:c>
      <x:c r="EO3" s="23" t="n">
        <x:v>604.4678955078125</x:v>
      </x:c>
      <x:c r="EP3" s="23" t="n">
        <x:f>SUM(B3:EO3)</x:f>
        <x:v>87360.04587406082</x:v>
      </x:c>
      <x:c r="EQ3" s="23" t="n">
        <x:f>SUMPRODUCT(B3:EO3,{0.4523,0.4559,0.4264,0.4251,0.4292,0.4478,0.5032,0.4672,0.389,0.4462,0.4778,0.4332,0.4262,0.4412,0.4418,0.4245,0.4533,0.4922,0.4433,0.4219,0.4714,0.5121,0.4836,0.4376,0.4776,0.4964,0.4723,0.4865,0.4808,0.4531,0.4678,0.4823,0.4391,0.3697,0.5849,0.9636,1.0488,1.0385,1.0714,1.0749,1.0446,0.9869,0.9164,0.9117,0.9168,0.8379,1.0094,1.3473,1.3998,1.3427,1.3172,1.2806,1.2438,1.2256,1.2306,1.2355,1.2013,1.1141,1.0893,1.1386,1.1539,1.097,1.0376,1.0533,0.9148,0.6806,0.6578,0.6943,0.6727,0.6265,0.577,0.5556,0.5901,0.6344,0.6108,0.519,0.6941,1.0283,1.0587,0.9965,1.0091,1.0445,1.052,1.0369,1.0441,1.0639,1.0889,1.1026,0.9951,0.8205,0.7696,0.8245,0.8914,0.8933,0.9024,0.9311,0.9295,0.9789,1.0591,1.0582,1.0373,1.0422,1.0598,1.0817,1.0782,1.0433,1.143,1.3075,1.2913,1.2583,1.2799,1.2635,1.2481,1.2611,1.2809,1.2785,1.2632,1.2665,1.254,1.2366,1.2592,1.254,1.2362,1.2676,1.16,0.9655,0.9396,0.9423,0.9317,0.9705,0.76,0.4122,0.3735,0.4258,0.4236,0.4363,0.4193,0.3873,0.4093,0.4166,0.4029,0.4308,0.4514,0.4406})</x:f>
        <x:v>60986.0952882699</x:v>
      </x:c>
    </x:row>
    <x:row r="4" ht="14" customHeight="1">
      <x:c r="A4" s="3">
        <x:v>45691</x:v>
      </x:c>
      <x:c r="B4" s="23" t="n">
        <x:v>589.7656656901041</x:v>
      </x:c>
      <x:c r="C4" s="23" t="n">
        <x:v>586.5033365885416</x:v>
      </x:c>
      <x:c r="D4" s="23" t="n">
        <x:v>1435.6624348958333</x:v>
      </x:c>
      <x:c r="E4" s="23" t="n">
        <x:v>1438.8055826822915</x:v>
      </x:c>
      <x:c r="F4" s="23" t="n">
        <x:v>613.0049641927083</x:v>
      </x:c>
      <x:c r="G4" s="23" t="n">
        <x:v>1395.056785273599</x:v>
      </x:c>
      <x:c r="H4" s="23" t="n">
        <x:v>634.5902506510416</x:v>
      </x:c>
      <x:c r="I4" s="23" t="n">
        <x:v>633.6748046875</x:v>
      </x:c>
      <x:c r="J4" s="23" t="n">
        <x:v>627.5717366536458</x:v>
      </x:c>
      <x:c r="K4" s="23" t="n">
        <x:v>637.7239583333333</x:v>
      </x:c>
      <x:c r="L4" s="23" t="n">
        <x:v>1470.7931315104165</x:v>
      </x:c>
      <x:c r="M4" s="23" t="n">
        <x:v>1473.2549641927083</x:v>
      </x:c>
      <x:c r="N4" s="23" t="n">
        <x:v>656.5546468098958</x:v>
      </x:c>
      <x:c r="O4" s="23" t="n">
        <x:v>655.7158610026041</x:v>
      </x:c>
      <x:c r="P4" s="23" t="n">
        <x:v>646.3682047526041</x:v>
      </x:c>
      <x:c r="Q4" s="23" t="n">
        <x:v>668.4313557942708</x:v>
      </x:c>
      <x:c r="R4" s="23" t="n">
        <x:v>679.2396240234375</x:v>
      </x:c>
      <x:c r="S4" s="23" t="n">
        <x:v>651.1870930989583</x:v>
      </x:c>
      <x:c r="T4" s="23" t="n">
        <x:v>653.5572916666666</x:v>
      </x:c>
      <x:c r="U4" s="23" t="n">
        <x:v>648.0145263671875</x:v>
      </x:c>
      <x:c r="V4" s="23" t="n">
        <x:v>654.5796712239583</x:v>
      </x:c>
      <x:c r="W4" s="23" t="n">
        <x:v>648.6963297526041</x:v>
      </x:c>
      <x:c r="X4" s="23" t="n">
        <x:v>670.3059895833333</x:v>
      </x:c>
      <x:c r="Y4" s="23" t="n">
        <x:v>694.3365885416666</x:v>
      </x:c>
      <x:c r="Z4" s="23" t="n">
        <x:v>690.9573567708333</x:v>
      </x:c>
      <x:c r="AA4" s="23" t="n">
        <x:v>691.9131673177083</x:v>
      </x:c>
      <x:c r="AB4" s="23" t="n">
        <x:v>711.40869140625</x:v>
      </x:c>
      <x:c r="AC4" s="23" t="n">
        <x:v>702.4359537760416</x:v>
      </x:c>
      <x:c r="AD4" s="23" t="n">
        <x:v>691.1016438802083</x:v>
      </x:c>
      <x:c r="AE4" s="23" t="n">
        <x:v>701.2582194010416</x:v>
      </x:c>
      <x:c r="AF4" s="23" t="n">
        <x:v>700.8885904947916</x:v>
      </x:c>
      <x:c r="AG4" s="23" t="n">
        <x:v>703.7428385416666</x:v>
      </x:c>
      <x:c r="AH4" s="23" t="n">
        <x:v>707.7410481770833</x:v>
      </x:c>
      <x:c r="AI4" s="23" t="n">
        <x:v>1527.65966796875</x:v>
      </x:c>
      <x:c r="AJ4" s="23" t="n">
        <x:v>760.058837890625</x:v>
      </x:c>
      <x:c r="AK4" s="23" t="n">
        <x:v>899.317626953125</x:v>
      </x:c>
      <x:c r="AL4" s="23" t="n">
        <x:v>911.6481119791666</x:v>
      </x:c>
      <x:c r="AM4" s="23" t="n">
        <x:v>902.9412204883763</x:v>
      </x:c>
      <x:c r="AN4" s="23" t="n">
        <x:v>914.9600423177083</x:v>
      </x:c>
      <x:c r="AO4" s="23" t="n">
        <x:v>915.2627766927083</x:v>
      </x:c>
      <x:c r="AP4" s="23" t="n">
        <x:v>893.153604398844</x:v>
      </x:c>
      <x:c r="AQ4" s="23" t="n">
        <x:v>853.6165850827188</x:v>
      </x:c>
      <x:c r="AR4" s="23" t="n">
        <x:v>812.1458072624287</x:v>
      </x:c>
      <x:c r="AS4" s="23" t="n">
        <x:v>765.904338986547</x:v>
      </x:c>
      <x:c r="AT4" s="23" t="n">
        <x:v>716.4003826674923</x:v>
      </x:c>
      <x:c r="AU4" s="23" t="n">
        <x:v>583.2755501685148</x:v>
      </x:c>
      <x:c r="AV4" s="23" t="n">
        <x:v>713.071975833154</x:v>
      </x:c>
      <x:c r="AW4" s="23" t="n">
        <x:v>87.04383873693828</x:v>
      </x:c>
      <x:c r="AX4" s="23" t="n">
        <x:v>56.32415176216939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17.356804297340126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150.06969046249378</x:v>
      </x:c>
      <x:c r="BO4" s="23" t="n">
        <x:v>956.487049500774</x:v>
      </x:c>
      <x:c r="BP4" s="23" t="n">
        <x:v>939.7888396891441</x:v>
      </x:c>
      <x:c r="BQ4" s="23" t="n">
        <x:v>928.6307078815945</x:v>
      </x:c>
      <x:c r="BR4" s="23" t="n">
        <x:v>890.5667972497833</x:v>
      </x:c>
      <x:c r="BS4" s="23" t="n">
        <x:v>888.157295920945</x:v>
      </x:c>
      <x:c r="BT4" s="23" t="n">
        <x:v>828.0175469531642</x:v>
      </x:c>
      <x:c r="BU4" s="23" t="n">
        <x:v>784.0756110499692</x:v>
      </x:c>
      <x:c r="BV4" s="23" t="n">
        <x:v>799.5929231207001</x:v>
      </x:c>
      <x:c r="BW4" s="23" t="n">
        <x:v>824.3590439587267</x:v>
      </x:c>
      <x:c r="BX4" s="23" t="n">
        <x:v>819.1724239551834</x:v>
      </x:c>
      <x:c r="BY4" s="23" t="n">
        <x:v>815.7982599405643</x:v>
      </x:c>
      <x:c r="BZ4" s="23" t="n">
        <x:v>853.9234252909123</x:v>
      </x:c>
      <x:c r="CA4" s="23" t="n">
        <x:v>66.32656289349885</x:v>
      </x:c>
      <x:c r="CB4" s="23" t="n">
        <x:v>72.4730515532845</x:v>
      </x:c>
      <x:c r="CC4" s="23" t="n">
        <x:v>70.287259521224</x:v>
      </x:c>
      <x:c r="CD4" s="23" t="n">
        <x:v>80.29269539480659</x:v>
      </x:c>
      <x:c r="CE4" s="23" t="n">
        <x:v>105.60648267712773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830.8863475802127</x:v>
      </x:c>
      <x:c r="CN4" s="23" t="n">
        <x:v>1282.5289359695994</x:v>
      </x:c>
      <x:c r="CO4" s="23" t="n">
        <x:v>1324.6786242629717</x:v>
      </x:c>
      <x:c r="CP4" s="23" t="n">
        <x:v>550.4287082374594</x:v>
      </x:c>
      <x:c r="CQ4" s="23" t="n">
        <x:v>603.1214663999206</x:v>
      </x:c>
      <x:c r="CR4" s="23" t="n">
        <x:v>649.051818760443</x:v>
      </x:c>
      <x:c r="CS4" s="23" t="n">
        <x:v>690.5914866597857</x:v>
      </x:c>
      <x:c r="CT4" s="23" t="n">
        <x:v>737.7630835683133</x:v>
      </x:c>
      <x:c r="CU4" s="23" t="n">
        <x:v>791.5718627961335</x:v>
      </x:c>
      <x:c r="CV4" s="23" t="n">
        <x:v>831.6977270215976</x:v>
      </x:c>
      <x:c r="CW4" s="23" t="n">
        <x:v>861.4530806239229</x:v>
      </x:c>
      <x:c r="CX4" s="23" t="n">
        <x:v>912.4242612430803</x:v>
      </x:c>
      <x:c r="CY4" s="23" t="n">
        <x:v>962.6056254045076</x:v>
      </x:c>
      <x:c r="CZ4" s="23" t="n">
        <x:v>1002.0300207380867</x:v>
      </x:c>
      <x:c r="DA4" s="23" t="n">
        <x:v>1025.7376302083333</x:v>
      </x:c>
      <x:c r="DB4" s="23" t="n">
        <x:v>1017.890380859375</x:v>
      </x:c>
      <x:c r="DC4" s="23" t="n">
        <x:v>1054.118846021879</x:v>
      </x:c>
      <x:c r="DD4" s="23" t="n">
        <x:v>945.7322591145833</x:v>
      </x:c>
      <x:c r="DE4" s="23" t="n">
        <x:v>724.4429524739583</x:v>
      </x:c>
      <x:c r="DF4" s="23" t="n">
        <x:v>716.3068033854166</x:v>
      </x:c>
      <x:c r="DG4" s="23" t="n">
        <x:v>723.2625325520833</x:v>
      </x:c>
      <x:c r="DH4" s="23" t="n">
        <x:v>718.0065104166666</x:v>
      </x:c>
      <x:c r="DI4" s="23" t="n">
        <x:v>726.5056966145833</x:v>
      </x:c>
      <x:c r="DJ4" s="23" t="n">
        <x:v>145.54760221354127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728.07080078125</x:v>
      </x:c>
      <x:c r="DW4" s="23" t="n">
        <x:v>740.0831153067129</x:v>
      </x:c>
      <x:c r="DX4" s="23" t="n">
        <x:v>739.6419344216179</x:v>
      </x:c>
      <x:c r="DY4" s="23" t="n">
        <x:v>728.265625</x:v>
      </x:c>
      <x:c r="DZ4" s="23" t="n">
        <x:v>735.3648274739583</x:v>
      </x:c>
      <x:c r="EA4" s="23" t="n">
        <x:v>758.7715657552083</x:v>
      </x:c>
      <x:c r="EB4" s="23" t="n">
        <x:v>693.3075358072916</x:v>
      </x:c>
      <x:c r="EC4" s="23" t="n">
        <x:v>581.4849446614583</x:v>
      </x:c>
      <x:c r="ED4" s="23" t="n">
        <x:v>1404.933634440104</x:v>
      </x:c>
      <x:c r="EE4" s="23" t="n">
        <x:v>575.1106363932291</x:v>
      </x:c>
      <x:c r="EF4" s="23" t="n">
        <x:v>1410.1205647786458</x:v>
      </x:c>
      <x:c r="EG4" s="23" t="n">
        <x:v>1411.1621907552083</x:v>
      </x:c>
      <x:c r="EH4" s="23" t="n">
        <x:v>1399.454833984375</x:v>
      </x:c>
      <x:c r="EI4" s="23" t="n">
        <x:v>1391.0123291015625</x:v>
      </x:c>
      <x:c r="EJ4" s="23" t="n">
        <x:v>847.6938804132908</x:v>
      </x:c>
      <x:c r="EK4" s="23" t="n">
        <x:v>1417.4327799479165</x:v>
      </x:c>
      <x:c r="EL4" s="23" t="n">
        <x:v>580.8765462239583</x:v>
      </x:c>
      <x:c r="EM4" s="23" t="n">
        <x:v>583.5985107421875</x:v>
      </x:c>
      <x:c r="EN4" s="23" t="n">
        <x:v>596.7110595703125</x:v>
      </x:c>
      <x:c r="EO4" s="23" t="n">
        <x:v>599.143798828125</x:v>
      </x:c>
      <x:c r="EP4" s="23" t="n">
        <x:f>SUM(B4:EO4)</x:f>
        <x:v>86719.23467574791</x:v>
      </x:c>
      <x:c r="EQ4" s="23" t="n">
        <x:f>SUMPRODUCT(B4:EO4,{0.4231,0.4042,0.404,0.4367,0.4177,0.3709,0.4008,0.4071,0.3844,0.4296,0.4636,0.4511,0.4437,0.479,0.505,0.439,0.4139,0.4635,0.4864,0.4564,0.4331,0.4884,0.4919,0.4421,0.47,0.5162,0.5209,0.4891,0.485,0.4985,0.4617,0.4288,0.4191,0.4384,0.6877,1.0257,1.0734,1.0585,1.0968,1.0751,1.0347,1.0049,0.9738,0.9724,0.9529,0.8663,1.004,1.2922,1.3447,1.3206,1.3219,1.2765,1.2084,1.176,1.2113,1.2121,1.1749,1.1843,1.1518,1.0736,1.049,1.0744,1.1249,1.1434,0.9384,0.6622,0.6804,0.7161,0.6605,0.6707,0.6434,0.5716,0.5792,0.6533,0.6925,0.6327,0.7523,0.9964,1.0208,0.9956,1.0193,1.0122,1.0024,1.0153,1.0397,1.0457,1.067,1.1376,1.0383,0.8433,0.8556,0.877,0.8337,0.8602,0.9135,0.9559,0.9917,0.9876,0.9791,1.0408,1.0894,1.0972,1.1128,1.1065,1.081,1.0906,1.1796,1.2907,1.3113,1.2989,1.3003,1.3038,1.2861,1.259,1.2604,1.281,1.2957,1.2883,1.2905,1.2925,1.2534,1.2226,1.2568,1.3325,1.1898,0.9345,0.9407,0.9742,0.9576,1.0083,0.7932,0.431,0.4127,0.4591,0.4257,0.4447,0.4293,0.3831,0.4118,0.4357,0.417,0.4004,0.4012,0.4074})</x:f>
        <x:v>61667.44614936977</x:v>
      </x:c>
    </x:row>
    <x:row r="5" ht="14" customHeight="1">
      <x:c r="A5" s="3">
        <x:v>45692</x:v>
      </x:c>
      <x:c r="B5" s="23" t="n">
        <x:v>592.7721761067708</x:v>
      </x:c>
      <x:c r="C5" s="23" t="n">
        <x:v>597.0083821614583</x:v>
      </x:c>
      <x:c r="D5" s="23" t="n">
        <x:v>1436.7091471354165</x:v>
      </x:c>
      <x:c r="E5" s="23" t="n">
        <x:v>1430.402872721354</x:v>
      </x:c>
      <x:c r="F5" s="23" t="n">
        <x:v>606.2093912760416</x:v>
      </x:c>
      <x:c r="G5" s="23" t="n">
        <x:v>1452.004150390625</x:v>
      </x:c>
      <x:c r="H5" s="23" t="n">
        <x:v>629.6004231770833</x:v>
      </x:c>
      <x:c r="I5" s="23" t="n">
        <x:v>638.032470703125</x:v>
      </x:c>
      <x:c r="J5" s="23" t="n">
        <x:v>1407.475240297791</x:v>
      </x:c>
      <x:c r="K5" s="23" t="n">
        <x:v>636.8736165364583</x:v>
      </x:c>
      <x:c r="L5" s="23" t="n">
        <x:v>640.21044921875</x:v>
      </x:c>
      <x:c r="M5" s="23" t="n">
        <x:v>642.6422119140625</x:v>
      </x:c>
      <x:c r="N5" s="23" t="n">
        <x:v>638.4219563802083</x:v>
      </x:c>
      <x:c r="O5" s="23" t="n">
        <x:v>649.2329508463541</x:v>
      </x:c>
      <x:c r="P5" s="23" t="n">
        <x:v>1483.5238850911458</x:v>
      </x:c>
      <x:c r="Q5" s="23" t="n">
        <x:v>1483.794474283854</x:v>
      </x:c>
      <x:c r="R5" s="23" t="n">
        <x:v>648.53173828125</x:v>
      </x:c>
      <x:c r="S5" s="23" t="n">
        <x:v>667.51953125</x:v>
      </x:c>
      <x:c r="T5" s="23" t="n">
        <x:v>646.5550537109375</x:v>
      </x:c>
      <x:c r="U5" s="23" t="n">
        <x:v>658.76220703125</x:v>
      </x:c>
      <x:c r="V5" s="23" t="n">
        <x:v>682.8141276041666</x:v>
      </x:c>
      <x:c r="W5" s="23" t="n">
        <x:v>675.7161051432291</x:v>
      </x:c>
      <x:c r="X5" s="23" t="n">
        <x:v>659.65771484375</x:v>
      </x:c>
      <x:c r="Y5" s="23" t="n">
        <x:v>688.37646484375</x:v>
      </x:c>
      <x:c r="Z5" s="23" t="n">
        <x:v>691.8826497395833</x:v>
      </x:c>
      <x:c r="AA5" s="23" t="n">
        <x:v>703.7456868489583</x:v>
      </x:c>
      <x:c r="AB5" s="23" t="n">
        <x:v>717.1109212239583</x:v>
      </x:c>
      <x:c r="AC5" s="23" t="n">
        <x:v>696.18408203125</x:v>
      </x:c>
      <x:c r="AD5" s="23" t="n">
        <x:v>668.7276204427083</x:v>
      </x:c>
      <x:c r="AE5" s="23" t="n">
        <x:v>685.083984375</x:v>
      </x:c>
      <x:c r="AF5" s="23" t="n">
        <x:v>704.0517578125</x:v>
      </x:c>
      <x:c r="AG5" s="23" t="n">
        <x:v>720.7368977864583</x:v>
      </x:c>
      <x:c r="AH5" s="23" t="n">
        <x:v>721.2781575520833</x:v>
      </x:c>
      <x:c r="AI5" s="23" t="n">
        <x:v>689.1599934895833</x:v>
      </x:c>
      <x:c r="AJ5" s="23" t="n">
        <x:v>751.3187662760416</x:v>
      </x:c>
      <x:c r="AK5" s="23" t="n">
        <x:v>905.564453125</x:v>
      </x:c>
      <x:c r="AL5" s="23" t="n">
        <x:v>899.1888834635416</x:v>
      </x:c>
      <x:c r="AM5" s="23" t="n">
        <x:v>892.0507973908626</x:v>
      </x:c>
      <x:c r="AN5" s="23" t="n">
        <x:v>906.628173828125</x:v>
      </x:c>
      <x:c r="AO5" s="23" t="n">
        <x:v>905.720458984375</x:v>
      </x:c>
      <x:c r="AP5" s="23" t="n">
        <x:v>888.1548059441202</x:v>
      </x:c>
      <x:c r="AQ5" s="23" t="n">
        <x:v>851.8406612676772</x:v>
      </x:c>
      <x:c r="AR5" s="23" t="n">
        <x:v>808.1408275010127</x:v>
      </x:c>
      <x:c r="AS5" s="23" t="n">
        <x:v>755.776613547143</x:v>
      </x:c>
      <x:c r="AT5" s="23" t="n">
        <x:v>709.2737851099406</x:v>
      </x:c>
      <x:c r="AU5" s="23" t="n">
        <x:v>629.1703855632044</x:v>
      </x:c>
      <x:c r="AV5" s="23" t="n">
        <x:v>700.340555817816</x:v>
      </x:c>
      <x:c r="AW5" s="23" t="n">
        <x:v>22.789494104866662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56.66355045298557</x:v>
      </x:c>
      <x:c r="BO5" s="23" t="n">
        <x:v>928.3809083887234</x:v>
      </x:c>
      <x:c r="BP5" s="23" t="n">
        <x:v>915.6736051195053</x:v>
      </x:c>
      <x:c r="BQ5" s="23" t="n">
        <x:v>907.9640253515925</x:v>
      </x:c>
      <x:c r="BR5" s="23" t="n">
        <x:v>863.558277456189</x:v>
      </x:c>
      <x:c r="BS5" s="23" t="n">
        <x:v>871.2496048912749</x:v>
      </x:c>
      <x:c r="BT5" s="23" t="n">
        <x:v>835.754391592358</x:v>
      </x:c>
      <x:c r="BU5" s="23" t="n">
        <x:v>776.5458149495563</x:v>
      </x:c>
      <x:c r="BV5" s="23" t="n">
        <x:v>790.755969906151</x:v>
      </x:c>
      <x:c r="BW5" s="23" t="n">
        <x:v>820.5414712303369</x:v>
      </x:c>
      <x:c r="BX5" s="23" t="n">
        <x:v>818.5098818484645</x:v>
      </x:c>
      <x:c r="BY5" s="23" t="n">
        <x:v>822.5305436190613</x:v>
      </x:c>
      <x:c r="BZ5" s="23" t="n">
        <x:v>852.7425645173963</x:v>
      </x:c>
      <x:c r="CA5" s="23" t="n">
        <x:v>58.715042739776436</x:v>
      </x:c>
      <x:c r="CB5" s="23" t="n">
        <x:v>66.3526865264101</x:v>
      </x:c>
      <x:c r="CC5" s="23" t="n">
        <x:v>79.78147507191609</x:v>
      </x:c>
      <x:c r="CD5" s="23" t="n">
        <x:v>87.10953024560163</x:v>
      </x:c>
      <x:c r="CE5" s="23" t="n">
        <x:v>99.32886520729835</x:v>
      </x:c>
      <x:c r="CF5" s="23" t="n">
        <x:v>132.03756211024694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396.5142054187748</x:v>
      </x:c>
      <x:c r="CN5" s="23" t="n">
        <x:v>1278.1796920972542</x:v>
      </x:c>
      <x:c r="CO5" s="23" t="n">
        <x:v>1335.3080584542467</x:v>
      </x:c>
      <x:c r="CP5" s="23" t="n">
        <x:v>843.1461798896795</x:v>
      </x:c>
      <x:c r="CQ5" s="23" t="n">
        <x:v>609.3135869177074</x:v>
      </x:c>
      <x:c r="CR5" s="23" t="n">
        <x:v>650.4935681136449</x:v>
      </x:c>
      <x:c r="CS5" s="23" t="n">
        <x:v>691.0459823888041</x:v>
      </x:c>
      <x:c r="CT5" s="23" t="n">
        <x:v>732.8175175034708</x:v>
      </x:c>
      <x:c r="CU5" s="23" t="n">
        <x:v>780.9060878607454</x:v>
      </x:c>
      <x:c r="CV5" s="23" t="n">
        <x:v>835.0601399424022</x:v>
      </x:c>
      <x:c r="CW5" s="23" t="n">
        <x:v>889.4430910837634</x:v>
      </x:c>
      <x:c r="CX5" s="23" t="n">
        <x:v>934.0130080351976</x:v>
      </x:c>
      <x:c r="CY5" s="23" t="n">
        <x:v>965.0642500214869</x:v>
      </x:c>
      <x:c r="CZ5" s="23" t="n">
        <x:v>1003.8354258673671</x:v>
      </x:c>
      <x:c r="DA5" s="23" t="n">
        <x:v>1035.7826334635415</x:v>
      </x:c>
      <x:c r="DB5" s="23" t="n">
        <x:v>1038.7111002604165</x:v>
      </x:c>
      <x:c r="DC5" s="23" t="n">
        <x:v>1057.2867574992658</x:v>
      </x:c>
      <x:c r="DD5" s="23" t="n">
        <x:v>979.5335286458333</x:v>
      </x:c>
      <x:c r="DE5" s="23" t="n">
        <x:v>732.05810546875</x:v>
      </x:c>
      <x:c r="DF5" s="23" t="n">
        <x:v>716.800537109375</x:v>
      </x:c>
      <x:c r="DG5" s="23" t="n">
        <x:v>723.9302571614583</x:v>
      </x:c>
      <x:c r="DH5" s="23" t="n">
        <x:v>720.7127278645833</x:v>
      </x:c>
      <x:c r="DI5" s="23" t="n">
        <x:v>723.907470703125</x:v>
      </x:c>
      <x:c r="DJ5" s="23" t="n">
        <x:v>726.188720703125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70.3606770833331</x:v>
      </x:c>
      <x:c r="DW5" s="23" t="n">
        <x:v>735.9140173369985</x:v>
      </x:c>
      <x:c r="DX5" s="23" t="n">
        <x:v>782.251588589892</x:v>
      </x:c>
      <x:c r="DY5" s="23" t="n">
        <x:v>721.95458984375</x:v>
      </x:c>
      <x:c r="DZ5" s="23" t="n">
        <x:v>720.9654947916666</x:v>
      </x:c>
      <x:c r="EA5" s="23" t="n">
        <x:v>753.107177734375</x:v>
      </x:c>
      <x:c r="EB5" s="23" t="n">
        <x:v>700.8200627170137</x:v>
      </x:c>
      <x:c r="EC5" s="23" t="n">
        <x:v>562.2014973958333</x:v>
      </x:c>
      <x:c r="ED5" s="23" t="n">
        <x:v>1377.4921061197915</x:v>
      </x:c>
      <x:c r="EE5" s="23" t="n">
        <x:v>1390.7437337239583</x:v>
      </x:c>
      <x:c r="EF5" s="23" t="n">
        <x:v>1373.8697102864583</x:v>
      </x:c>
      <x:c r="EG5" s="23" t="n">
        <x:v>846.7631920331792</x:v>
      </x:c>
      <x:c r="EH5" s="23" t="n">
        <x:v>570.4471028645833</x:v>
      </x:c>
      <x:c r="EI5" s="23" t="n">
        <x:v>565.316162109375</x:v>
      </x:c>
      <x:c r="EJ5" s="23" t="n">
        <x:v>1415.7374267578125</x:v>
      </x:c>
      <x:c r="EK5" s="23" t="n">
        <x:v>1422.9845784505208</x:v>
      </x:c>
      <x:c r="EL5" s="23" t="n">
        <x:v>577.0059000651041</x:v>
      </x:c>
      <x:c r="EM5" s="23" t="n">
        <x:v>588.8970947265625</x:v>
      </x:c>
      <x:c r="EN5" s="23" t="n">
        <x:v>600.3784586588541</x:v>
      </x:c>
      <x:c r="EO5" s="23" t="n">
        <x:v>1418.9635416666665</x:v>
      </x:c>
      <x:c r="EP5" s="23" t="n">
        <x:f>SUM(B5:EO5)</x:f>
        <x:v>86297.18967082919</x:v>
      </x:c>
      <x:c r="EQ5" s="23" t="n">
        <x:f>SUMPRODUCT(B5:EO5,{0.4005,0.4108,0.4217,0.3879,0.381,0.4298,0.4852,0.4816,0.4387,0.4332,0.4211,0.4079,0.4468,0.4658,0.4548,0.4748,0.4967,0.497,0.4818,0.458,0.4531,0.4868,0.4699,0.432,0.4885,0.5193,0.4868,0.4719,0.4571,0.433,0.4287,0.4825,0.5052,0.411,0.6163,1.0157,1.06,1.0074,1.0398,1.0663,1.046,1.014,1.0283,1.0015,0.8948,0.8093,1.0382,1.3987,1.3894,1.3081,1.3044,1.2383,1.2197,1.2392,1.1757,1.1966,1.2647,1.1707,1.1168,1.1355,1.061,1.0296,1.0852,1.0968,0.9288,0.714,0.7246,0.7303,0.6588,0.6667,0.6818,0.6509,0.6104,0.6334,0.6457,0.5451,0.709,1.0348,1.0198,0.9583,1.0209,1.0769,1.106,1.1082,1.0882,1.1136,1.1778,1.1791,1.0107,0.815,0.8547,0.8875,0.8267,0.8268,0.8717,0.9299,0.9935,1.0272,1.0285,1.0322,1.0628,1.0993,1.0999,1.1071,1.1202,1.1068,1.1616,1.2653,1.2932,1.2831,1.2796,1.285,1.2788,1.2709,1.2902,1.2971,1.2758,1.2575,1.296,1.3487,1.3127,1.252,1.2517,1.31,1.1789,0.9263,0.88,0.908,0.9437,1.0149,0.8103,0.4447,0.3833,0.4449,0.448,0.4018,0.4056,0.458,0.4646,0.4437,0.4308,0.4393,0.4454,0.4494})</x:f>
        <x:v>61443.7768286883</x:v>
      </x:c>
    </x:row>
    <x:row r="6" ht="14" customHeight="1">
      <x:c r="A6" s="3">
        <x:v>45693</x:v>
      </x:c>
      <x:c r="B6" s="23" t="n">
        <x:v>1417.387491861979</x:v>
      </x:c>
      <x:c r="C6" s="23" t="n">
        <x:v>580.875732421875</x:v>
      </x:c>
      <x:c r="D6" s="23" t="n">
        <x:v>602.1280110677083</x:v>
      </x:c>
      <x:c r="E6" s="23" t="n">
        <x:v>1421.9090169270833</x:v>
      </x:c>
      <x:c r="F6" s="23" t="n">
        <x:v>587.0944010416666</x:v>
      </x:c>
      <x:c r="G6" s="23" t="n">
        <x:v>626.3917643229166</x:v>
      </x:c>
      <x:c r="H6" s="23" t="n">
        <x:v>635.0846761067708</x:v>
      </x:c>
      <x:c r="I6" s="23" t="n">
        <x:v>634.5668131510416</x:v>
      </x:c>
      <x:c r="J6" s="23" t="n">
        <x:v>1472.729736328125</x:v>
      </x:c>
      <x:c r="K6" s="23" t="n">
        <x:v>1469.9681396484375</x:v>
      </x:c>
      <x:c r="L6" s="23" t="n">
        <x:v>633.0858154296875</x:v>
      </x:c>
      <x:c r="M6" s="23" t="n">
        <x:v>840.5208373046853</x:v>
      </x:c>
      <x:c r="N6" s="23" t="n">
        <x:v>1477.1656494140625</x:v>
      </x:c>
      <x:c r="O6" s="23" t="n">
        <x:v>642.3705240885416</x:v>
      </x:c>
      <x:c r="P6" s="23" t="n">
        <x:v>635.5654703776041</x:v>
      </x:c>
      <x:c r="Q6" s="23" t="n">
        <x:v>636.5894775390625</x:v>
      </x:c>
      <x:c r="R6" s="23" t="n">
        <x:v>640.5918375651041</x:v>
      </x:c>
      <x:c r="S6" s="23" t="n">
        <x:v>638.5969645182291</x:v>
      </x:c>
      <x:c r="T6" s="23" t="n">
        <x:v>644.6590983072916</x:v>
      </x:c>
      <x:c r="U6" s="23" t="n">
        <x:v>655.7882893880208</x:v>
      </x:c>
      <x:c r="V6" s="23" t="n">
        <x:v>671.6885579427083</x:v>
      </x:c>
      <x:c r="W6" s="23" t="n">
        <x:v>650.8837076822916</x:v>
      </x:c>
      <x:c r="X6" s="23" t="n">
        <x:v>662.0166829427083</x:v>
      </x:c>
      <x:c r="Y6" s="23" t="n">
        <x:v>681.9671223958333</x:v>
      </x:c>
      <x:c r="Z6" s="23" t="n">
        <x:v>683.3563639322916</x:v>
      </x:c>
      <x:c r="AA6" s="23" t="n">
        <x:v>685.532470703125</x:v>
      </x:c>
      <x:c r="AB6" s="23" t="n">
        <x:v>685.4007975260416</x:v>
      </x:c>
      <x:c r="AC6" s="23" t="n">
        <x:v>690.7465006510416</x:v>
      </x:c>
      <x:c r="AD6" s="23" t="n">
        <x:v>682.2031656901041</x:v>
      </x:c>
      <x:c r="AE6" s="23" t="n">
        <x:v>667.5938313802083</x:v>
      </x:c>
      <x:c r="AF6" s="23" t="n">
        <x:v>690.9100748697916</x:v>
      </x:c>
      <x:c r="AG6" s="23" t="n">
        <x:v>715.9251302083333</x:v>
      </x:c>
      <x:c r="AH6" s="23" t="n">
        <x:v>714.27783203125</x:v>
      </x:c>
      <x:c r="AI6" s="23" t="n">
        <x:v>1529.4905598958333</x:v>
      </x:c>
      <x:c r="AJ6" s="23" t="n">
        <x:v>755.7301432291666</x:v>
      </x:c>
      <x:c r="AK6" s="23" t="n">
        <x:v>889.6253255208333</x:v>
      </x:c>
      <x:c r="AL6" s="23" t="n">
        <x:v>488.42362778402463</x:v>
      </x:c>
      <x:c r="AM6" s="23" t="n">
        <x:v>861.9602965047857</x:v>
      </x:c>
      <x:c r="AN6" s="23" t="n">
        <x:v>898.1045735677083</x:v>
      </x:c>
      <x:c r="AO6" s="23" t="n">
        <x:v>896.5680344846047</x:v>
      </x:c>
      <x:c r="AP6" s="23" t="n">
        <x:v>880.3830790844188</x:v>
      </x:c>
      <x:c r="AQ6" s="23" t="n">
        <x:v>835.6325378905159</x:v>
      </x:c>
      <x:c r="AR6" s="23" t="n">
        <x:v>794.4740127114533</x:v>
      </x:c>
      <x:c r="AS6" s="23" t="n">
        <x:v>762.370930589746</x:v>
      </x:c>
      <x:c r="AT6" s="23" t="n">
        <x:v>722.357002170354</x:v>
      </x:c>
      <x:c r="AU6" s="23" t="n">
        <x:v>631.7497899305338</x:v>
      </x:c>
      <x:c r="AV6" s="23" t="n">
        <x:v>689.4234420638915</x:v>
      </x:c>
      <x:c r="AW6" s="23" t="n">
        <x:v>30.69844518522192</x:v>
      </x:c>
      <x:c r="AX6" s="23" t="n">
        <x:v>7.6700455476492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0</x:v>
      </x:c>
      <x:c r="BO6" s="23" t="n">
        <x:v>913.3071310210319</x:v>
      </x:c>
      <x:c r="BP6" s="23" t="n">
        <x:v>920.0789787552092</x:v>
      </x:c>
      <x:c r="BQ6" s="23" t="n">
        <x:v>911.6055398829981</x:v>
      </x:c>
      <x:c r="BR6" s="23" t="n">
        <x:v>880.7113772467775</x:v>
      </x:c>
      <x:c r="BS6" s="23" t="n">
        <x:v>869.8898473979167</x:v>
      </x:c>
      <x:c r="BT6" s="23" t="n">
        <x:v>834.8589404250595</x:v>
      </x:c>
      <x:c r="BU6" s="23" t="n">
        <x:v>786.8151553766054</x:v>
      </x:c>
      <x:c r="BV6" s="23" t="n">
        <x:v>794.0601887491496</x:v>
      </x:c>
      <x:c r="BW6" s="23" t="n">
        <x:v>803.036146553307</x:v>
      </x:c>
      <x:c r="BX6" s="23" t="n">
        <x:v>804.0571653317368</x:v>
      </x:c>
      <x:c r="BY6" s="23" t="n">
        <x:v>796.9504337312023</x:v>
      </x:c>
      <x:c r="BZ6" s="23" t="n">
        <x:v>843.0867605769778</x:v>
      </x:c>
      <x:c r="CA6" s="23" t="n">
        <x:v>47.70360867615742</x:v>
      </x:c>
      <x:c r="CB6" s="23" t="n">
        <x:v>59.154643149512594</x:v>
      </x:c>
      <x:c r="CC6" s="23" t="n">
        <x:v>80.62614960242064</x:v>
      </x:c>
      <x:c r="CD6" s="23" t="n">
        <x:v>111.31381219817816</x:v>
      </x:c>
      <x:c r="CE6" s="23" t="n">
        <x:v>126.94202451854395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1246.0529117679637</x:v>
      </x:c>
      <x:c r="CN6" s="23" t="n">
        <x:v>1290.0048141214893</x:v>
      </x:c>
      <x:c r="CO6" s="23" t="n">
        <x:v>1333.2311454946043</x:v>
      </x:c>
      <x:c r="CP6" s="23" t="n">
        <x:v>549.0151010794855</x:v>
      </x:c>
      <x:c r="CQ6" s="23" t="n">
        <x:v>592.3899924369127</x:v>
      </x:c>
      <x:c r="CR6" s="23" t="n">
        <x:v>641.7811965697026</x:v>
      </x:c>
      <x:c r="CS6" s="23" t="n">
        <x:v>683.2046736353237</x:v>
      </x:c>
      <x:c r="CT6" s="23" t="n">
        <x:v>740.9848137659988</x:v>
      </x:c>
      <x:c r="CU6" s="23" t="n">
        <x:v>793.3927384330536</x:v>
      </x:c>
      <x:c r="CV6" s="23" t="n">
        <x:v>849.2371990692632</x:v>
      </x:c>
      <x:c r="CW6" s="23" t="n">
        <x:v>889.5512608262552</x:v>
      </x:c>
      <x:c r="CX6" s="23" t="n">
        <x:v>934.9903020596282</x:v>
      </x:c>
      <x:c r="CY6" s="23" t="n">
        <x:v>969.9003264772292</x:v>
      </x:c>
      <x:c r="CZ6" s="23" t="n">
        <x:v>1008.8525329552642</x:v>
      </x:c>
      <x:c r="DA6" s="23" t="n">
        <x:v>1013.3236056147672</x:v>
      </x:c>
      <x:c r="DB6" s="23" t="n">
        <x:v>1028.5733235677083</x:v>
      </x:c>
      <x:c r="DC6" s="23" t="n">
        <x:v>1047.8485035317794</x:v>
      </x:c>
      <x:c r="DD6" s="23" t="n">
        <x:v>931.1065266927083</x:v>
      </x:c>
      <x:c r="DE6" s="23" t="n">
        <x:v>733.2542317708333</x:v>
      </x:c>
      <x:c r="DF6" s="23" t="n">
        <x:v>699.3557942708333</x:v>
      </x:c>
      <x:c r="DG6" s="23" t="n">
        <x:v>738.4230143229166</x:v>
      </x:c>
      <x:c r="DH6" s="23" t="n">
        <x:v>726.2893880208333</x:v>
      </x:c>
      <x:c r="DI6" s="23" t="n">
        <x:v>730.4628092447916</x:v>
      </x:c>
      <x:c r="DJ6" s="23" t="n">
        <x:v>729.1969401041666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92.98141666666507</x:v>
      </x:c>
      <x:c r="DW6" s="23" t="n">
        <x:v>733.4757489390432</x:v>
      </x:c>
      <x:c r="DX6" s="23" t="n">
        <x:v>751.2895674752446</x:v>
      </x:c>
      <x:c r="DY6" s="23" t="n">
        <x:v>731.803955078125</x:v>
      </x:c>
      <x:c r="DZ6" s="23" t="n">
        <x:v>741.2986653645833</x:v>
      </x:c>
      <x:c r="EA6" s="23" t="n">
        <x:v>767.588134765625</x:v>
      </x:c>
      <x:c r="EB6" s="23" t="n">
        <x:v>714.4228515625</x:v>
      </x:c>
      <x:c r="EC6" s="23" t="n">
        <x:v>590.8794352213541</x:v>
      </x:c>
      <x:c r="ED6" s="23" t="n">
        <x:v>567.7376302083333</x:v>
      </x:c>
      <x:c r="EE6" s="23" t="n">
        <x:v>570.7799479166666</x:v>
      </x:c>
      <x:c r="EF6" s="23" t="n">
        <x:v>579.7687174479166</x:v>
      </x:c>
      <x:c r="EG6" s="23" t="n">
        <x:v>1403.6732177734375</x:v>
      </x:c>
      <x:c r="EH6" s="23" t="n">
        <x:v>1402.253662109375</x:v>
      </x:c>
      <x:c r="EI6" s="23" t="n">
        <x:v>1419.169921875</x:v>
      </x:c>
      <x:c r="EJ6" s="23" t="n">
        <x:v>869.5571051392103</x:v>
      </x:c>
      <x:c r="EK6" s="23" t="n">
        <x:v>1418.2679443359375</x:v>
      </x:c>
      <x:c r="EL6" s="23" t="n">
        <x:v>1415.3562825520833</x:v>
      </x:c>
      <x:c r="EM6" s="23" t="n">
        <x:v>1409.393351236979</x:v>
      </x:c>
      <x:c r="EN6" s="23" t="n">
        <x:v>584.8333333333333</x:v>
      </x:c>
      <x:c r="EO6" s="23" t="n">
        <x:v>589.6157633463541</x:v>
      </x:c>
      <x:c r="EP6" s="23" t="n">
        <x:f>SUM(B6:EO6)</x:f>
        <x:v>86289.00153230043</x:v>
      </x:c>
      <x:c r="EQ6" s="23" t="n">
        <x:f>SUMPRODUCT(B6:EO6,{0.4652,0.4304,0.3734,0.3928,0.4269,0.4498,0.4859,0.4608,0.4269,0.5067,0.5038,0.4116,0.4274,0.4802,0.5012,0.4976,0.4898,0.4752,0.439,0.4182,0.4306,0.4613,0.493,0.5062,0.4908,0.4829,0.4873,0.4792,0.4827,0.5051,0.5267,0.5349,0.4858,0.3944,0.6164,1.0181,1.0785,1.0229,1.0369,1.0678,1.0429,1.0026,1.0448,1.0447,0.9397,0.8401,1.0464,1.3848,1.3646,1.2933,1.317,1.2754,1.2445,1.2529,1.238,1.215,1.2027,1.1919,1.1328,1.0657,1.0855,1.1086,1.0905,1.0466,0.9011,0.7285,0.7046,0.719,0.7199,0.7476,0.6892,0.602,0.6658,0.7192,0.6577,0.5708,0.7267,0.9954,0.9781,0.9522,1.0253,1.0274,1.0467,1.0931,1.0776,1.0956,1.1572,1.1515,1.0216,0.8509,0.7979,0.82,0.8433,0.8427,0.8992,0.9865,0.9955,1.0155,1.0704,1.0854,1.0619,1.0444,1.0744,1.095,1.0823,1.0766,1.1388,1.244,1.2943,1.2637,1.2186,1.2509,1.2681,1.2355,1.2226,1.2903,1.3665,1.3174,1.2754,1.2909,1.2842,1.2551,1.2578,1.3101,1.1709,0.9186,0.89,0.9262,0.9375,0.9549,0.7248,0.3809,0.3548,0.4343,0.4293,0.3612,0.3423,0.4004,0.4565,0.4335,0.3709,0.3866,0.4518,0.488})</x:f>
        <x:v>61012.89618903522</x:v>
      </x:c>
    </x:row>
    <x:row r="7" ht="14" customHeight="1">
      <x:c r="A7" s="3">
        <x:v>45694</x:v>
      </x:c>
      <x:c r="B7" s="23" t="n">
        <x:v>577.0096028645833</x:v>
      </x:c>
      <x:c r="C7" s="23" t="n">
        <x:v>1190.4750614454742</x:v>
      </x:c>
      <x:c r="D7" s="23" t="n">
        <x:v>605.2288411458333</x:v>
      </x:c>
      <x:c r="E7" s="23" t="n">
        <x:v>1440.917032877604</x:v>
      </x:c>
      <x:c r="F7" s="23" t="n">
        <x:v>618.2336832682291</x:v>
      </x:c>
      <x:c r="G7" s="23" t="n">
        <x:v>628.3558756510416</x:v>
      </x:c>
      <x:c r="H7" s="23" t="n">
        <x:v>1466.7594807942708</x:v>
      </x:c>
      <x:c r="I7" s="23" t="n">
        <x:v>1470.420166015625</x:v>
      </x:c>
      <x:c r="J7" s="23" t="n">
        <x:v>639.8699951171875</x:v>
      </x:c>
      <x:c r="K7" s="23" t="n">
        <x:v>635.72705078125</x:v>
      </x:c>
      <x:c r="L7" s="23" t="n">
        <x:v>640.4602457682291</x:v>
      </x:c>
      <x:c r="M7" s="23" t="n">
        <x:v>657.0601399739583</x:v>
      </x:c>
      <x:c r="N7" s="23" t="n">
        <x:v>640.9720052083333</x:v>
      </x:c>
      <x:c r="O7" s="23" t="n">
        <x:v>629.1704915364583</x:v>
      </x:c>
      <x:c r="P7" s="23" t="n">
        <x:v>631.3701578776041</x:v>
      </x:c>
      <x:c r="Q7" s="23" t="n">
        <x:v>1475.2676595052083</x:v>
      </x:c>
      <x:c r="R7" s="23" t="n">
        <x:v>657.8984781901041</x:v>
      </x:c>
      <x:c r="S7" s="23" t="n">
        <x:v>682.0115152994791</x:v>
      </x:c>
      <x:c r="T7" s="23" t="n">
        <x:v>653.5042317708333</x:v>
      </x:c>
      <x:c r="U7" s="23" t="n">
        <x:v>657.8263346354166</x:v>
      </x:c>
      <x:c r="V7" s="23" t="n">
        <x:v>660.2032470703125</x:v>
      </x:c>
      <x:c r="W7" s="23" t="n">
        <x:v>654.6155598958333</x:v>
      </x:c>
      <x:c r="X7" s="23" t="n">
        <x:v>678.1850179036458</x:v>
      </x:c>
      <x:c r="Y7" s="23" t="n">
        <x:v>678.7981770833333</x:v>
      </x:c>
      <x:c r="Z7" s="23" t="n">
        <x:v>693.31787109375</x:v>
      </x:c>
      <x:c r="AA7" s="23" t="n">
        <x:v>665.6806233723958</x:v>
      </x:c>
      <x:c r="AB7" s="23" t="n">
        <x:v>666.0609130859375</x:v>
      </x:c>
      <x:c r="AC7" s="23" t="n">
        <x:v>705.9369303385416</x:v>
      </x:c>
      <x:c r="AD7" s="23" t="n">
        <x:v>698.5467936197916</x:v>
      </x:c>
      <x:c r="AE7" s="23" t="n">
        <x:v>691.987548828125</x:v>
      </x:c>
      <x:c r="AF7" s="23" t="n">
        <x:v>688.2141927083333</x:v>
      </x:c>
      <x:c r="AG7" s="23" t="n">
        <x:v>708.2439778645833</x:v>
      </x:c>
      <x:c r="AH7" s="23" t="n">
        <x:v>701.6975911458333</x:v>
      </x:c>
      <x:c r="AI7" s="23" t="n">
        <x:v>1526.33447265625</x:v>
      </x:c>
      <x:c r="AJ7" s="23" t="n">
        <x:v>747.6409505208333</x:v>
      </x:c>
      <x:c r="AK7" s="23" t="n">
        <x:v>897.2236328125</x:v>
      </x:c>
      <x:c r="AL7" s="23" t="n">
        <x:v>112.63097518229172</x:v>
      </x:c>
      <x:c r="AM7" s="23" t="n">
        <x:v>902.5176764354499</x:v>
      </x:c>
      <x:c r="AN7" s="23" t="n">
        <x:v>908.84326171875</x:v>
      </x:c>
      <x:c r="AO7" s="23" t="n">
        <x:v>902.2181077683792</x:v>
      </x:c>
      <x:c r="AP7" s="23" t="n">
        <x:v>879.6597868237507</x:v>
      </x:c>
      <x:c r="AQ7" s="23" t="n">
        <x:v>835.1688399037128</x:v>
      </x:c>
      <x:c r="AR7" s="23" t="n">
        <x:v>798.0984676399166</x:v>
      </x:c>
      <x:c r="AS7" s="23" t="n">
        <x:v>759.8783965867597</x:v>
      </x:c>
      <x:c r="AT7" s="23" t="n">
        <x:v>705.1061179471035</x:v>
      </x:c>
      <x:c r="AU7" s="23" t="n">
        <x:v>1321.5667319837826</x:v>
      </x:c>
      <x:c r="AV7" s="23" t="n">
        <x:v>684.0844654852012</x:v>
      </x:c>
      <x:c r="AW7" s="23" t="n">
        <x:v>26.269604075270003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0</x:v>
      </x:c>
      <x:c r="BO7" s="23" t="n">
        <x:v>923.0176809806521</x:v>
      </x:c>
      <x:c r="BP7" s="23" t="n">
        <x:v>907.3633113375561</x:v>
      </x:c>
      <x:c r="BQ7" s="23" t="n">
        <x:v>907.8516430135588</x:v>
      </x:c>
      <x:c r="BR7" s="23" t="n">
        <x:v>898.6849885431236</x:v>
      </x:c>
      <x:c r="BS7" s="23" t="n">
        <x:v>877.8480768178742</x:v>
      </x:c>
      <x:c r="BT7" s="23" t="n">
        <x:v>847.1412320911286</x:v>
      </x:c>
      <x:c r="BU7" s="23" t="n">
        <x:v>829.6930622637702</x:v>
      </x:c>
      <x:c r="BV7" s="23" t="n">
        <x:v>830.1257031163784</x:v>
      </x:c>
      <x:c r="BW7" s="23" t="n">
        <x:v>826.9264989525502</x:v>
      </x:c>
      <x:c r="BX7" s="23" t="n">
        <x:v>835.3215210841722</x:v>
      </x:c>
      <x:c r="BY7" s="23" t="n">
        <x:v>829.4138763163191</x:v>
      </x:c>
      <x:c r="BZ7" s="23" t="n">
        <x:v>853.8589166447516</x:v>
      </x:c>
      <x:c r="CA7" s="23" t="n">
        <x:v>34.77927839301249</x:v>
      </x:c>
      <x:c r="CB7" s="23" t="n">
        <x:v>44.95439234425627</x:v>
      </x:c>
      <x:c r="CC7" s="23" t="n">
        <x:v>73.22788276043364</x:v>
      </x:c>
      <x:c r="CD7" s="23" t="n">
        <x:v>90.59272204501863</x:v>
      </x:c>
      <x:c r="CE7" s="23" t="n">
        <x:v>101.19848606607941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398.23950329702893</x:v>
      </x:c>
      <x:c r="CN7" s="23" t="n">
        <x:v>1275.485686812687</x:v>
      </x:c>
      <x:c r="CO7" s="23" t="n">
        <x:v>1326.4162589834455</x:v>
      </x:c>
      <x:c r="CP7" s="23" t="n">
        <x:v>538.1411015651179</x:v>
      </x:c>
      <x:c r="CQ7" s="23" t="n">
        <x:v>1412.5640809147644</x:v>
      </x:c>
      <x:c r="CR7" s="23" t="n">
        <x:v>637.1033087264152</x:v>
      </x:c>
      <x:c r="CS7" s="23" t="n">
        <x:v>679.8752077117105</x:v>
      </x:c>
      <x:c r="CT7" s="23" t="n">
        <x:v>732.6840641872215</x:v>
      </x:c>
      <x:c r="CU7" s="23" t="n">
        <x:v>787.0397127541619</x:v>
      </x:c>
      <x:c r="CV7" s="23" t="n">
        <x:v>842.3853077750598</x:v>
      </x:c>
      <x:c r="CW7" s="23" t="n">
        <x:v>890.1436864818307</x:v>
      </x:c>
      <x:c r="CX7" s="23" t="n">
        <x:v>926.4665569867091</x:v>
      </x:c>
      <x:c r="CY7" s="23" t="n">
        <x:v>969.7686789608363</x:v>
      </x:c>
      <x:c r="CZ7" s="23" t="n">
        <x:v>1006.1365525950538</x:v>
      </x:c>
      <x:c r="DA7" s="23" t="n">
        <x:v>985.5260029665574</x:v>
      </x:c>
      <x:c r="DB7" s="23" t="n">
        <x:v>1039.154541015625</x:v>
      </x:c>
      <x:c r="DC7" s="23" t="n">
        <x:v>1053.9976672070325</x:v>
      </x:c>
      <x:c r="DD7" s="23" t="n">
        <x:v>933.6016438802083</x:v>
      </x:c>
      <x:c r="DE7" s="23" t="n">
        <x:v>732.593505859375</x:v>
      </x:c>
      <x:c r="DF7" s="23" t="n">
        <x:v>719.3589680989583</x:v>
      </x:c>
      <x:c r="DG7" s="23" t="n">
        <x:v>723.448974609375</x:v>
      </x:c>
      <x:c r="DH7" s="23" t="n">
        <x:v>726.0746256510416</x:v>
      </x:c>
      <x:c r="DI7" s="23" t="n">
        <x:v>735.6328125</x:v>
      </x:c>
      <x:c r="DJ7" s="23" t="n">
        <x:v>721.2338053385416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77.84057009548542</x:v>
      </x:c>
      <x:c r="DW7" s="23" t="n">
        <x:v>739.4359537760416</x:v>
      </x:c>
      <x:c r="DX7" s="23" t="n">
        <x:v>738.6588263674555</x:v>
      </x:c>
      <x:c r="DY7" s="23" t="n">
        <x:v>716.762939453125</x:v>
      </x:c>
      <x:c r="DZ7" s="23" t="n">
        <x:v>732.9312337239583</x:v>
      </x:c>
      <x:c r="EA7" s="23" t="n">
        <x:v>756.6145833333333</x:v>
      </x:c>
      <x:c r="EB7" s="23" t="n">
        <x:v>696.7569173177083</x:v>
      </x:c>
      <x:c r="EC7" s="23" t="n">
        <x:v>1413.5572916666665</x:v>
      </x:c>
      <x:c r="ED7" s="23" t="n">
        <x:v>1401.3358561197915</x:v>
      </x:c>
      <x:c r="EE7" s="23" t="n">
        <x:v>573.370849609375</x:v>
      </x:c>
      <x:c r="EF7" s="23" t="n">
        <x:v>576.5668538411458</x:v>
      </x:c>
      <x:c r="EG7" s="23" t="n">
        <x:v>1412.064249674479</x:v>
      </x:c>
      <x:c r="EH7" s="23" t="n">
        <x:v>1413.858154296875</x:v>
      </x:c>
      <x:c r="EI7" s="23" t="n">
        <x:v>852.9613304719653</x:v>
      </x:c>
      <x:c r="EJ7" s="23" t="n">
        <x:v>575.3128662109375</x:v>
      </x:c>
      <x:c r="EK7" s="23" t="n">
        <x:v>585.1028645833333</x:v>
      </x:c>
      <x:c r="EL7" s="23" t="n">
        <x:v>578.7179361979166</x:v>
      </x:c>
      <x:c r="EM7" s="23" t="n">
        <x:v>586.0963134765625</x:v>
      </x:c>
      <x:c r="EN7" s="23" t="n">
        <x:v>1386.8814290364583</x:v>
      </x:c>
      <x:c r="EO7" s="23" t="n">
        <x:v>1282.6981201171875</x:v>
      </x:c>
      <x:c r="EP7" s="23" t="n">
        <x:f>SUM(B7:EO7)</x:f>
        <x:v>86099.8646482963</x:v>
      </x:c>
      <x:c r="EQ7" s="23" t="n">
        <x:f>SUMPRODUCT(B7:EO7,{0.4426,0.4119,0.4256,0.4281,0.4322,0.4427,0.4445,0.4514,0.4564,0.4385,0.4316,0.4439,0.448,0.4334,0.4188,0.4369,0.4747,0.4844,0.4319,0.423,0.4606,0.4547,0.4901,0.5369,0.4707,0.4234,0.4511,0.4809,0.4899,0.4843,0.4862,0.5166,0.5163,0.4495,0.6685,1.0461,1.0728,1.0084,1.0276,1.0415,1.0442,1.0426,1.0319,1.0025,0.9172,0.8011,1.0092,1.4012,1.447,1.3607,1.3202,1.2879,1.2735,1.25,1.1769,1.1599,1.1969,1.1742,1.1111,1.0659,1.0786,1.1009,1.0987,1.0491,0.8445,0.6443,0.7323,0.7568,0.6457,0.6665,0.6836,0.6396,0.6356,0.6717,0.6601,0.5544,0.6972,1.0024,1.0263,0.988,1.0242,1.0421,1.0453,1.0591,1.0866,1.065,1.0469,1.1214,1.018,0.8173,0.8765,0.9061,0.8364,0.8959,0.9706,0.9892,0.9982,0.9849,0.9703,1.0073,1.08,1.131,1.1109,1.0902,1.0908,1.0882,1.1768,1.3105,1.3239,1.2555,1.2035,1.2356,1.2722,1.2667,1.2487,1.2687,1.2961,1.2532,1.2141,1.2289,1.2737,1.2851,1.2912,1.3388,1.1687,0.8948,0.9114,0.9498,0.9221,0.9682,0.7585,0.4228,0.4488,0.4557,0.3383,0.3782,0.4112,0.3712,0.3749,0.4146,0.4522,0.4534,0.3907,0.3228})</x:f>
        <x:v>60839.90594927646</x:v>
      </x:c>
    </x:row>
    <x:row r="8" ht="14" customHeight="1">
      <x:c r="A8" s="3">
        <x:v>45695</x:v>
      </x:c>
      <x:c r="B8" s="23" t="n">
        <x:v>1230.8578694661458</x:v>
      </x:c>
      <x:c r="C8" s="23" t="n">
        <x:v>1267.2216796875</x:v>
      </x:c>
      <x:c r="D8" s="23" t="n">
        <x:v>1308.2117919921875</x:v>
      </x:c>
      <x:c r="E8" s="23" t="n">
        <x:v>443.63529459635413</x:v>
      </x:c>
      <x:c r="F8" s="23" t="n">
        <x:v>433.39506022135413</x:v>
      </x:c>
      <x:c r="G8" s="23" t="n">
        <x:v>452.53617350260413</x:v>
      </x:c>
      <x:c r="H8" s="23" t="n">
        <x:v>456.8716634114583</x:v>
      </x:c>
      <x:c r="I8" s="23" t="n">
        <x:v>427.95096842447913</x:v>
      </x:c>
      <x:c r="J8" s="23" t="n">
        <x:v>1277.4380696614583</x:v>
      </x:c>
      <x:c r="K8" s="23" t="n">
        <x:v>490.9208984375</x:v>
      </x:c>
      <x:c r="L8" s="23" t="n">
        <x:v>505.30961100260413</x:v>
      </x:c>
      <x:c r="M8" s="23" t="n">
        <x:v>450.0993245442708</x:v>
      </x:c>
      <x:c r="N8" s="23" t="n">
        <x:v>1336.3081868489583</x:v>
      </x:c>
      <x:c r="O8" s="23" t="n">
        <x:v>515.1371256510416</x:v>
      </x:c>
      <x:c r="P8" s="23" t="n">
        <x:v>506.848876953125</x:v>
      </x:c>
      <x:c r="Q8" s="23" t="n">
        <x:v>549.9613850911458</x:v>
      </x:c>
      <x:c r="R8" s="23" t="n">
        <x:v>554.1670735677083</x:v>
      </x:c>
      <x:c r="S8" s="23" t="n">
        <x:v>556.494873046875</x:v>
      </x:c>
      <x:c r="T8" s="23" t="n">
        <x:v>559.1015625</x:v>
      </x:c>
      <x:c r="U8" s="23" t="n">
        <x:v>529.6258544921875</x:v>
      </x:c>
      <x:c r="V8" s="23" t="n">
        <x:v>530.4993082682291</x:v>
      </x:c>
      <x:c r="W8" s="23" t="n">
        <x:v>528.3136393229166</x:v>
      </x:c>
      <x:c r="X8" s="23" t="n">
        <x:v>549.4174397786458</x:v>
      </x:c>
      <x:c r="Y8" s="23" t="n">
        <x:v>533.2521158854166</x:v>
      </x:c>
      <x:c r="Z8" s="23" t="n">
        <x:v>561.5356038411458</x:v>
      </x:c>
      <x:c r="AA8" s="23" t="n">
        <x:v>556.5088297526041</x:v>
      </x:c>
      <x:c r="AB8" s="23" t="n">
        <x:v>557.2878824869791</x:v>
      </x:c>
      <x:c r="AC8" s="23" t="n">
        <x:v>557.2665608723958</x:v>
      </x:c>
      <x:c r="AD8" s="23" t="n">
        <x:v>559.1427408854166</x:v>
      </x:c>
      <x:c r="AE8" s="23" t="n">
        <x:v>552.2310384114583</x:v>
      </x:c>
      <x:c r="AF8" s="23" t="n">
        <x:v>551.4972330729166</x:v>
      </x:c>
      <x:c r="AG8" s="23" t="n">
        <x:v>568.56982421875</x:v>
      </x:c>
      <x:c r="AH8" s="23" t="n">
        <x:v>1406.9381917317708</x:v>
      </x:c>
      <x:c r="AI8" s="23" t="n">
        <x:v>602.199092628697</x:v>
      </x:c>
      <x:c r="AJ8" s="23" t="n">
        <x:v>0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0</x:v>
      </x:c>
      <x:c r="BV8" s="23" t="n">
        <x:v>0</x:v>
      </x:c>
      <x:c r="BW8" s="23" t="n">
        <x:v>0</x:v>
      </x:c>
      <x:c r="BX8" s="23" t="n">
        <x:v>0</x:v>
      </x:c>
      <x:c r="BY8" s="23" t="n">
        <x:v>230.76611900362474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11.68847437972378</x:v>
      </x:c>
      <x:c r="CO8" s="23" t="n">
        <x:v>42.07580324470685</x:v>
      </x:c>
      <x:c r="CP8" s="23" t="n">
        <x:v>105.75498672483596</x:v>
      </x:c>
      <x:c r="CQ8" s="23" t="n">
        <x:v>146.83154527027196</x:v>
      </x:c>
      <x:c r="CR8" s="23" t="n">
        <x:v>165.81933504802896</x:v>
      </x:c>
      <x:c r="CS8" s="23" t="n">
        <x:v>206.1548851138798</x:v>
      </x:c>
      <x:c r="CT8" s="23" t="n">
        <x:v>267.2038203343564</x:v>
      </x:c>
      <x:c r="CU8" s="23" t="n">
        <x:v>326.6780585696625</x:v>
      </x:c>
      <x:c r="CV8" s="23" t="n">
        <x:v>364.567540144527</x:v>
      </x:c>
      <x:c r="CW8" s="23" t="n">
        <x:v>418.938151844159</x:v>
      </x:c>
      <x:c r="CX8" s="23" t="n">
        <x:v>410.7797468039721</x:v>
      </x:c>
      <x:c r="CY8" s="23" t="n">
        <x:v>386.71470504361906</x:v>
      </x:c>
      <x:c r="CZ8" s="23" t="n">
        <x:v>425.77685605848956</x:v>
      </x:c>
      <x:c r="DA8" s="23" t="n">
        <x:v>447.6692536958917</x:v>
      </x:c>
      <x:c r="DB8" s="23" t="n">
        <x:v>463.115234375</x:v>
      </x:c>
      <x:c r="DC8" s="23" t="n">
        <x:v>452.726096894656</x:v>
      </x:c>
      <x:c r="DD8" s="23" t="n">
        <x:v>459.90726725260413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468.76904296875</x:v>
      </x:c>
      <x:c r="DX8" s="23" t="n">
        <x:v>460.42179361979163</x:v>
      </x:c>
      <x:c r="DY8" s="23" t="n">
        <x:v>487.1427001953125</x:v>
      </x:c>
      <x:c r="DZ8" s="23" t="n">
        <x:v>532.7363688151041</x:v>
      </x:c>
      <x:c r="EA8" s="23" t="n">
        <x:v>246.2304273046853</x:v>
      </x:c>
      <x:c r="EB8" s="23" t="n">
        <x:v>466.1512451171875</x:v>
      </x:c>
      <x:c r="EC8" s="23" t="n">
        <x:v>1254.8985595703125</x:v>
      </x:c>
      <x:c r="ED8" s="23" t="n">
        <x:v>1259.609415690104</x:v>
      </x:c>
      <x:c r="EE8" s="23" t="n">
        <x:v>417.0008138020833</x:v>
      </x:c>
      <x:c r="EF8" s="23" t="n">
        <x:v>425.7786865234375</x:v>
      </x:c>
      <x:c r="EG8" s="23" t="n">
        <x:v>423.728271484375</x:v>
      </x:c>
      <x:c r="EH8" s="23" t="n">
        <x:v>705.3852905052404</x:v>
      </x:c>
      <x:c r="EI8" s="23" t="n">
        <x:v>1250.6494140625</x:v>
      </x:c>
      <x:c r="EJ8" s="23" t="n">
        <x:v>412.59635416666663</x:v>
      </x:c>
      <x:c r="EK8" s="23" t="n">
        <x:v>1246.0162760416665</x:v>
      </x:c>
      <x:c r="EL8" s="23" t="n">
        <x:v>1249.1276448567708</x:v>
      </x:c>
      <x:c r="EM8" s="23" t="n">
        <x:v>427.2909749348958</x:v>
      </x:c>
      <x:c r="EN8" s="23" t="n">
        <x:v>427.4171956380208</x:v>
      </x:c>
      <x:c r="EO8" s="23" t="n">
        <x:v>1262.6094563802083</x:v>
      </x:c>
      <x:c r="EP8" s="23" t="n">
        <x:f>SUM(B8:EO8)</x:f>
        <x:v>41223.48065573543</x:v>
      </x:c>
      <x:c r="EQ8" s="23" t="n">
        <x:f>SUMPRODUCT(B8:EO8,{0.3426,0.3478,0.3143,0.3177,0.3191,0.311,0.3285,0.3371,0.3419,0.3771,0.3668,0.3112,0.2957,0.3289,0.3665,0.357,0.35,0.3625,0.3684,0.3991,0.4316,0.4043,0.3742,0.3713,0.3696,0.3499,0.3415,0.385,0.3896,0.377,0.4484,0.4468,0.3343,0.2743,0.4793,0.7957,0.8353,0.7689,0.7696,0.8344,0.8305,0.7723,0.7936,0.7972,0.7193,0.633,0.7689,1.0274,1.0625,1.008,0.989,0.9914,0.9788,0.9625,0.9779,0.9531,0.9018,0.9093,0.8979,0.8738,0.9124,0.8775,0.787,0.7709,0.5933,0.3427,0.3689,0.4083,0.3571,0.3695,0.3635,0.3138,0.295,0.3052,0.2994,0.2663,0.4071,0.6613,0.7399,0.6974,0.6568,0.6873,0.727,0.7341,0.7252,0.739,0.8151,0.9261,0.8124,0.5661,0.5483,0.5694,0.5434,0.5908,0.6743,0.7072,0.6506,0.6732,0.7798,0.804,0.7627,0.7399,0.7941,0.8104,0.7452,0.6958,0.8448,1.0866,1.1194,1.0844,1.0864,1.09,1.1059,1.1517,1.2102,1.1551,1.0447,1.0731,1.1355,1.1429,1.1075,1.0752,1.0889,1.1326,1.0111,0.7884,0.741,0.7837,0.8315,0.8472,0.6262,0.3052,0.2631,0.3195,0.3314,0.3328,0.3393,0.3473,0.3447,0.3352,0.3345,0.3525,0.3489,0.3361})</x:f>
        <x:v>17309.864257838904</x:v>
      </x:c>
    </x:row>
    <x:row r="9" ht="14" customHeight="1">
      <x:c r="A9" s="3">
        <x:v>45696</x:v>
      </x:c>
      <x:c r="B9" s="23" t="n">
        <x:v>424.98575846354163</x:v>
      </x:c>
      <x:c r="C9" s="23" t="n">
        <x:v>428.40885416666663</x:v>
      </x:c>
      <x:c r="D9" s="23" t="n">
        <x:v>1280.2475179036458</x:v>
      </x:c>
      <x:c r="E9" s="23" t="n">
        <x:v>1270.6556396484375</x:v>
      </x:c>
      <x:c r="F9" s="23" t="n">
        <x:v>435.27360026041663</x:v>
      </x:c>
      <x:c r="G9" s="23" t="n">
        <x:v>448.5294189453125</x:v>
      </x:c>
      <x:c r="H9" s="23" t="n">
        <x:v>459.6960042317708</x:v>
      </x:c>
      <x:c r="I9" s="23" t="n">
        <x:v>454.50492350260413</x:v>
      </x:c>
      <x:c r="J9" s="23" t="n">
        <x:v>448.15323893229163</x:v>
      </x:c>
      <x:c r="K9" s="23" t="n">
        <x:v>476.06840006510413</x:v>
      </x:c>
      <x:c r="L9" s="23" t="n">
        <x:v>489.2958984375</x:v>
      </x:c>
      <x:c r="M9" s="23" t="n">
        <x:v>1303.8955891927083</x:v>
      </x:c>
      <x:c r="N9" s="23" t="n">
        <x:v>1313.9702962239583</x:v>
      </x:c>
      <x:c r="O9" s="23" t="n">
        <x:v>510.17411295572913</x:v>
      </x:c>
      <x:c r="P9" s="23" t="n">
        <x:v>508.251220703125</x:v>
      </x:c>
      <x:c r="Q9" s="23" t="n">
        <x:v>1320.615763346354</x:v>
      </x:c>
      <x:c r="R9" s="23" t="n">
        <x:v>784.8627685207805</x:v>
      </x:c>
      <x:c r="S9" s="23" t="n">
        <x:v>505.2653401692708</x:v>
      </x:c>
      <x:c r="T9" s="23" t="n">
        <x:v>505.8662923177083</x:v>
      </x:c>
      <x:c r="U9" s="23" t="n">
        <x:v>501.54838053385413</x:v>
      </x:c>
      <x:c r="V9" s="23" t="n">
        <x:v>502.70926920572913</x:v>
      </x:c>
      <x:c r="W9" s="23" t="n">
        <x:v>500.1171468098958</x:v>
      </x:c>
      <x:c r="X9" s="23" t="n">
        <x:v>514.2358805338541</x:v>
      </x:c>
      <x:c r="Y9" s="23" t="n">
        <x:v>508.4915364583333</x:v>
      </x:c>
      <x:c r="Z9" s="23" t="n">
        <x:v>505.4132893880208</x:v>
      </x:c>
      <x:c r="AA9" s="23" t="n">
        <x:v>516.2538248697916</x:v>
      </x:c>
      <x:c r="AB9" s="23" t="n">
        <x:v>529.9716389973958</x:v>
      </x:c>
      <x:c r="AC9" s="23" t="n">
        <x:v>532.9413248697916</x:v>
      </x:c>
      <x:c r="AD9" s="23" t="n">
        <x:v>539.7838948567708</x:v>
      </x:c>
      <x:c r="AE9" s="23" t="n">
        <x:v>0</x:v>
      </x:c>
      <x:c r="AF9" s="23" t="n">
        <x:v>523.0478515625</x:v>
      </x:c>
      <x:c r="AG9" s="23" t="n">
        <x:v>521.0287679036458</x:v>
      </x:c>
      <x:c r="AH9" s="23" t="n">
        <x:v>552.7430419921875</x:v>
      </x:c>
      <x:c r="AI9" s="23" t="n">
        <x:v>557.4650472005208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1.1821570112873208</x:v>
      </x:c>
      <x:c r="CO9" s="23" t="n">
        <x:v>47.21007470302235</x:v>
      </x:c>
      <x:c r="CP9" s="23" t="n">
        <x:v>71.95198211857178</x:v>
      </x:c>
      <x:c r="CQ9" s="23" t="n">
        <x:v>103.72623435818453</x:v>
      </x:c>
      <x:c r="CR9" s="23" t="n">
        <x:v>143.88076289147375</x:v>
      </x:c>
      <x:c r="CS9" s="23" t="n">
        <x:v>180.90341084587524</x:v>
      </x:c>
      <x:c r="CT9" s="23" t="n">
        <x:v>227.9258706778103</x:v>
      </x:c>
      <x:c r="CU9" s="23" t="n">
        <x:v>284.72077168551675</x:v>
      </x:c>
      <x:c r="CV9" s="23" t="n">
        <x:v>358.1790415250657</x:v>
      </x:c>
      <x:c r="CW9" s="23" t="n">
        <x:v>421.4768037125005</x:v>
      </x:c>
      <x:c r="CX9" s="23" t="n">
        <x:v>412.52742123272185</x:v>
      </x:c>
      <x:c r="CY9" s="23" t="n">
        <x:v>382.58249912173244</x:v>
      </x:c>
      <x:c r="CZ9" s="23" t="n">
        <x:v>422.6361701075299</x:v>
      </x:c>
      <x:c r="DA9" s="23" t="n">
        <x:v>441.86144812458707</x:v>
      </x:c>
      <x:c r="DB9" s="23" t="n">
        <x:v>456.621826171875</x:v>
      </x:c>
      <x:c r="DC9" s="23" t="n">
        <x:v>450.3147868390777</x:v>
      </x:c>
      <x:c r="DD9" s="23" t="n">
        <x:v>156.0011856250001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488.08866373697913</x:v>
      </x:c>
      <x:c r="DX9" s="23" t="n">
        <x:v>478.1424560546875</x:v>
      </x:c>
      <x:c r="DY9" s="23" t="n">
        <x:v>484.0861409505208</x:v>
      </x:c>
      <x:c r="DZ9" s="23" t="n">
        <x:v>467.32340494791663</x:v>
      </x:c>
      <x:c r="EA9" s="23" t="n">
        <x:v>474.978515625</x:v>
      </x:c>
      <x:c r="EB9" s="23" t="n">
        <x:v>466.67289225260413</x:v>
      </x:c>
      <x:c r="EC9" s="23" t="n">
        <x:v>1242.3029378255208</x:v>
      </x:c>
      <x:c r="ED9" s="23" t="n">
        <x:v>1238.4100748697915</x:v>
      </x:c>
      <x:c r="EE9" s="23" t="n">
        <x:v>1250.8692626953125</x:v>
      </x:c>
      <x:c r="EF9" s="23" t="n">
        <x:v>684.9171470148533</x:v>
      </x:c>
      <x:c r="EG9" s="23" t="n">
        <x:v>1252.3016764322915</x:v>
      </x:c>
      <x:c r="EH9" s="23" t="n">
        <x:v>415.53519694010413</x:v>
      </x:c>
      <x:c r="EI9" s="23" t="n">
        <x:v>1248.3601888020833</x:v>
      </x:c>
      <x:c r="EJ9" s="23" t="n">
        <x:v>1249.293253580729</x:v>
      </x:c>
      <x:c r="EK9" s="23" t="n">
        <x:v>406.5461018880208</x:v>
      </x:c>
      <x:c r="EL9" s="23" t="n">
        <x:v>418.8875325520833</x:v>
      </x:c>
      <x:c r="EM9" s="23" t="n">
        <x:v>420.9798583984375</x:v>
      </x:c>
      <x:c r="EN9" s="23" t="n">
        <x:v>438.79142252604163</x:v>
      </x:c>
      <x:c r="EO9" s="23" t="n">
        <x:v>584.6416829427083</x:v>
      </x:c>
      <x:c r="EP9" s="23" t="n">
        <x:f>SUM(B9:EO9)</x:f>
        <x:v>38949.302389956734</x:v>
      </x:c>
      <x:c r="EQ9" s="23" t="n">
        <x:f>SUMPRODUCT(B9:EO9,{0.3602,0.344,0.2932,0.2942,0.299,0.3013,0.3421,0.3507,0.3202,0.3195,0.3497,0.3836,0.3938,0.3946,0.3787,0.3317,0.3351,0.3807,0.3761,0.348,0.3224,0.3031,0.324,0.3626,0.3646,0.4006,0.4409,0.3846,0.3659,0.4072,0.3981,0.3843,0.3702,0.3411,0.5163,0.795,0.8304,0.8002,0.8031,0.7609,0.7425,0.7768,0.8177,0.8334,0.7909,0.7086,0.8176,1.0353,1.0356,0.976,0.9679,0.9612,0.9445,0.9256,0.9149,0.9031,0.8891,0.8767,0.8393,0.7947,0.7884,0.7721,0.7625,0.7892,0.5992,0.3101,0.3172,0.3702,0.3316,0.3226,0.3762,0.4209,0.3586,0.2992,0.2923,0.3182,0.52,0.7467,0.6791,0.6518,0.7662,0.7908,0.7631,0.7461,0.7559,0.8013,0.8635,0.8848,0.7636,0.5797,0.5432,0.6158,0.6712,0.6231,0.6323,0.7114,0.7155,0.7083,0.7308,0.7499,0.7447,0.728,0.7356,0.7751,0.775,0.6886,0.8323,1.1219,1.1399,1.0961,1.1085,1.0855,1.1036,1.1587,1.1537,1.1225,1.1035,1.1,1.0959,1.0985,1.1235,1.1133,1.1078,1.1675,0.9926,0.6952,0.7109,0.7719,0.7782,0.8545,0.6551,0.2941,0.2752,0.3456,0.3406,0.3482,0.3384,0.3087,0.3027,0.3102,0.3172,0.3221,0.331,0.3606})</x:f>
        <x:v>16191.569676174018</x:v>
      </x:c>
    </x:row>
    <x:row r="10" ht="14" customHeight="1">
      <x:c r="A10" s="3">
        <x:v>45697</x:v>
      </x:c>
      <x:c r="B10" s="23" t="n">
        <x:v>596.5089111328125</x:v>
      </x:c>
      <x:c r="C10" s="23" t="n">
        <x:v>593.4002685546875</x:v>
      </x:c>
      <x:c r="D10" s="23" t="n">
        <x:v>1427.520060221354</x:v>
      </x:c>
      <x:c r="E10" s="23" t="n">
        <x:v>1423.4816080729165</x:v>
      </x:c>
      <x:c r="F10" s="23" t="n">
        <x:v>602.5032145182291</x:v>
      </x:c>
      <x:c r="G10" s="23" t="n">
        <x:v>612.885498046875</x:v>
      </x:c>
      <x:c r="H10" s="23" t="n">
        <x:v>621.4126790364583</x:v>
      </x:c>
      <x:c r="I10" s="23" t="n">
        <x:v>617.100830078125</x:v>
      </x:c>
      <x:c r="J10" s="23" t="n">
        <x:v>1440.513468424479</x:v>
      </x:c>
      <x:c r="K10" s="23" t="n">
        <x:v>606.8115641276041</x:v>
      </x:c>
      <x:c r="L10" s="23" t="n">
        <x:v>624.9644368489583</x:v>
      </x:c>
      <x:c r="M10" s="23" t="n">
        <x:v>621.610595703125</x:v>
      </x:c>
      <x:c r="N10" s="23" t="n">
        <x:v>636.2266031901041</x:v>
      </x:c>
      <x:c r="O10" s="23" t="n">
        <x:v>648.5939534505208</x:v>
      </x:c>
      <x:c r="P10" s="23" t="n">
        <x:v>650.1586100260416</x:v>
      </x:c>
      <x:c r="Q10" s="23" t="n">
        <x:v>635.29931640625</x:v>
      </x:c>
      <x:c r="R10" s="23" t="n">
        <x:v>1463.5767822265625</x:v>
      </x:c>
      <x:c r="S10" s="23" t="n">
        <x:v>634.0596516927083</x:v>
      </x:c>
      <x:c r="T10" s="23" t="n">
        <x:v>645.5531412760416</x:v>
      </x:c>
      <x:c r="U10" s="23" t="n">
        <x:v>1301.790281813574</x:v>
      </x:c>
      <x:c r="V10" s="23" t="n">
        <x:v>675.65576171875</x:v>
      </x:c>
      <x:c r="W10" s="23" t="n">
        <x:v>668.1075032552083</x:v>
      </x:c>
      <x:c r="X10" s="23" t="n">
        <x:v>662.7632242838541</x:v>
      </x:c>
      <x:c r="Y10" s="23" t="n">
        <x:v>667.1837565104166</x:v>
      </x:c>
      <x:c r="Z10" s="23" t="n">
        <x:v>672.8725992838541</x:v>
      </x:c>
      <x:c r="AA10" s="23" t="n">
        <x:v>677.4894612630208</x:v>
      </x:c>
      <x:c r="AB10" s="23" t="n">
        <x:v>683.7017415364583</x:v>
      </x:c>
      <x:c r="AC10" s="23" t="n">
        <x:v>688.3719075520833</x:v>
      </x:c>
      <x:c r="AD10" s="23" t="n">
        <x:v>683.4979654947916</x:v>
      </x:c>
      <x:c r="AE10" s="23" t="n">
        <x:v>678.160400390625</x:v>
      </x:c>
      <x:c r="AF10" s="23" t="n">
        <x:v>686.0673828125</x:v>
      </x:c>
      <x:c r="AG10" s="23" t="n">
        <x:v>691.9393717447916</x:v>
      </x:c>
      <x:c r="AH10" s="23" t="n">
        <x:v>689.4715983072916</x:v>
      </x:c>
      <x:c r="AI10" s="23" t="n">
        <x:v>1513.7426350911458</x:v>
      </x:c>
      <x:c r="AJ10" s="23" t="n">
        <x:v>760.9149576822916</x:v>
      </x:c>
      <x:c r="AK10" s="23" t="n">
        <x:v>901.6822102864583</x:v>
      </x:c>
      <x:c r="AL10" s="23" t="n">
        <x:v>398.2377270339949</x:v>
      </x:c>
      <x:c r="AM10" s="23" t="n">
        <x:v>379.43955450770136</x:v>
      </x:c>
      <x:c r="AN10" s="23" t="n">
        <x:v>380.38683940972226</x:v>
      </x:c>
      <x:c r="AO10" s="23" t="n">
        <x:v>373.20824176556636</x:v>
      </x:c>
      <x:c r="AP10" s="23" t="n">
        <x:v>864.2029360661</x:v>
      </x:c>
      <x:c r="AQ10" s="23" t="n">
        <x:v>666.1297267448986</x:v>
      </x:c>
      <x:c r="AR10" s="23" t="n">
        <x:v>755.6301552495689</x:v>
      </x:c>
      <x:c r="AS10" s="23" t="n">
        <x:v>747.5534113689084</x:v>
      </x:c>
      <x:c r="AT10" s="23" t="n">
        <x:v>700.1767146965203</x:v>
      </x:c>
      <x:c r="AU10" s="23" t="n">
        <x:v>617.3106639343881</x:v>
      </x:c>
      <x:c r="AV10" s="23" t="n">
        <x:v>141.19486444471568</x:v>
      </x:c>
      <x:c r="AW10" s="23" t="n">
        <x:v>523.7867348894546</x:v>
      </x:c>
      <x:c r="AX10" s="23" t="n">
        <x:v>484.5572126848617</x:v>
      </x:c>
      <x:c r="AY10" s="23" t="n">
        <x:v>362.96291639595177</x:v>
      </x:c>
      <x:c r="AZ10" s="23" t="n">
        <x:v>373.9872477210686</x:v>
      </x:c>
      <x:c r="BA10" s="23" t="n">
        <x:v>291.4003405525791</x:v>
      </x:c>
      <x:c r="BB10" s="23" t="n">
        <x:v>197.6779441095022</x:v>
      </x:c>
      <x:c r="BC10" s="23" t="n">
        <x:v>113.53597442664355</x:v>
      </x:c>
      <x:c r="BD10" s="23" t="n">
        <x:v>73.29354887325196</x:v>
      </x:c>
      <x:c r="BE10" s="23" t="n">
        <x:v>12.641415701788597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0</x:v>
      </x:c>
      <x:c r="BO10" s="23" t="n">
        <x:v>881.6426330825077</x:v>
      </x:c>
      <x:c r="BP10" s="23" t="n">
        <x:v>878.0576449419486</x:v>
      </x:c>
      <x:c r="BQ10" s="23" t="n">
        <x:v>877.0302984094969</x:v>
      </x:c>
      <x:c r="BR10" s="23" t="n">
        <x:v>864.7380851532666</x:v>
      </x:c>
      <x:c r="BS10" s="23" t="n">
        <x:v>858.6357926938949</x:v>
      </x:c>
      <x:c r="BT10" s="23" t="n">
        <x:v>816.6173652203994</x:v>
      </x:c>
      <x:c r="BU10" s="23" t="n">
        <x:v>771.215441608405</x:v>
      </x:c>
      <x:c r="BV10" s="23" t="n">
        <x:v>785.8934961879415</x:v>
      </x:c>
      <x:c r="BW10" s="23" t="n">
        <x:v>803.3052626333897</x:v>
      </x:c>
      <x:c r="BX10" s="23" t="n">
        <x:v>809.8004431811628</x:v>
      </x:c>
      <x:c r="BY10" s="23" t="n">
        <x:v>802.5158417939654</x:v>
      </x:c>
      <x:c r="BZ10" s="23" t="n">
        <x:v>817.8988436531891</x:v>
      </x:c>
      <x:c r="CA10" s="23" t="n">
        <x:v>0</x:v>
      </x:c>
      <x:c r="CB10" s="23" t="n">
        <x:v>0</x:v>
      </x:c>
      <x:c r="CC10" s="23" t="n">
        <x:v>34.32728138153091</x:v>
      </x:c>
      <x:c r="CD10" s="23" t="n">
        <x:v>55.21582383581426</x:v>
      </x:c>
      <x:c r="CE10" s="23" t="n">
        <x:v>103.98938447462993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872.9696304629824</x:v>
      </x:c>
      <x:c r="CN10" s="23" t="n">
        <x:v>1265.5294217837927</x:v>
      </x:c>
      <x:c r="CO10" s="23" t="n">
        <x:v>1302.6437032400377</x:v>
      </x:c>
      <x:c r="CP10" s="23" t="n">
        <x:v>517.028957548994</x:v>
      </x:c>
      <x:c r="CQ10" s="23" t="n">
        <x:v>571.9873329067982</x:v>
      </x:c>
      <x:c r="CR10" s="23" t="n">
        <x:v>625.522510105133</x:v>
      </x:c>
      <x:c r="CS10" s="23" t="n">
        <x:v>665.640283092294</x:v>
      </x:c>
      <x:c r="CT10" s="23" t="n">
        <x:v>712.4875076415053</x:v>
      </x:c>
      <x:c r="CU10" s="23" t="n">
        <x:v>766.9350421054387</x:v>
      </x:c>
      <x:c r="CV10" s="23" t="n">
        <x:v>825.1132647447781</x:v>
      </x:c>
      <x:c r="CW10" s="23" t="n">
        <x:v>864.9815288598013</x:v>
      </x:c>
      <x:c r="CX10" s="23" t="n">
        <x:v>908.6202873132512</x:v>
      </x:c>
      <x:c r="CY10" s="23" t="n">
        <x:v>944.5410087743142</x:v>
      </x:c>
      <x:c r="CZ10" s="23" t="n">
        <x:v>987.4045630373562</x:v>
      </x:c>
      <x:c r="DA10" s="23" t="n">
        <x:v>1009.1131687143873</x:v>
      </x:c>
      <x:c r="DB10" s="23" t="n">
        <x:v>1035.9566243489583</x:v>
      </x:c>
      <x:c r="DC10" s="23" t="n">
        <x:v>1047.2670198085525</x:v>
      </x:c>
      <x:c r="DD10" s="23" t="n">
        <x:v>929.2781223078929</x:v>
      </x:c>
      <x:c r="DE10" s="23" t="n">
        <x:v>704.9708658854166</x:v>
      </x:c>
      <x:c r="DF10" s="23" t="n">
        <x:v>78.7886531684027</x:v>
      </x:c>
      <x:c r="DG10" s="23" t="n">
        <x:v>200.89504592881795</x:v>
      </x:c>
      <x:c r="DH10" s="23" t="n">
        <x:v>721.10693359375</x:v>
      </x:c>
      <x:c r="DI10" s="23" t="n">
        <x:v>730.0265299479166</x:v>
      </x:c>
      <x:c r="DJ10" s="23" t="n">
        <x:v>165.40269078993066</x:v>
      </x:c>
      <x:c r="DK10" s="23" t="n">
        <x:v>163.30275065104175</x:v>
      </x:c>
      <x:c r="DL10" s="23" t="n">
        <x:v>150.58524810763902</x:v>
      </x:c>
      <x:c r="DM10" s="23" t="n">
        <x:v>111.13361815104182</x:v>
      </x:c>
      <x:c r="DN10" s="23" t="n">
        <x:v>89.26216688368064</x:v>
      </x:c>
      <x:c r="DO10" s="23" t="n">
        <x:v>94.16359903645828</x:v>
      </x:c>
      <x:c r="DP10" s="23" t="n">
        <x:v>92.0624780034722</x:v>
      </x:c>
      <x:c r="DQ10" s="23" t="n">
        <x:v>106.91352322048608</x:v>
      </x:c>
      <x:c r="DR10" s="23" t="n">
        <x:v>76.53028985243061</x:v>
      </x:c>
      <x:c r="DS10" s="23" t="n">
        <x:v>113.02865821180558</x:v>
      </x:c>
      <x:c r="DT10" s="23" t="n">
        <x:v>117.60827994791664</x:v>
      </x:c>
      <x:c r="DU10" s="23" t="n">
        <x:v>136.47373459201395</x:v>
      </x:c>
      <x:c r="DV10" s="23" t="n">
        <x:v>715.6252706857638</x:v>
      </x:c>
      <x:c r="DW10" s="23" t="n">
        <x:v>716.6172965052725</x:v>
      </x:c>
      <x:c r="DX10" s="23" t="n">
        <x:v>718.0585681825489</x:v>
      </x:c>
      <x:c r="DY10" s="23" t="n">
        <x:v>704.580810546875</x:v>
      </x:c>
      <x:c r="DZ10" s="23" t="n">
        <x:v>705.7852376302083</x:v>
      </x:c>
      <x:c r="EA10" s="23" t="n">
        <x:v>713.6392673524306</x:v>
      </x:c>
      <x:c r="EB10" s="23" t="n">
        <x:v>625.2734006901042</x:v>
      </x:c>
      <x:c r="EC10" s="23" t="n">
        <x:v>664.8653758117928</x:v>
      </x:c>
      <x:c r="ED10" s="23" t="n">
        <x:v>1387.4952799479165</x:v>
      </x:c>
      <x:c r="EE10" s="23" t="n">
        <x:v>566.34130859375</x:v>
      </x:c>
      <x:c r="EF10" s="23" t="n">
        <x:v>566.1691080729166</x:v>
      </x:c>
      <x:c r="EG10" s="23" t="n">
        <x:v>572.8614908854166</x:v>
      </x:c>
      <x:c r="EH10" s="23" t="n">
        <x:v>1407.0988362630208</x:v>
      </x:c>
      <x:c r="EI10" s="23" t="n">
        <x:v>1400.9154459635415</x:v>
      </x:c>
      <x:c r="EJ10" s="23" t="n">
        <x:v>1408.746134440104</x:v>
      </x:c>
      <x:c r="EK10" s="23" t="n">
        <x:v>1411.0672607421875</x:v>
      </x:c>
      <x:c r="EL10" s="23" t="n">
        <x:v>1426.2635091145833</x:v>
      </x:c>
      <x:c r="EM10" s="23" t="n">
        <x:v>575.4881184895833</x:v>
      </x:c>
      <x:c r="EN10" s="23" t="n">
        <x:v>580.6187744140625</x:v>
      </x:c>
      <x:c r="EO10" s="23" t="n">
        <x:v>602.0015462239583</x:v>
      </x:c>
      <x:c r="EP10" s="23" t="n">
        <x:f>SUM(B10:EO10)</x:f>
        <x:v>84198.57884421422</x:v>
      </x:c>
      <x:c r="EQ10" s="23" t="n">
        <x:f>SUMPRODUCT(B10:EO10,{0.4192,0.4477,0.4433,0.4512,0.4195,0.3761,0.4109,0.4457,0.4364,0.4168,0.4194,0.452,0.4919,0.4911,0.4675,0.4798,0.4676,0.4337,0.4445,0.4502,0.4421,0.4623,0.476,0.4868,0.5211,0.4686,0.3831,0.4381,0.4981,0.4894,0.4728,0.4782,0.4718,0.4429,0.6725,1.0237,1.0452,0.9786,0.9806,0.9681,0.9531,0.951,0.9557,0.9677,0.9408,0.8626,1.0277,1.328,1.3378,1.2705,1.2625,1.2385,1.2464,1.2634,1.2088,1.1777,1.1756,1.1216,1.1196,1.1669,1.1438,1.0808,1.0576,1.0991,0.989,0.7833,0.7543,0.7193,0.646,0.6935,0.7239,0.6835,0.6589,0.6516,0.6264,0.5898,0.7541,1.0292,1.0824,1.023,0.9933,1.0269,1.0514,1.0518,1.0799,1.1198,1.1508,1.1429,0.9865,0.7891,0.7963,0.8624,0.881,0.8828,0.8884,0.9213,0.9864,0.992,0.9636,1.0145,1.0494,1.05,1.0919,1.1073,1.0787,1.0746,1.1495,1.2449,1.2459,1.241,1.2509,1.2175,1.2433,1.3229,1.3344,1.2913,1.2621,1.295,1.2869,1.246,1.2781,1.2885,1.2806,1.325,1.1788,0.9301,0.9278,0.9336,0.9193,1.0396,0.7748,0.3001,0.3496,0.4456,0.3753,0.4057,0.4229,0.3954,0.4264,0.4288,0.3895,0.393,0.4212,0.4351})</x:f>
        <x:v>59637.832392120086</x:v>
      </x:c>
    </x:row>
    <x:row r="11" ht="14" customHeight="1">
      <x:c r="A11" s="3">
        <x:v>45698</x:v>
      </x:c>
      <x:c r="B11" s="23" t="n">
        <x:v>573.6668294270833</x:v>
      </x:c>
      <x:c r="C11" s="23" t="n">
        <x:v>1404.1095377604165</x:v>
      </x:c>
      <x:c r="D11" s="23" t="n">
        <x:v>1433.4773763020833</x:v>
      </x:c>
      <x:c r="E11" s="23" t="n">
        <x:v>1415.747802734375</x:v>
      </x:c>
      <x:c r="F11" s="23" t="n">
        <x:v>1005.8597556986242</x:v>
      </x:c>
      <x:c r="G11" s="23" t="n">
        <x:v>1422.2231038411458</x:v>
      </x:c>
      <x:c r="H11" s="23" t="n">
        <x:v>593.0965576171875</x:v>
      </x:c>
      <x:c r="I11" s="23" t="n">
        <x:v>601.3624674479166</x:v>
      </x:c>
      <x:c r="J11" s="23" t="n">
        <x:v>1449.084716796875</x:v>
      </x:c>
      <x:c r="K11" s="23" t="n">
        <x:v>630.0285237630208</x:v>
      </x:c>
      <x:c r="L11" s="23" t="n">
        <x:v>633.7587483723958</x:v>
      </x:c>
      <x:c r="M11" s="23" t="n">
        <x:v>636.5436604817708</x:v>
      </x:c>
      <x:c r="N11" s="23" t="n">
        <x:v>633.3684895833333</x:v>
      </x:c>
      <x:c r="O11" s="23" t="n">
        <x:v>638.4355061848958</x:v>
      </x:c>
      <x:c r="P11" s="23" t="n">
        <x:v>644.2309163411458</x:v>
      </x:c>
      <x:c r="Q11" s="23" t="n">
        <x:v>678.6811930338541</x:v>
      </x:c>
      <x:c r="R11" s="23" t="n">
        <x:v>1513.3487548828125</x:v>
      </x:c>
      <x:c r="S11" s="23" t="n">
        <x:v>655.0572102864583</x:v>
      </x:c>
      <x:c r="T11" s="23" t="n">
        <x:v>638.0062662760416</x:v>
      </x:c>
      <x:c r="U11" s="23" t="n">
        <x:v>636.408447265625</x:v>
      </x:c>
      <x:c r="V11" s="23" t="n">
        <x:v>633.7251383463541</x:v>
      </x:c>
      <x:c r="W11" s="23" t="n">
        <x:v>645.5304768880208</x:v>
      </x:c>
      <x:c r="X11" s="23" t="n">
        <x:v>676.9032389322916</x:v>
      </x:c>
      <x:c r="Y11" s="23" t="n">
        <x:v>682.2980550130208</x:v>
      </x:c>
      <x:c r="Z11" s="23" t="n">
        <x:v>681.1688232421875</x:v>
      </x:c>
      <x:c r="AA11" s="23" t="n">
        <x:v>693.6433919270833</x:v>
      </x:c>
      <x:c r="AB11" s="23" t="n">
        <x:v>707.44677734375</x:v>
      </x:c>
      <x:c r="AC11" s="23" t="n">
        <x:v>690.0714518229166</x:v>
      </x:c>
      <x:c r="AD11" s="23" t="n">
        <x:v>683.865478515625</x:v>
      </x:c>
      <x:c r="AE11" s="23" t="n">
        <x:v>692.3822428385416</x:v>
      </x:c>
      <x:c r="AF11" s="23" t="n">
        <x:v>693.8404134114583</x:v>
      </x:c>
      <x:c r="AG11" s="23" t="n">
        <x:v>700.5409342447916</x:v>
      </x:c>
      <x:c r="AH11" s="23" t="n">
        <x:v>697.748779296875</x:v>
      </x:c>
      <x:c r="AI11" s="23" t="n">
        <x:v>692.9763997395833</x:v>
      </x:c>
      <x:c r="AJ11" s="23" t="n">
        <x:v>738.54833984375</x:v>
      </x:c>
      <x:c r="AK11" s="23" t="n">
        <x:v>888.6050618489583</x:v>
      </x:c>
      <x:c r="AL11" s="23" t="n">
        <x:v>90.90741681174237</x:v>
      </x:c>
      <x:c r="AM11" s="23" t="n">
        <x:v>894.9315498826154</x:v>
      </x:c>
      <x:c r="AN11" s="23" t="n">
        <x:v>914.6378580729166</x:v>
      </x:c>
      <x:c r="AO11" s="23" t="n">
        <x:v>888.40203303296</x:v>
      </x:c>
      <x:c r="AP11" s="23" t="n">
        <x:v>870.8165997708536</x:v>
      </x:c>
      <x:c r="AQ11" s="23" t="n">
        <x:v>835.6597115635856</x:v>
      </x:c>
      <x:c r="AR11" s="23" t="n">
        <x:v>801.0618878764649</x:v>
      </x:c>
      <x:c r="AS11" s="23" t="n">
        <x:v>759.4391692542326</x:v>
      </x:c>
      <x:c r="AT11" s="23" t="n">
        <x:v>691.1010477638865</x:v>
      </x:c>
      <x:c r="AU11" s="23" t="n">
        <x:v>1032.8721771272046</x:v>
      </x:c>
      <x:c r="AV11" s="23" t="n">
        <x:v>646.2317986785683</x:v>
      </x:c>
      <x:c r="AW11" s="23" t="n">
        <x:v>5.827131326949257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95.0987556467177</x:v>
      </x:c>
      <x:c r="BO11" s="23" t="n">
        <x:v>914.329195266625</x:v>
      </x:c>
      <x:c r="BP11" s="23" t="n">
        <x:v>894.226254434599</x:v>
      </x:c>
      <x:c r="BQ11" s="23" t="n">
        <x:v>878.734487004275</x:v>
      </x:c>
      <x:c r="BR11" s="23" t="n">
        <x:v>853.9252289434245</x:v>
      </x:c>
      <x:c r="BS11" s="23" t="n">
        <x:v>840.7246983288379</x:v>
      </x:c>
      <x:c r="BT11" s="23" t="n">
        <x:v>810.6983994900017</x:v>
      </x:c>
      <x:c r="BU11" s="23" t="n">
        <x:v>786.7270966542669</x:v>
      </x:c>
      <x:c r="BV11" s="23" t="n">
        <x:v>774.8068325466513</x:v>
      </x:c>
      <x:c r="BW11" s="23" t="n">
        <x:v>770.6145655483822</x:v>
      </x:c>
      <x:c r="BX11" s="23" t="n">
        <x:v>764.9642620262516</x:v>
      </x:c>
      <x:c r="BY11" s="23" t="n">
        <x:v>767.1195659895349</x:v>
      </x:c>
      <x:c r="BZ11" s="23" t="n">
        <x:v>799.903508810182</x:v>
      </x:c>
      <x:c r="CA11" s="23" t="n">
        <x:v>1.0853961668901015</x:v>
      </x:c>
      <x:c r="CB11" s="23" t="n">
        <x:v>9.13475897466651</x:v>
      </x:c>
      <x:c r="CC11" s="23" t="n">
        <x:v>29.148990026522974</x:v>
      </x:c>
      <x:c r="CD11" s="23" t="n">
        <x:v>48.77384186235031</x:v>
      </x:c>
      <x:c r="CE11" s="23" t="n">
        <x:v>57.427934775225665</x:v>
      </x:c>
      <x:c r="CF11" s="23" t="n">
        <x:v>90.67712809534183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373.48076430508183</x:v>
      </x:c>
      <x:c r="CN11" s="23" t="n">
        <x:v>1248.0837226170174</x:v>
      </x:c>
      <x:c r="CO11" s="23" t="n">
        <x:v>1268.2202240330698</x:v>
      </x:c>
      <x:c r="CP11" s="23" t="n">
        <x:v>525.449771711136</x:v>
      </x:c>
      <x:c r="CQ11" s="23" t="n">
        <x:v>560.1228213753317</x:v>
      </x:c>
      <x:c r="CR11" s="23" t="n">
        <x:v>612.9693122777747</x:v>
      </x:c>
      <x:c r="CS11" s="23" t="n">
        <x:v>656.7006245412128</x:v>
      </x:c>
      <x:c r="CT11" s="23" t="n">
        <x:v>710.3572956628424</x:v>
      </x:c>
      <x:c r="CU11" s="23" t="n">
        <x:v>750.4981106814581</x:v>
      </x:c>
      <x:c r="CV11" s="23" t="n">
        <x:v>785.7387181203676</x:v>
      </x:c>
      <x:c r="CW11" s="23" t="n">
        <x:v>835.7291743327698</x:v>
      </x:c>
      <x:c r="CX11" s="23" t="n">
        <x:v>877.1679731685911</x:v>
      </x:c>
      <x:c r="CY11" s="23" t="n">
        <x:v>907.5480379411133</x:v>
      </x:c>
      <x:c r="CZ11" s="23" t="n">
        <x:v>951.3808316307777</x:v>
      </x:c>
      <x:c r="DA11" s="23" t="n">
        <x:v>977.4823496627838</x:v>
      </x:c>
      <x:c r="DB11" s="23" t="n">
        <x:v>1030.5335286458333</x:v>
      </x:c>
      <x:c r="DC11" s="23" t="n">
        <x:v>1046.9302622518653</x:v>
      </x:c>
      <x:c r="DD11" s="23" t="n">
        <x:v>931.0864023133829</x:v>
      </x:c>
      <x:c r="DE11" s="23" t="n">
        <x:v>725.0001627604166</x:v>
      </x:c>
      <x:c r="DF11" s="23" t="n">
        <x:v>717.2565104166666</x:v>
      </x:c>
      <x:c r="DG11" s="23" t="n">
        <x:v>724.431884765625</x:v>
      </x:c>
      <x:c r="DH11" s="23" t="n">
        <x:v>724.45556640625</x:v>
      </x:c>
      <x:c r="DI11" s="23" t="n">
        <x:v>728.1555989583333</x:v>
      </x:c>
      <x:c r="DJ11" s="23" t="n">
        <x:v>95.00866536458344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711.7247721354166</x:v>
      </x:c>
      <x:c r="DW11" s="23" t="n">
        <x:v>718.116943359375</x:v>
      </x:c>
      <x:c r="DX11" s="23" t="n">
        <x:v>752.1895799977494</x:v>
      </x:c>
      <x:c r="DY11" s="23" t="n">
        <x:v>734.6136881510416</x:v>
      </x:c>
      <x:c r="DZ11" s="23" t="n">
        <x:v>725.047119140625</x:v>
      </x:c>
      <x:c r="EA11" s="23" t="n">
        <x:v>747.2080891927083</x:v>
      </x:c>
      <x:c r="EB11" s="23" t="n">
        <x:v>704.11376953125</x:v>
      </x:c>
      <x:c r="EC11" s="23" t="n">
        <x:v>568.914306640625</x:v>
      </x:c>
      <x:c r="ED11" s="23" t="n">
        <x:v>573.4035237630208</x:v>
      </x:c>
      <x:c r="EE11" s="23" t="n">
        <x:v>585.4044189453125</x:v>
      </x:c>
      <x:c r="EF11" s="23" t="n">
        <x:v>584.9432779947916</x:v>
      </x:c>
      <x:c r="EG11" s="23" t="n">
        <x:v>1417.8619791666665</x:v>
      </x:c>
      <x:c r="EH11" s="23" t="n">
        <x:v>1415.4859619140625</x:v>
      </x:c>
      <x:c r="EI11" s="23" t="n">
        <x:v>1410.1703694661458</x:v>
      </x:c>
      <x:c r="EJ11" s="23" t="n">
        <x:v>1416.684366861979</x:v>
      </x:c>
      <x:c r="EK11" s="23" t="n">
        <x:v>585.6455078125</x:v>
      </x:c>
      <x:c r="EL11" s="23" t="n">
        <x:v>582.9550374348958</x:v>
      </x:c>
      <x:c r="EM11" s="23" t="n">
        <x:v>869.5381323744533</x:v>
      </x:c>
      <x:c r="EN11" s="23" t="n">
        <x:v>1419.9049072265625</x:v>
      </x:c>
      <x:c r="EO11" s="23" t="n">
        <x:v>1413.0895182291665</x:v>
      </x:c>
      <x:c r="EP11" s="23" t="n">
        <x:f>SUM(B11:EO11)</x:f>
        <x:v>84356.60373238764</x:v>
      </x:c>
      <x:c r="EQ11" s="23" t="n">
        <x:f>SUMPRODUCT(B11:EO11,{0.4168,0.4072,0.4099,0.3927,0.3849,0.4095,0.4599,0.5035,0.4913,0.4059,0.3904,0.4383,0.4126,0.4074,0.4488,0.461,0.4713,0.4778,0.4461,0.4348,0.4378,0.4033,0.4427,0.5365,0.5406,0.5001,0.4733,0.4751,0.4925,0.5075,0.5088,0.5036,0.4661,0.4089,0.6294,0.9916,1.034,1.0013,1.0162,0.96,0.9579,0.9852,0.8934,0.8809,0.926,0.8386,0.974,1.2896,1.352,1.3045,1.268,1.2133,1.1954,1.1913,1.1252,1.107,1.127,1.0648,1.0219,1.0331,1.025,0.9897,0.9878,1.0537,0.9277,0.6661,0.5981,0.588,0.5583,0.5782,0.5938,0.5696,0.5299,0.5317,0.542,0.5126,0.7039,0.9939,0.9708,0.897,0.9387,0.9967,0.9934,0.9714,1.0306,1.0581,1.0568,1.1154,1.0018,0.7838,0.785,0.8335,0.8351,0.8706,0.9036,0.9337,0.9952,0.9985,0.9546,0.9709,1.0115,1.0399,1.0604,1.0913,1.1141,1.1005,1.1393,1.2159,1.224,1.2191,1.2474,1.2928,1.2949,1.2683,1.2801,1.2721,1.2515,1.2884,1.314,1.2961,1.2687,1.243,1.2552,1.3061,1.1496,0.8954,0.9153,0.9683,0.9657,1.0174,0.8086,0.4431,0.3785,0.3901,0.3637,0.4141,0.434,0.4063,0.422,0.4163,0.3843,0.4007,0.4576,0.4819})</x:f>
        <x:v>57292.931458117506</x:v>
      </x:c>
    </x:row>
    <x:row r="12" ht="14" customHeight="1">
      <x:c r="A12" s="3">
        <x:v>45699</x:v>
      </x:c>
      <x:c r="B12" s="23" t="n">
        <x:v>569.4863688151041</x:v>
      </x:c>
      <x:c r="C12" s="23" t="n">
        <x:v>669.9779707248274</x:v>
      </x:c>
      <x:c r="D12" s="23" t="n">
        <x:v>1425.231730143229</x:v>
      </x:c>
      <x:c r="E12" s="23" t="n">
        <x:v>1413.627197265625</x:v>
      </x:c>
      <x:c r="F12" s="23" t="n">
        <x:v>588.2313639322916</x:v>
      </x:c>
      <x:c r="G12" s="23" t="n">
        <x:v>617.5636800130208</x:v>
      </x:c>
      <x:c r="H12" s="23" t="n">
        <x:v>633.4802652994791</x:v>
      </x:c>
      <x:c r="I12" s="23" t="n">
        <x:v>629.8463948567708</x:v>
      </x:c>
      <x:c r="J12" s="23" t="n">
        <x:v>1438.9460042317708</x:v>
      </x:c>
      <x:c r="K12" s="23" t="n">
        <x:v>1469.45849609375</x:v>
      </x:c>
      <x:c r="L12" s="23" t="n">
        <x:v>635.2397867838541</x:v>
      </x:c>
      <x:c r="M12" s="23" t="n">
        <x:v>638.1900634765625</x:v>
      </x:c>
      <x:c r="N12" s="23" t="n">
        <x:v>633.2272135416666</x:v>
      </x:c>
      <x:c r="O12" s="23" t="n">
        <x:v>645.6822102864583</x:v>
      </x:c>
      <x:c r="P12" s="23" t="n">
        <x:v>650.9581298828125</x:v>
      </x:c>
      <x:c r="Q12" s="23" t="n">
        <x:v>652.2798258463541</x:v>
      </x:c>
      <x:c r="R12" s="23" t="n">
        <x:v>654.5072021484375</x:v>
      </x:c>
      <x:c r="S12" s="23" t="n">
        <x:v>669.625732421875</x:v>
      </x:c>
      <x:c r="T12" s="23" t="n">
        <x:v>643.4716796875</x:v>
      </x:c>
      <x:c r="U12" s="23" t="n">
        <x:v>651.7823486328125</x:v>
      </x:c>
      <x:c r="V12" s="23" t="n">
        <x:v>672.5853678385416</x:v>
      </x:c>
      <x:c r="W12" s="23" t="n">
        <x:v>667.9447428385416</x:v>
      </x:c>
      <x:c r="X12" s="23" t="n">
        <x:v>635.21240234375</x:v>
      </x:c>
      <x:c r="Y12" s="23" t="n">
        <x:v>649.44677734375</x:v>
      </x:c>
      <x:c r="Z12" s="23" t="n">
        <x:v>663.6964925130208</x:v>
      </x:c>
      <x:c r="AA12" s="23" t="n">
        <x:v>692.4501953125</x:v>
      </x:c>
      <x:c r="AB12" s="23" t="n">
        <x:v>704.3096516927083</x:v>
      </x:c>
      <x:c r="AC12" s="23" t="n">
        <x:v>699.2650553385416</x:v>
      </x:c>
      <x:c r="AD12" s="23" t="n">
        <x:v>677.7052815755208</x:v>
      </x:c>
      <x:c r="AE12" s="23" t="n">
        <x:v>677.2559000651041</x:v>
      </x:c>
      <x:c r="AF12" s="23" t="n">
        <x:v>1526.5406087239583</x:v>
      </x:c>
      <x:c r="AG12" s="23" t="n">
        <x:v>710.9231770833333</x:v>
      </x:c>
      <x:c r="AH12" s="23" t="n">
        <x:v>702.7130533854166</x:v>
      </x:c>
      <x:c r="AI12" s="23" t="n">
        <x:v>1512.1444905598958</x:v>
      </x:c>
      <x:c r="AJ12" s="23" t="n">
        <x:v>721.4437662760416</x:v>
      </x:c>
      <x:c r="AK12" s="23" t="n">
        <x:v>857.1031087239583</x:v>
      </x:c>
      <x:c r="AL12" s="23" t="n">
        <x:v>82.7314019628687</x:v>
      </x:c>
      <x:c r="AM12" s="23" t="n">
        <x:v>885.8015530383365</x:v>
      </x:c>
      <x:c r="AN12" s="23" t="n">
        <x:v>894.792236328125</x:v>
      </x:c>
      <x:c r="AO12" s="23" t="n">
        <x:v>570.6706763814764</x:v>
      </x:c>
      <x:c r="AP12" s="23" t="n">
        <x:v>854.6215639218126</x:v>
      </x:c>
      <x:c r="AQ12" s="23" t="n">
        <x:v>819.7246717424715</x:v>
      </x:c>
      <x:c r="AR12" s="23" t="n">
        <x:v>781.0210379874181</x:v>
      </x:c>
      <x:c r="AS12" s="23" t="n">
        <x:v>734.8641076900765</x:v>
      </x:c>
      <x:c r="AT12" s="23" t="n">
        <x:v>682.19897961181</x:v>
      </x:c>
      <x:c r="AU12" s="23" t="n">
        <x:v>1447.908947674144</x:v>
      </x:c>
      <x:c r="AV12" s="23" t="n">
        <x:v>0</x:v>
      </x:c>
      <x:c r="AW12" s="23" t="n">
        <x:v>6.095301610619875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0</x:v>
      </x:c>
      <x:c r="BO12" s="23" t="n">
        <x:v>845.4373744541527</x:v>
      </x:c>
      <x:c r="BP12" s="23" t="n">
        <x:v>846.8447188766451</x:v>
      </x:c>
      <x:c r="BQ12" s="23" t="n">
        <x:v>830.5347406777697</x:v>
      </x:c>
      <x:c r="BR12" s="23" t="n">
        <x:v>807.5153313660574</x:v>
      </x:c>
      <x:c r="BS12" s="23" t="n">
        <x:v>801.3082079603055</x:v>
      </x:c>
      <x:c r="BT12" s="23" t="n">
        <x:v>770.2675037229161</x:v>
      </x:c>
      <x:c r="BU12" s="23" t="n">
        <x:v>772.3824272096167</x:v>
      </x:c>
      <x:c r="BV12" s="23" t="n">
        <x:v>757.6889724606441</x:v>
      </x:c>
      <x:c r="BW12" s="23" t="n">
        <x:v>752.4869777644826</x:v>
      </x:c>
      <x:c r="BX12" s="23" t="n">
        <x:v>753.8716258724018</x:v>
      </x:c>
      <x:c r="BY12" s="23" t="n">
        <x:v>764.5815982246378</x:v>
      </x:c>
      <x:c r="BZ12" s="23" t="n">
        <x:v>784.9847500005291</x:v>
      </x:c>
      <x:c r="CA12" s="23" t="n">
        <x:v>0</x:v>
      </x:c>
      <x:c r="CB12" s="23" t="n">
        <x:v>9.19872794597768</x:v>
      </x:c>
      <x:c r="CC12" s="23" t="n">
        <x:v>26.45188145714019</x:v>
      </x:c>
      <x:c r="CD12" s="23" t="n">
        <x:v>43.9021406174135</x:v>
      </x:c>
      <x:c r="CE12" s="23" t="n">
        <x:v>0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379.76597566524515</x:v>
      </x:c>
      <x:c r="CN12" s="23" t="n">
        <x:v>1250.16450714288</x:v>
      </x:c>
      <x:c r="CO12" s="23" t="n">
        <x:v>796.7786537089632</x:v>
      </x:c>
      <x:c r="CP12" s="23" t="n">
        <x:v>1335.301983747494</x:v>
      </x:c>
      <x:c r="CQ12" s="23" t="n">
        <x:v>540.5297619205758</x:v>
      </x:c>
      <x:c r="CR12" s="23" t="n">
        <x:v>593.82014945286</x:v>
      </x:c>
      <x:c r="CS12" s="23" t="n">
        <x:v>645.9741446069229</x:v>
      </x:c>
      <x:c r="CT12" s="23" t="n">
        <x:v>662.3730446059019</x:v>
      </x:c>
      <x:c r="CU12" s="23" t="n">
        <x:v>716.6076557120059</x:v>
      </x:c>
      <x:c r="CV12" s="23" t="n">
        <x:v>804.3216254215255</x:v>
      </x:c>
      <x:c r="CW12" s="23" t="n">
        <x:v>854.1180905366718</x:v>
      </x:c>
      <x:c r="CX12" s="23" t="n">
        <x:v>887.8804604349098</x:v>
      </x:c>
      <x:c r="CY12" s="23" t="n">
        <x:v>909.4011093698971</x:v>
      </x:c>
      <x:c r="CZ12" s="23" t="n">
        <x:v>949.2872492712642</x:v>
      </x:c>
      <x:c r="DA12" s="23" t="n">
        <x:v>997.0399176723208</x:v>
      </x:c>
      <x:c r="DB12" s="23" t="n">
        <x:v>1032.55517578125</x:v>
      </x:c>
      <x:c r="DC12" s="23" t="n">
        <x:v>1027.340302791643</x:v>
      </x:c>
      <x:c r="DD12" s="23" t="n">
        <x:v>945.8840636784604</x:v>
      </x:c>
      <x:c r="DE12" s="23" t="n">
        <x:v>720.1287434895833</x:v>
      </x:c>
      <x:c r="DF12" s="23" t="n">
        <x:v>698.1041666666666</x:v>
      </x:c>
      <x:c r="DG12" s="23" t="n">
        <x:v>723.1146647135416</x:v>
      </x:c>
      <x:c r="DH12" s="23" t="n">
        <x:v>721.0629069010416</x:v>
      </x:c>
      <x:c r="DI12" s="23" t="n">
        <x:v>726.6826985677083</x:v>
      </x:c>
      <x:c r="DJ12" s="23" t="n">
        <x:v>36.08791666666722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730.350830078125</x:v>
      </x:c>
      <x:c r="DW12" s="23" t="n">
        <x:v>734.02490234375</x:v>
      </x:c>
      <x:c r="DX12" s="23" t="n">
        <x:v>734.6462986754115</x:v>
      </x:c>
      <x:c r="DY12" s="23" t="n">
        <x:v>706.3783365885416</x:v>
      </x:c>
      <x:c r="DZ12" s="23" t="n">
        <x:v>724.9879557291666</x:v>
      </x:c>
      <x:c r="EA12" s="23" t="n">
        <x:v>750.8614095052083</x:v>
      </x:c>
      <x:c r="EB12" s="23" t="n">
        <x:v>699.1949869791666</x:v>
      </x:c>
      <x:c r="EC12" s="23" t="n">
        <x:v>568.8736979166666</x:v>
      </x:c>
      <x:c r="ED12" s="23" t="n">
        <x:v>1403.86767578125</x:v>
      </x:c>
      <x:c r="EE12" s="23" t="n">
        <x:v>1410.1071370442708</x:v>
      </x:c>
      <x:c r="EF12" s="23" t="n">
        <x:v>1418.795654296875</x:v>
      </x:c>
      <x:c r="EG12" s="23" t="n">
        <x:v>1416.4084065755208</x:v>
      </x:c>
      <x:c r="EH12" s="23" t="n">
        <x:v>579.3948974609375</x:v>
      </x:c>
      <x:c r="EI12" s="23" t="n">
        <x:v>569.515625</x:v>
      </x:c>
      <x:c r="EJ12" s="23" t="n">
        <x:v>566.8915201822916</x:v>
      </x:c>
      <x:c r="EK12" s="23" t="n">
        <x:v>566.7295328776041</x:v>
      </x:c>
      <x:c r="EL12" s="23" t="n">
        <x:v>564.9354248046875</x:v>
      </x:c>
      <x:c r="EM12" s="23" t="n">
        <x:v>1412.640909830729</x:v>
      </x:c>
      <x:c r="EN12" s="23" t="n">
        <x:v>1407.7171630859375</x:v>
      </x:c>
      <x:c r="EO12" s="23" t="n">
        <x:v>855.3770343364195</x:v>
      </x:c>
      <x:c r="EP12" s="23" t="n">
        <x:f>SUM(B12:EO12)</x:f>
        <x:v>82805.46555987718</x:v>
      </x:c>
      <x:c r="EQ12" s="23" t="n">
        <x:f>SUMPRODUCT(B12:EO12,{0.4117,0.3936,0.4511,0.4645,0.4463,0.434,0.4428,0.4402,0.4427,0.4887,0.471,0.4081,0.4303,0.4689,0.4732,0.4624,0.4559,0.455,0.4492,0.4477,0.4677,0.5084,0.4903,0.4441,0.4793,0.5055,0.4941,0.5042,0.4996,0.4844,0.5008,0.4823,0.4242,0.4272,0.6438,0.9578,1.0691,1.0627,1.0437,1.0249,0.9731,0.9291,0.9693,0.9765,0.9034,0.8549,1.0477,1.3362,1.34,1.2845,1.2968,1.28,1.2561,1.2353,1.1978,1.1787,1.1731,1.1397,1.1062,1.0849,1.06,1.0383,1.0315,1.0186,0.8632,0.6386,0.5798,0.6151,0.6391,0.6149,0.5966,0.603,0.6037,0.6006,0.5645,0.495,0.6445,0.9259,0.9805,0.967,0.9824,0.9648,0.9902,1.0509,1.053,1.0361,1.0717,1.1572,1.0271,0.7775,0.7802,0.8116,0.7739,0.803,0.8508,0.8718,0.8825,0.9353,1.0083,1.0278,1.0418,1.0649,1.0651,1.0771,1.0918,1.0816,1.1817,1.3084,1.2395,1.2237,1.3106,1.3,1.2694,1.2733,1.276,1.2621,1.2372,1.223,1.2481,1.2789,1.2569,1.2753,1.343,1.3405,1.1373,0.898,0.9328,0.966,0.929,0.9802,0.785,0.4375,0.4082,0.4608,0.4377,0.4233,0.4265,0.4408,0.4596,0.4477,0.4091,0.382,0.3603,0.36})</x:f>
        <x:v>56513.198795086275</x:v>
      </x:c>
    </x:row>
    <x:row r="13" ht="14" customHeight="1">
      <x:c r="A13" s="3">
        <x:v>45700</x:v>
      </x:c>
      <x:c r="B13" s="23" t="n">
        <x:v>582.853271484375</x:v>
      </x:c>
      <x:c r="C13" s="23" t="n">
        <x:v>791.9504514700667</x:v>
      </x:c>
      <x:c r="D13" s="23" t="n">
        <x:v>1443.90673828125</x:v>
      </x:c>
      <x:c r="E13" s="23" t="n">
        <x:v>1424.7066650390625</x:v>
      </x:c>
      <x:c r="F13" s="23" t="n">
        <x:v>591.464111328125</x:v>
      </x:c>
      <x:c r="G13" s="23" t="n">
        <x:v>601.0603841145833</x:v>
      </x:c>
      <x:c r="H13" s="23" t="n">
        <x:v>621.3102213541666</x:v>
      </x:c>
      <x:c r="I13" s="23" t="n">
        <x:v>620.0247395833333</x:v>
      </x:c>
      <x:c r="J13" s="23" t="n">
        <x:v>1449.7916666666665</x:v>
      </x:c>
      <x:c r="K13" s="23" t="n">
        <x:v>629.8306477864583</x:v>
      </x:c>
      <x:c r="L13" s="23" t="n">
        <x:v>623.39990234375</x:v>
      </x:c>
      <x:c r="M13" s="23" t="n">
        <x:v>1459.38720703125</x:v>
      </x:c>
      <x:c r="N13" s="23" t="n">
        <x:v>629.4475911458333</x:v>
      </x:c>
      <x:c r="O13" s="23" t="n">
        <x:v>637.0053304036458</x:v>
      </x:c>
      <x:c r="P13" s="23" t="n">
        <x:v>647.9931640625</x:v>
      </x:c>
      <x:c r="Q13" s="23" t="n">
        <x:v>636.9225260416666</x:v>
      </x:c>
      <x:c r="R13" s="23" t="n">
        <x:v>636.3289388020833</x:v>
      </x:c>
      <x:c r="S13" s="23" t="n">
        <x:v>656.4211018880208</x:v>
      </x:c>
      <x:c r="T13" s="23" t="n">
        <x:v>636.6224772135416</x:v>
      </x:c>
      <x:c r="U13" s="23" t="n">
        <x:v>1464.3907063802083</x:v>
      </x:c>
      <x:c r="V13" s="23" t="n">
        <x:v>656.1719563802083</x:v>
      </x:c>
      <x:c r="W13" s="23" t="n">
        <x:v>635.9296468098958</x:v>
      </x:c>
      <x:c r="X13" s="23" t="n">
        <x:v>639.8487141927083</x:v>
      </x:c>
      <x:c r="Y13" s="23" t="n">
        <x:v>680.4993896484375</x:v>
      </x:c>
      <x:c r="Z13" s="23" t="n">
        <x:v>684.1878255208333</x:v>
      </x:c>
      <x:c r="AA13" s="23" t="n">
        <x:v>679.2266438802083</x:v>
      </x:c>
      <x:c r="AB13" s="23" t="n">
        <x:v>663.697265625</x:v>
      </x:c>
      <x:c r="AC13" s="23" t="n">
        <x:v>687.84033203125</x:v>
      </x:c>
      <x:c r="AD13" s="23" t="n">
        <x:v>686.83935546875</x:v>
      </x:c>
      <x:c r="AE13" s="23" t="n">
        <x:v>687.64501953125</x:v>
      </x:c>
      <x:c r="AF13" s="23" t="n">
        <x:v>688.540771484375</x:v>
      </x:c>
      <x:c r="AG13" s="23" t="n">
        <x:v>693.88623046875</x:v>
      </x:c>
      <x:c r="AH13" s="23" t="n">
        <x:v>695.2156575520833</x:v>
      </x:c>
      <x:c r="AI13" s="23" t="n">
        <x:v>1524.40380859375</x:v>
      </x:c>
      <x:c r="AJ13" s="23" t="n">
        <x:v>756.618896484375</x:v>
      </x:c>
      <x:c r="AK13" s="23" t="n">
        <x:v>859.8028971354166</x:v>
      </x:c>
      <x:c r="AL13" s="23" t="n">
        <x:v>82.08983168050386</x:v>
      </x:c>
      <x:c r="AM13" s="23" t="n">
        <x:v>819.3218058928246</x:v>
      </x:c>
      <x:c r="AN13" s="23" t="n">
        <x:v>896.3321940104166</x:v>
      </x:c>
      <x:c r="AO13" s="23" t="n">
        <x:v>894.4180778460847</x:v>
      </x:c>
      <x:c r="AP13" s="23" t="n">
        <x:v>868.6841452136274</x:v>
      </x:c>
      <x:c r="AQ13" s="23" t="n">
        <x:v>781.0609827653761</x:v>
      </x:c>
      <x:c r="AR13" s="23" t="n">
        <x:v>768.3058615478553</x:v>
      </x:c>
      <x:c r="AS13" s="23" t="n">
        <x:v>731.4612146428335</x:v>
      </x:c>
      <x:c r="AT13" s="23" t="n">
        <x:v>678.0660476755362</x:v>
      </x:c>
      <x:c r="AU13" s="23" t="n">
        <x:v>579.3293091422456</x:v>
      </x:c>
      <x:c r="AV13" s="23" t="n">
        <x:v>129.54989136755376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76.67082286146372</x:v>
      </x:c>
      <x:c r="BO13" s="23" t="n">
        <x:v>897.9558201129955</x:v>
      </x:c>
      <x:c r="BP13" s="23" t="n">
        <x:v>878.0529982138979</x:v>
      </x:c>
      <x:c r="BQ13" s="23" t="n">
        <x:v>848.4371588522591</x:v>
      </x:c>
      <x:c r="BR13" s="23" t="n">
        <x:v>803.9574734231539</x:v>
      </x:c>
      <x:c r="BS13" s="23" t="n">
        <x:v>848.4542580806624</x:v>
      </x:c>
      <x:c r="BT13" s="23" t="n">
        <x:v>804.5920027122734</x:v>
      </x:c>
      <x:c r="BU13" s="23" t="n">
        <x:v>771.4397559695442</x:v>
      </x:c>
      <x:c r="BV13" s="23" t="n">
        <x:v>760.3482381018305</x:v>
      </x:c>
      <x:c r="BW13" s="23" t="n">
        <x:v>762.6033447888565</x:v>
      </x:c>
      <x:c r="BX13" s="23" t="n">
        <x:v>762.2864522494497</x:v>
      </x:c>
      <x:c r="BY13" s="23" t="n">
        <x:v>766.7776187193856</x:v>
      </x:c>
      <x:c r="BZ13" s="23" t="n">
        <x:v>788.5467260248344</x:v>
      </x:c>
      <x:c r="CA13" s="23" t="n">
        <x:v>0</x:v>
      </x:c>
      <x:c r="CB13" s="23" t="n">
        <x:v>0</x:v>
      </x:c>
      <x:c r="CC13" s="23" t="n">
        <x:v>1.1806557555778454</x:v>
      </x:c>
      <x:c r="CD13" s="23" t="n">
        <x:v>6.571471985169561</x:v>
      </x:c>
      <x:c r="CE13" s="23" t="n">
        <x:v>37.73948851829315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350.5884000024762</x:v>
      </x:c>
      <x:c r="CN13" s="23" t="n">
        <x:v>1225.993288831663</x:v>
      </x:c>
      <x:c r="CO13" s="23" t="n">
        <x:v>1269.164058267654</x:v>
      </x:c>
      <x:c r="CP13" s="23" t="n">
        <x:v>1089.417541280956</x:v>
      </x:c>
      <x:c r="CQ13" s="23" t="n">
        <x:v>535.0193139708164</x:v>
      </x:c>
      <x:c r="CR13" s="23" t="n">
        <x:v>579.8197015282908</x:v>
      </x:c>
      <x:c r="CS13" s="23" t="n">
        <x:v>623.271263655085</x:v>
      </x:c>
      <x:c r="CT13" s="23" t="n">
        <x:v>664.514802883558</x:v>
      </x:c>
      <x:c r="CU13" s="23" t="n">
        <x:v>715.9165235747757</x:v>
      </x:c>
      <x:c r="CV13" s="23" t="n">
        <x:v>784.8959504710562</x:v>
      </x:c>
      <x:c r="CW13" s="23" t="n">
        <x:v>811.8900129317786</x:v>
      </x:c>
      <x:c r="CX13" s="23" t="n">
        <x:v>860.7682047197434</x:v>
      </x:c>
      <x:c r="CY13" s="23" t="n">
        <x:v>936.1985615878921</x:v>
      </x:c>
      <x:c r="CZ13" s="23" t="n">
        <x:v>977.9341693375427</x:v>
      </x:c>
      <x:c r="DA13" s="23" t="n">
        <x:v>978.0454596447264</x:v>
      </x:c>
      <x:c r="DB13" s="23" t="n">
        <x:v>987.1407877604166</x:v>
      </x:c>
      <x:c r="DC13" s="23" t="n">
        <x:v>1016.3215599284049</x:v>
      </x:c>
      <x:c r="DD13" s="23" t="n">
        <x:v>918.9829036070612</x:v>
      </x:c>
      <x:c r="DE13" s="23" t="n">
        <x:v>718.6944986979166</x:v>
      </x:c>
      <x:c r="DF13" s="23" t="n">
        <x:v>713.6516927083333</x:v>
      </x:c>
      <x:c r="DG13" s="23" t="n">
        <x:v>724.3714192708333</x:v>
      </x:c>
      <x:c r="DH13" s="23" t="n">
        <x:v>707.9620768229166</x:v>
      </x:c>
      <x:c r="DI13" s="23" t="n">
        <x:v>723.1791178385416</x:v>
      </x:c>
      <x:c r="DJ13" s="23" t="n">
        <x:v>37.41277343749971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738.7440592447916</x:v>
      </x:c>
      <x:c r="DW13" s="23" t="n">
        <x:v>732.5413411458333</x:v>
      </x:c>
      <x:c r="DX13" s="23" t="n">
        <x:v>730.6738181343237</x:v>
      </x:c>
      <x:c r="DY13" s="23" t="n">
        <x:v>732.4031575520833</x:v>
      </x:c>
      <x:c r="DZ13" s="23" t="n">
        <x:v>743.670166015625</x:v>
      </x:c>
      <x:c r="EA13" s="23" t="n">
        <x:v>765.1583658854166</x:v>
      </x:c>
      <x:c r="EB13" s="23" t="n">
        <x:v>704.2762044270833</x:v>
      </x:c>
      <x:c r="EC13" s="23" t="n">
        <x:v>1424.6596272786458</x:v>
      </x:c>
      <x:c r="ED13" s="23" t="n">
        <x:v>577.4965413411458</x:v>
      </x:c>
      <x:c r="EE13" s="23" t="n">
        <x:v>591.1147054036458</x:v>
      </x:c>
      <x:c r="EF13" s="23" t="n">
        <x:v>587.3479410807291</x:v>
      </x:c>
      <x:c r="EG13" s="23" t="n">
        <x:v>1408.8006184895833</x:v>
      </x:c>
      <x:c r="EH13" s="23" t="n">
        <x:v>1411.4388834635415</x:v>
      </x:c>
      <x:c r="EI13" s="23" t="n">
        <x:v>1412.414103190104</x:v>
      </x:c>
      <x:c r="EJ13" s="23" t="n">
        <x:v>582.0252685546875</x:v>
      </x:c>
      <x:c r="EK13" s="23" t="n">
        <x:v>867.1771586291153</x:v>
      </x:c>
      <x:c r="EL13" s="23" t="n">
        <x:v>1404.5731201171875</x:v>
      </x:c>
      <x:c r="EM13" s="23" t="n">
        <x:v>1416.5277913411458</x:v>
      </x:c>
      <x:c r="EN13" s="23" t="n">
        <x:v>581.2547200520833</x:v>
      </x:c>
      <x:c r="EO13" s="23" t="n">
        <x:v>578.4495849609375</x:v>
      </x:c>
      <x:c r="EP13" s="23" t="n">
        <x:f>SUM(B13:EO13)</x:f>
        <x:v>82691.30716045001</x:v>
      </x:c>
      <x:c r="EQ13" s="23" t="n">
        <x:f>SUMPRODUCT(B13:EO13,{0.4068,0.4326,0.4259,0.4355,0.4294,0.4078,0.4119,0.4335,0.4513,0.4485,0.4295,0.414,0.4154,0.3885,0.3727,0.4531,0.5056,0.4903,0.4794,0.4461,0.4104,0.4361,0.4689,0.4897,0.52,0.4887,0.4329,0.4675,0.4948,0.4693,0.4483,0.4696,0.4879,0.4683,0.7019,1.0589,1.0848,1.0275,1.0232,0.9687,0.9638,0.9925,0.9357,0.9334,0.9503,0.8459,1.0002,1.3246,1.3208,1.2436,1.2561,1.2497,1.1783,1.1299,1.2211,1.2363,1.1348,1.0871,1.0729,1.0777,1.1138,1.0824,1.0267,1.0581,0.9027,0.6218,0.5765,0.6008,0.584,0.5878,0.5943,0.5755,0.531,0.5203,0.5366,0.5418,0.6853,0.9072,0.9749,0.9915,1.0263,1.0398,1.0377,1.0522,1.1023,1.1044,1.0951,1.1627,1.0389,0.7854,0.7523,0.7726,0.7785,0.8733,0.9197,0.9057,0.9582,1.0113,1.0199,1.0093,1.0019,1.0322,1.1152,1.1389,1.0886,1.0705,1.1526,1.2745,1.3008,1.267,1.2338,1.2257,1.1991,1.1819,1.2468,1.2981,1.2878,1.2595,1.259,1.296,1.3314,1.2836,1.2251,1.2859,1.1897,0.9559,0.8973,0.9086,0.9358,1.0014,0.815,0.4778,0.4089,0.4232,0.409,0.4431,0.4432,0.4118,0.4375,0.4494,0.4172,0.3885,0.3952,0.4322})</x:f>
        <x:v>56125.05854629268</x:v>
      </x:c>
    </x:row>
    <x:row r="14" ht="14" customHeight="1">
      <x:c r="A14" s="3">
        <x:v>45701</x:v>
      </x:c>
      <x:c r="B14" s="23" t="n">
        <x:v>583.5962727864583</x:v>
      </x:c>
      <x:c r="C14" s="23" t="n">
        <x:v>1420.6793212890625</x:v>
      </x:c>
      <x:c r="D14" s="23" t="n">
        <x:v>1423.484171549479</x:v>
      </x:c>
      <x:c r="E14" s="23" t="n">
        <x:v>1430.3497721354165</x:v>
      </x:c>
      <x:c r="F14" s="23" t="n">
        <x:v>616.0193277994791</x:v>
      </x:c>
      <x:c r="G14" s="23" t="n">
        <x:v>709.9600974279836</x:v>
      </x:c>
      <x:c r="H14" s="23" t="n">
        <x:v>1452.888224283854</x:v>
      </x:c>
      <x:c r="I14" s="23" t="n">
        <x:v>1449.0995279947915</x:v>
      </x:c>
      <x:c r="J14" s="23" t="n">
        <x:v>615.4216715494791</x:v>
      </x:c>
      <x:c r="K14" s="23" t="n">
        <x:v>633.0270182291666</x:v>
      </x:c>
      <x:c r="L14" s="23" t="n">
        <x:v>638.519775390625</x:v>
      </x:c>
      <x:c r="M14" s="23" t="n">
        <x:v>613.3360595703125</x:v>
      </x:c>
      <x:c r="N14" s="23" t="n">
        <x:v>618.5023193359375</x:v>
      </x:c>
      <x:c r="O14" s="23" t="n">
        <x:v>636.0081787109375</x:v>
      </x:c>
      <x:c r="P14" s="23" t="n">
        <x:v>636.173095703125</x:v>
      </x:c>
      <x:c r="Q14" s="23" t="n">
        <x:v>1469.3948567708333</x:v>
      </x:c>
      <x:c r="R14" s="23" t="n">
        <x:v>640.2806396484375</x:v>
      </x:c>
      <x:c r="S14" s="23" t="n">
        <x:v>678.2700602213541</x:v>
      </x:c>
      <x:c r="T14" s="23" t="n">
        <x:v>651.3258463541666</x:v>
      </x:c>
      <x:c r="U14" s="23" t="n">
        <x:v>632.8316243489583</x:v>
      </x:c>
      <x:c r="V14" s="23" t="n">
        <x:v>666.8892822265625</x:v>
      </x:c>
      <x:c r="W14" s="23" t="n">
        <x:v>649.7875569661458</x:v>
      </x:c>
      <x:c r="X14" s="23" t="n">
        <x:v>660.5907796223958</x:v>
      </x:c>
      <x:c r="Y14" s="23" t="n">
        <x:v>680.4632975260416</x:v>
      </x:c>
      <x:c r="Z14" s="23" t="n">
        <x:v>683.0982259114583</x:v>
      </x:c>
      <x:c r="AA14" s="23" t="n">
        <x:v>668.7142333984375</x:v>
      </x:c>
      <x:c r="AB14" s="23" t="n">
        <x:v>691.9676106770833</x:v>
      </x:c>
      <x:c r="AC14" s="23" t="n">
        <x:v>695.6253255208333</x:v>
      </x:c>
      <x:c r="AD14" s="23" t="n">
        <x:v>672.9428304036458</x:v>
      </x:c>
      <x:c r="AE14" s="23" t="n">
        <x:v>649.6612548828125</x:v>
      </x:c>
      <x:c r="AF14" s="23" t="n">
        <x:v>689.53955078125</x:v>
      </x:c>
      <x:c r="AG14" s="23" t="n">
        <x:v>689.7552083333333</x:v>
      </x:c>
      <x:c r="AH14" s="23" t="n">
        <x:v>692.12548828125</x:v>
      </x:c>
      <x:c r="AI14" s="23" t="n">
        <x:v>690.4507649739583</x:v>
      </x:c>
      <x:c r="AJ14" s="23" t="n">
        <x:v>733.8525390625</x:v>
      </x:c>
      <x:c r="AK14" s="23" t="n">
        <x:v>896.5647786458333</x:v>
      </x:c>
      <x:c r="AL14" s="23" t="n">
        <x:v>87.76655774209848</x:v>
      </x:c>
      <x:c r="AM14" s="23" t="n">
        <x:v>899.4699498719593</x:v>
      </x:c>
      <x:c r="AN14" s="23" t="n">
        <x:v>911.7086588541666</x:v>
      </x:c>
      <x:c r="AO14" s="23" t="n">
        <x:v>888.1565658901893</x:v>
      </x:c>
      <x:c r="AP14" s="23" t="n">
        <x:v>861.3630434032167</x:v>
      </x:c>
      <x:c r="AQ14" s="23" t="n">
        <x:v>268.2449247139287</x:v>
      </x:c>
      <x:c r="AR14" s="23" t="n">
        <x:v>770.0002904574468</x:v>
      </x:c>
      <x:c r="AS14" s="23" t="n">
        <x:v>722.1210717205773</x:v>
      </x:c>
      <x:c r="AT14" s="23" t="n">
        <x:v>680.3940337995243</x:v>
      </x:c>
      <x:c r="AU14" s="23" t="n">
        <x:v>1411.410935074404</x:v>
      </x:c>
      <x:c r="AV14" s="23" t="n">
        <x:v>0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40.159116044017686</x:v>
      </x:c>
      <x:c r="BO14" s="23" t="n">
        <x:v>849.3945859171118</x:v>
      </x:c>
      <x:c r="BP14" s="23" t="n">
        <x:v>832.3361242207004</x:v>
      </x:c>
      <x:c r="BQ14" s="23" t="n">
        <x:v>815.9344362889519</x:v>
      </x:c>
      <x:c r="BR14" s="23" t="n">
        <x:v>771.9140544681486</x:v>
      </x:c>
      <x:c r="BS14" s="23" t="n">
        <x:v>773.0137068143359</x:v>
      </x:c>
      <x:c r="BT14" s="23" t="n">
        <x:v>754.3498439813321</x:v>
      </x:c>
      <x:c r="BU14" s="23" t="n">
        <x:v>727.6646838939621</x:v>
      </x:c>
      <x:c r="BV14" s="23" t="n">
        <x:v>723.3876311183749</x:v>
      </x:c>
      <x:c r="BW14" s="23" t="n">
        <x:v>722.6013822006878</x:v>
      </x:c>
      <x:c r="BX14" s="23" t="n">
        <x:v>727.0357257089534</x:v>
      </x:c>
      <x:c r="BY14" s="23" t="n">
        <x:v>728.7323768520624</x:v>
      </x:c>
      <x:c r="BZ14" s="23" t="n">
        <x:v>755.7000851472377</x:v>
      </x:c>
      <x:c r="CA14" s="23" t="n">
        <x:v>0</x:v>
      </x:c>
      <x:c r="CB14" s="23" t="n">
        <x:v>0</x:v>
      </x:c>
      <x:c r="CC14" s="23" t="n">
        <x:v>0</x:v>
      </x:c>
      <x:c r="CD14" s="23" t="n">
        <x:v>27.046281410082123</x:v>
      </x:c>
      <x:c r="CE14" s="23" t="n">
        <x:v>56.44887087198943</x:v>
      </x:c>
      <x:c r="CF14" s="23" t="n">
        <x:v>87.20842076566987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354.4305138851949</x:v>
      </x:c>
      <x:c r="CN14" s="23" t="n">
        <x:v>1224.9100986111919</x:v>
      </x:c>
      <x:c r="CO14" s="23" t="n">
        <x:v>429.45411858684815</x:v>
      </x:c>
      <x:c r="CP14" s="23" t="n">
        <x:v>1314.364356606472</x:v>
      </x:c>
      <x:c r="CQ14" s="23" t="n">
        <x:v>543.4693605026341</x:v>
      </x:c>
      <x:c r="CR14" s="23" t="n">
        <x:v>595.7682922923684</x:v>
      </x:c>
      <x:c r="CS14" s="23" t="n">
        <x:v>624.7747885351238</x:v>
      </x:c>
      <x:c r="CT14" s="23" t="n">
        <x:v>694.336981658241</x:v>
      </x:c>
      <x:c r="CU14" s="23" t="n">
        <x:v>754.8415585447898</x:v>
      </x:c>
      <x:c r="CV14" s="23" t="n">
        <x:v>761.4097769124629</x:v>
      </x:c>
      <x:c r="CW14" s="23" t="n">
        <x:v>818.1731701555709</x:v>
      </x:c>
      <x:c r="CX14" s="23" t="n">
        <x:v>895.5744360075171</x:v>
      </x:c>
      <x:c r="CY14" s="23" t="n">
        <x:v>928.1743931234116</x:v>
      </x:c>
      <x:c r="CZ14" s="23" t="n">
        <x:v>984.9909723089402</x:v>
      </x:c>
      <x:c r="DA14" s="23" t="n">
        <x:v>995.87027786117</x:v>
      </x:c>
      <x:c r="DB14" s="23" t="n">
        <x:v>1030.2367350260415</x:v>
      </x:c>
      <x:c r="DC14" s="23" t="n">
        <x:v>1034.2903025662267</x:v>
      </x:c>
      <x:c r="DD14" s="23" t="n">
        <x:v>924.7017839013288</x:v>
      </x:c>
      <x:c r="DE14" s="23" t="n">
        <x:v>722.479736328125</x:v>
      </x:c>
      <x:c r="DF14" s="23" t="n">
        <x:v>72.84635416666666</x:v>
      </x:c>
      <x:c r="DG14" s="23" t="n">
        <x:v>723.5546061197916</x:v>
      </x:c>
      <x:c r="DH14" s="23" t="n">
        <x:v>723.7008463541666</x:v>
      </x:c>
      <x:c r="DI14" s="23" t="n">
        <x:v>714.1272786458333</x:v>
      </x:c>
      <x:c r="DJ14" s="23" t="n">
        <x:v>713.0218912760416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735.701416015625</x:v>
      </x:c>
      <x:c r="DW14" s="23" t="n">
        <x:v>721.5719401041666</x:v>
      </x:c>
      <x:c r="DX14" s="23" t="n">
        <x:v>734.7113473588607</x:v>
      </x:c>
      <x:c r="DY14" s="23" t="n">
        <x:v>727.0472005208333</x:v>
      </x:c>
      <x:c r="DZ14" s="23" t="n">
        <x:v>728.4970703125</x:v>
      </x:c>
      <x:c r="EA14" s="23" t="n">
        <x:v>763.5011393229166</x:v>
      </x:c>
      <x:c r="EB14" s="23" t="n">
        <x:v>702.4415771042306</x:v>
      </x:c>
      <x:c r="EC14" s="23" t="n">
        <x:v>1411.0085042317708</x:v>
      </x:c>
      <x:c r="ED14" s="23" t="n">
        <x:v>575.1334635416666</x:v>
      </x:c>
      <x:c r="EE14" s="23" t="n">
        <x:v>575.3111165364583</x:v>
      </x:c>
      <x:c r="EF14" s="23" t="n">
        <x:v>1407.1746826171875</x:v>
      </x:c>
      <x:c r="EG14" s="23" t="n">
        <x:v>1414.66015625</x:v>
      </x:c>
      <x:c r="EH14" s="23" t="n">
        <x:v>873.6704714425798</x:v>
      </x:c>
      <x:c r="EI14" s="23" t="n">
        <x:v>1397.3427327473958</x:v>
      </x:c>
      <x:c r="EJ14" s="23" t="n">
        <x:v>578.917724609375</x:v>
      </x:c>
      <x:c r="EK14" s="23" t="n">
        <x:v>573.7979329427083</x:v>
      </x:c>
      <x:c r="EL14" s="23" t="n">
        <x:v>577.2858072916666</x:v>
      </x:c>
      <x:c r="EM14" s="23" t="n">
        <x:v>580.7070719401041</x:v>
      </x:c>
      <x:c r="EN14" s="23" t="n">
        <x:v>1401.086181640625</x:v>
      </x:c>
      <x:c r="EO14" s="23" t="n">
        <x:v>1296.1636962890625</x:v>
      </x:c>
      <x:c r="EP14" s="23" t="n">
        <x:f>SUM(B14:EO14)</x:f>
        <x:v>81909.99380834041</x:v>
      </x:c>
      <x:c r="EQ14" s="23" t="n">
        <x:f>SUMPRODUCT(B14:EO14,{0.4584,0.4238,0.3948,0.4766,0.4683,0.3793,0.4125,0.4033,0.358,0.4556,0.5137,0.4639,0.4256,0.4403,0.468,0.4437,0.4389,0.4694,0.4756,0.4606,0.4666,0.5218,0.5136,0.4432,0.4281,0.455,0.4868,0.5016,0.4931,0.4698,0.4522,0.4632,0.4663,0.4411,0.6553,0.997,1.0537,1.007,1.0056,1.0092,0.9724,0.9458,1.0119,1.0101,0.8986,0.8351,1.0349,1.3392,1.3496,1.2499,1.2075,1.2147,1.2299,1.2127,1.1531,1.1243,1.1168,1.0555,1.011,1.0049,0.988,0.9752,0.987,0.9928,0.8172,0.561,0.5251,0.5637,0.5554,0.5266,0.5363,0.56,0.5238,0.5107,0.5235,0.5109,0.6709,0.9337,1.0024,0.9894,0.9808,0.9529,0.9677,1.0172,1.0212,0.9847,0.9913,1.0893,0.981,0.7369,0.7364,0.7817,0.7689,0.8004,0.8342,0.8508,0.8872,0.9548,0.9997,0.9636,0.9957,1.0952,1.1114,1.1031,1.1083,1.1083,1.1557,1.2323,1.2588,1.2699,1.289,1.3005,1.2964,1.2781,1.263,1.2991,1.3368,1.2826,1.2799,1.3423,1.3321,1.2693,1.2522,1.3218,1.1663,0.8818,0.8897,0.9367,0.9369,1.0153,0.8027,0.4086,0.3584,0.4285,0.4538,0.4858,0.4402,0.376,0.4462,0.4705,0.4207,0.4378,0.3969,0.3026})</x:f>
        <x:v>55035.48814136241</x:v>
      </x:c>
    </x:row>
    <x:row r="15" ht="14" customHeight="1">
      <x:c r="A15" s="3">
        <x:v>45702</x:v>
      </x:c>
      <x:c r="B15" s="23" t="n">
        <x:v>428.9571533203125</x:v>
      </x:c>
      <x:c r="C15" s="23" t="n">
        <x:v>421.8665771484375</x:v>
      </x:c>
      <x:c r="D15" s="23" t="n">
        <x:v>439.68827311197913</x:v>
      </x:c>
      <x:c r="E15" s="23" t="n">
        <x:v>989.3424342949963</x:v>
      </x:c>
      <x:c r="F15" s="23" t="n">
        <x:v>423.9357503255208</x:v>
      </x:c>
      <x:c r="G15" s="23" t="n">
        <x:v>431.85107421875</x:v>
      </x:c>
      <x:c r="H15" s="23" t="n">
        <x:v>434.85038248697913</x:v>
      </x:c>
      <x:c r="I15" s="23" t="n">
        <x:v>429.7623291015625</x:v>
      </x:c>
      <x:c r="J15" s="23" t="n">
        <x:v>444.24088541666663</x:v>
      </x:c>
      <x:c r="K15" s="23" t="n">
        <x:v>460.02811686197913</x:v>
      </x:c>
      <x:c r="L15" s="23" t="n">
        <x:v>470.5786946614583</x:v>
      </x:c>
      <x:c r="M15" s="23" t="n">
        <x:v>1281.3051350911458</x:v>
      </x:c>
      <x:c r="N15" s="23" t="n">
        <x:v>1309.115763346354</x:v>
      </x:c>
      <x:c r="O15" s="23" t="n">
        <x:v>484.482177734375</x:v>
      </x:c>
      <x:c r="P15" s="23" t="n">
        <x:v>485.5263671875</x:v>
      </x:c>
      <x:c r="Q15" s="23" t="n">
        <x:v>488.854248046875</x:v>
      </x:c>
      <x:c r="R15" s="23" t="n">
        <x:v>515.5423990885416</x:v>
      </x:c>
      <x:c r="S15" s="23" t="n">
        <x:v>511.922607421875</x:v>
      </x:c>
      <x:c r="T15" s="23" t="n">
        <x:v>517.049072265625</x:v>
      </x:c>
      <x:c r="U15" s="23" t="n">
        <x:v>525.213134765625</x:v>
      </x:c>
      <x:c r="V15" s="23" t="n">
        <x:v>546.5050455729166</x:v>
      </x:c>
      <x:c r="W15" s="23" t="n">
        <x:v>513.5119222005208</x:v>
      </x:c>
      <x:c r="X15" s="23" t="n">
        <x:v>503.20556640625</x:v>
      </x:c>
      <x:c r="Y15" s="23" t="n">
        <x:v>514.4169921875</x:v>
      </x:c>
      <x:c r="Z15" s="23" t="n">
        <x:v>559.9844970703125</x:v>
      </x:c>
      <x:c r="AA15" s="23" t="n">
        <x:v>558.5956624348958</x:v>
      </x:c>
      <x:c r="AB15" s="23" t="n">
        <x:v>524.5026448567708</x:v>
      </x:c>
      <x:c r="AC15" s="23" t="n">
        <x:v>541.89599609375</x:v>
      </x:c>
      <x:c r="AD15" s="23" t="n">
        <x:v>546.6594645182291</x:v>
      </x:c>
      <x:c r="AE15" s="23" t="n">
        <x:v>526.4940592447916</x:v>
      </x:c>
      <x:c r="AF15" s="23" t="n">
        <x:v>549.0896809895833</x:v>
      </x:c>
      <x:c r="AG15" s="23" t="n">
        <x:v>550.8084309895833</x:v>
      </x:c>
      <x:c r="AH15" s="23" t="n">
        <x:v>536.5163981119791</x:v>
      </x:c>
      <x:c r="AI15" s="23" t="n">
        <x:v>1382.3937174479165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1.0832300650043483</x:v>
      </x:c>
      <x:c r="CQ15" s="23" t="n">
        <x:v>56.31344512291722</x:v>
      </x:c>
      <x:c r="CR15" s="23" t="n">
        <x:v>104.84263714645552</x:v>
      </x:c>
      <x:c r="CS15" s="23" t="n">
        <x:v>148.84078405335495</x:v>
      </x:c>
      <x:c r="CT15" s="23" t="n">
        <x:v>194.8921516450081</x:v>
      </x:c>
      <x:c r="CU15" s="23" t="n">
        <x:v>278.3547755207114</x:v>
      </x:c>
      <x:c r="CV15" s="23" t="n">
        <x:v>358.00967813001375</x:v>
      </x:c>
      <x:c r="CW15" s="23" t="n">
        <x:v>391.07518658029016</x:v>
      </x:c>
      <x:c r="CX15" s="23" t="n">
        <x:v>383.21259713545487</x:v>
      </x:c>
      <x:c r="CY15" s="23" t="n">
        <x:v>351.7580392121159</x:v>
      </x:c>
      <x:c r="CZ15" s="23" t="n">
        <x:v>402.40710310167293</x:v>
      </x:c>
      <x:c r="DA15" s="23" t="n">
        <x:v>433.00955158446914</x:v>
      </x:c>
      <x:c r="DB15" s="23" t="n">
        <x:v>456.40751139322913</x:v>
      </x:c>
      <x:c r="DC15" s="23" t="n">
        <x:v>453.2174066972796</x:v>
      </x:c>
      <x:c r="DD15" s="23" t="n">
        <x:v>452.1992819112682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459.7669677734375</x:v>
      </x:c>
      <x:c r="DX15" s="23" t="n">
        <x:v>463.22355143229163</x:v>
      </x:c>
      <x:c r="DY15" s="23" t="n">
        <x:v>469.0872802734375</x:v>
      </x:c>
      <x:c r="DZ15" s="23" t="n">
        <x:v>502.3951416015625</x:v>
      </x:c>
      <x:c r="EA15" s="23" t="n">
        <x:v>167.42896877603988</x:v>
      </x:c>
      <x:c r="EB15" s="23" t="n">
        <x:v>477.25442266401933</x:v>
      </x:c>
      <x:c r="EC15" s="23" t="n">
        <x:v>1254.5894368489583</x:v>
      </x:c>
      <x:c r="ED15" s="23" t="n">
        <x:v>1258.3550618489583</x:v>
      </x:c>
      <x:c r="EE15" s="23" t="n">
        <x:v>425.45263671875</x:v>
      </x:c>
      <x:c r="EF15" s="23" t="n">
        <x:v>416.53055826822913</x:v>
      </x:c>
      <x:c r="EG15" s="23" t="n">
        <x:v>412.5800374348958</x:v>
      </x:c>
      <x:c r="EH15" s="23" t="n">
        <x:v>416.7652587890625</x:v>
      </x:c>
      <x:c r="EI15" s="23" t="n">
        <x:v>423.03666178385413</x:v>
      </x:c>
      <x:c r="EJ15" s="23" t="n">
        <x:v>416.3650716145833</x:v>
      </x:c>
      <x:c r="EK15" s="23" t="n">
        <x:v>1240.9059651692708</x:v>
      </x:c>
      <x:c r="EL15" s="23" t="n">
        <x:v>1238.83056640625</x:v>
      </x:c>
      <x:c r="EM15" s="23" t="n">
        <x:v>1257.8889973958333</x:v>
      </x:c>
      <x:c r="EN15" s="23" t="n">
        <x:v>1252.9358723958333</x:v>
      </x:c>
      <x:c r="EO15" s="23" t="n">
        <x:v>716.8703559697575</x:v>
      </x:c>
      <x:c r="EP15" s="23" t="n">
        <x:f>SUM(B15:EO15)</x:f>
        <x:v>37584.57884648583</x:v>
      </x:c>
      <x:c r="EQ15" s="23" t="n">
        <x:f>SUMPRODUCT(B15:EO15,{0.3006,0.3114,0.304,0.3303,0.3468,0.3307,0.3071,0.3106,0.3408,0.3636,0.358,0.3322,0.3182,0.3364,0.3619,0.3522,0.3644,0.4032,0.4127,0.406,0.3954,0.3785,0.3703,0.3692,0.3653,0.3922,0.4271,0.4103,0.4025,0.4089,0.3759,0.3584,0.3769,0.4211,0.5993,0.8214,0.8561,0.8185,0.8016,0.7957,0.8203,0.8344,0.7688,0.7123,0.6889,0.6707,0.8263,1.0418,1.0035,0.9216,0.9096,0.8803,0.8637,0.8741,0.8819,0.8719,0.8477,0.8237,0.7985,0.7879,0.8049,0.7738,0.7399,0.7953,0.6643,0.4079,0.3817,0.4109,0.4012,0.4305,0.3994,0.3154,0.3051,0.3531,0.3607,0.2764,0.3986,0.6704,0.72,0.6838,0.6896,0.7195,0.7382,0.7264,0.6923,0.6786,0.7209,0.7872,0.6544,0.4315,0.4674,0.5598,0.5646,0.5463,0.5952,0.6923,0.7328,0.722,0.6989,0.692,0.6704,0.6557,0.703,0.7361,0.7216,0.7246,0.8884,1.1092,1.1282,1.1203,1.1609,1.1509,1.1354,1.125,1.0811,1.0602,1.0863,1.1213,1.1075,1.0646,1.0689,1.0958,1.1316,1.1579,1.0042,0.7727,0.754,0.7579,0.7451,0.8224,0.6097,0.2284,0.2247,0.35,0.382,0.3474,0.3372,0.3543,0.3303,0.3129,0.3192,0.3168,0.3188,0.3187})</x:f>
        <x:v>15550.780270128691</x:v>
      </x:c>
    </x:row>
    <x:row r="16" ht="14" customHeight="1">
      <x:c r="A16" s="3">
        <x:v>45703</x:v>
      </x:c>
      <x:c r="B16" s="23" t="n">
        <x:v>409.3079833984375</x:v>
      </x:c>
      <x:c r="C16" s="23" t="n">
        <x:v>418.38639322916663</x:v>
      </x:c>
      <x:c r="D16" s="23" t="n">
        <x:v>1256.989501953125</x:v>
      </x:c>
      <x:c r="E16" s="23" t="n">
        <x:v>1266.35693359375</x:v>
      </x:c>
      <x:c r="F16" s="23" t="n">
        <x:v>434.1508382161458</x:v>
      </x:c>
      <x:c r="G16" s="23" t="n">
        <x:v>487.2445324175668</x:v>
      </x:c>
      <x:c r="H16" s="23" t="n">
        <x:v>437.16971842447913</x:v>
      </x:c>
      <x:c r="I16" s="23" t="n">
        <x:v>441.9647216796875</x:v>
      </x:c>
      <x:c r="J16" s="23" t="n">
        <x:v>437.21464029947913</x:v>
      </x:c>
      <x:c r="K16" s="23" t="n">
        <x:v>464.4871826171875</x:v>
      </x:c>
      <x:c r="L16" s="23" t="n">
        <x:v>476.5059814453125</x:v>
      </x:c>
      <x:c r="M16" s="23" t="n">
        <x:v>461.5956624348958</x:v>
      </x:c>
      <x:c r="N16" s="23" t="n">
        <x:v>472.8299153645833</x:v>
      </x:c>
      <x:c r="O16" s="23" t="n">
        <x:v>478.8905029296875</x:v>
      </x:c>
      <x:c r="P16" s="23" t="n">
        <x:v>488.1207275390625</x:v>
      </x:c>
      <x:c r="Q16" s="23" t="n">
        <x:v>1313.212443033854</x:v>
      </x:c>
      <x:c r="R16" s="23" t="n">
        <x:v>1320.232950846354</x:v>
      </x:c>
      <x:c r="S16" s="23" t="n">
        <x:v>483.44437662760413</x:v>
      </x:c>
      <x:c r="T16" s="23" t="n">
        <x:v>497.6020100911458</x:v>
      </x:c>
      <x:c r="U16" s="23" t="n">
        <x:v>491.9610188802083</x:v>
      </x:c>
      <x:c r="V16" s="23" t="n">
        <x:v>489.37158203125</x:v>
      </x:c>
      <x:c r="W16" s="23" t="n">
        <x:v>506.9610188802083</x:v>
      </x:c>
      <x:c r="X16" s="23" t="n">
        <x:v>508.51920572916663</x:v>
      </x:c>
      <x:c r="Y16" s="23" t="n">
        <x:v>495.31998697916663</x:v>
      </x:c>
      <x:c r="Z16" s="23" t="n">
        <x:v>492.2207845052083</x:v>
      </x:c>
      <x:c r="AA16" s="23" t="n">
        <x:v>501.0764973958333</x:v>
      </x:c>
      <x:c r="AB16" s="23" t="n">
        <x:v>0</x:v>
      </x:c>
      <x:c r="AC16" s="23" t="n">
        <x:v>501.7952473958333</x:v>
      </x:c>
      <x:c r="AD16" s="23" t="n">
        <x:v>494.9831136067708</x:v>
      </x:c>
      <x:c r="AE16" s="23" t="n">
        <x:v>501.2388509114583</x:v>
      </x:c>
      <x:c r="AF16" s="23" t="n">
        <x:v>501.7604573567708</x:v>
      </x:c>
      <x:c r="AG16" s="23" t="n">
        <x:v>500.3878987630208</x:v>
      </x:c>
      <x:c r="AH16" s="23" t="n">
        <x:v>526.8288167317708</x:v>
      </x:c>
      <x:c r="AI16" s="23" t="n">
        <x:v>530.5832926432291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40.31426955397281</x:v>
      </x:c>
      <x:c r="CQ16" s="23" t="n">
        <x:v>76.80367193730474</x:v>
      </x:c>
      <x:c r="CR16" s="23" t="n">
        <x:v>88.91240426374088</x:v>
      </x:c>
      <x:c r="CS16" s="23" t="n">
        <x:v>138.29085770765352</x:v>
      </x:c>
      <x:c r="CT16" s="23" t="n">
        <x:v>213.61838530345972</x:v>
      </x:c>
      <x:c r="CU16" s="23" t="n">
        <x:v>266.3339905150485</x:v>
      </x:c>
      <x:c r="CV16" s="23" t="n">
        <x:v>315.68312558048444</x:v>
      </x:c>
      <x:c r="CW16" s="23" t="n">
        <x:v>372.139290898926</x:v>
      </x:c>
      <x:c r="CX16" s="23" t="n">
        <x:v>388.3800441080892</x:v>
      </x:c>
      <x:c r="CY16" s="23" t="n">
        <x:v>360.49497161519554</x:v>
      </x:c>
      <x:c r="CZ16" s="23" t="n">
        <x:v>400.85305596731905</x:v>
      </x:c>
      <x:c r="DA16" s="23" t="n">
        <x:v>433.92708429791173</x:v>
      </x:c>
      <x:c r="DB16" s="23" t="n">
        <x:v>461.1116943359375</x:v>
      </x:c>
      <x:c r="DC16" s="23" t="n">
        <x:v>455.7739964946859</x:v>
      </x:c>
      <x:c r="DD16" s="23" t="n">
        <x:v>451.42808286480397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866.648567780671</x:v>
      </x:c>
      <x:c r="DX16" s="23" t="n">
        <x:v>460.57999674479163</x:v>
      </x:c>
      <x:c r="DY16" s="23" t="n">
        <x:v>469.9410400390625</x:v>
      </x:c>
      <x:c r="DZ16" s="23" t="n">
        <x:v>469.2890218098958</x:v>
      </x:c>
      <x:c r="EA16" s="23" t="n">
        <x:v>0</x:v>
      </x:c>
      <x:c r="EB16" s="23" t="n">
        <x:v>432.71406427083343</x:v>
      </x:c>
      <x:c r="EC16" s="23" t="n">
        <x:v>1241.0894368489583</x:v>
      </x:c>
      <x:c r="ED16" s="23" t="n">
        <x:v>1243.1682942708333</x:v>
      </x:c>
      <x:c r="EE16" s="23" t="n">
        <x:v>1243.2968343098958</x:v>
      </x:c>
      <x:c r="EF16" s="23" t="n">
        <x:v>408.19620768229163</x:v>
      </x:c>
      <x:c r="EG16" s="23" t="n">
        <x:v>417.22037760416663</x:v>
      </x:c>
      <x:c r="EH16" s="23" t="n">
        <x:v>417.54642740885413</x:v>
      </x:c>
      <x:c r="EI16" s="23" t="n">
        <x:v>1250.94482421875</x:v>
      </x:c>
      <x:c r="EJ16" s="23" t="n">
        <x:v>419.14274088541663</x:v>
      </x:c>
      <x:c r="EK16" s="23" t="n">
        <x:v>524.7620429165064</x:v>
      </x:c>
      <x:c r="EL16" s="23" t="n">
        <x:v>1252.4544270833333</x:v>
      </x:c>
      <x:c r="EM16" s="23" t="n">
        <x:v>1253.2681884765625</x:v>
      </x:c>
      <x:c r="EN16" s="23" t="n">
        <x:v>422.5076497395833</x:v>
      </x:c>
      <x:c r="EO16" s="23" t="n">
        <x:v>574.6486409505208</x:v>
      </x:c>
      <x:c r="EP16" s="23" t="n">
        <x:f>SUM(B16:EO16)</x:f>
        <x:v>36920.19849643688</x:v>
      </x:c>
      <x:c r="EQ16" s="23" t="n">
        <x:f>SUMPRODUCT(B16:EO16,{0.2962,0.3004,0.3373,0.3618,0.3652,0.3516,0.3362,0.3645,0.3939,0.3362,0.296,0.3149,0.3372,0.3697,0.4066,0.4144,0.3706,0.3362,0.3982,0.4316,0.392,0.3571,0.355,0.3646,0.3524,0.3766,0.4136,0.383,0.3851,0.4119,0.363,0.3795,0.424,0.3499,0.5087,0.8369,0.8862,0.8296,0.8211,0.8264,0.7851,0.7342,0.7642,0.7747,0.7094,0.6407,0.7704,0.9932,0.9883,0.9171,0.9001,0.902,0.9212,0.9299,0.8912,0.8727,0.8686,0.8113,0.785,0.8171,0.8417,0.8068,0.7675,0.7924,0.6142,0.3324,0.3412,0.4165,0.4067,0.381,0.3659,0.3564,0.3409,0.3487,0.3518,0.3118,0.4064,0.6007,0.6673,0.6775,0.6968,0.7108,0.7158,0.7281,0.7598,0.7444,0.7292,0.8059,0.7246,0.5316,0.5361,0.576,0.5719,0.6129,0.6509,0.6662,0.6919,0.7137,0.7319,0.76,0.7585,0.7271,0.7114,0.7269,0.7385,0.7252,0.8767,1.1175,1.1564,1.11,1.0812,1.064,1.087,1.1189,1.0942,1.0902,1.1206,1.1208,1.1112,1.1191,1.1401,1.1113,1.0837,1.141,1.0091,0.7668,0.7823,0.8162,0.7912,0.8341,0.6339,0.3002,0.2937,0.3568,0.3215,0.2846,0.3002,0.3412,0.3422,0.3473,0.3549,0.3267,0.3662,0.4514})</x:f>
        <x:v>15916.924099230291</x:v>
      </x:c>
    </x:row>
    <x:row r="17" ht="14" customHeight="1">
      <x:c r="A17" s="3">
        <x:v>45704</x:v>
      </x:c>
      <x:c r="B17" s="23" t="n">
        <x:v>591.4432779947916</x:v>
      </x:c>
      <x:c r="C17" s="23" t="n">
        <x:v>579.8642171223958</x:v>
      </x:c>
      <x:c r="D17" s="23" t="n">
        <x:v>1420.8450520833333</x:v>
      </x:c>
      <x:c r="E17" s="23" t="n">
        <x:v>899.5961398521964</x:v>
      </x:c>
      <x:c r="F17" s="23" t="n">
        <x:v>1426.590128580729</x:v>
      </x:c>
      <x:c r="G17" s="23" t="n">
        <x:v>1441.007364908854</x:v>
      </x:c>
      <x:c r="H17" s="23" t="n">
        <x:v>606.153076171875</x:v>
      </x:c>
      <x:c r="I17" s="23" t="n">
        <x:v>598.8461100260416</x:v>
      </x:c>
      <x:c r="J17" s="23" t="n">
        <x:v>1421.2318929036458</x:v>
      </x:c>
      <x:c r="K17" s="23" t="n">
        <x:v>1428.817179361979</x:v>
      </x:c>
      <x:c r="L17" s="23" t="n">
        <x:v>613.5734456380208</x:v>
      </x:c>
      <x:c r="M17" s="23" t="n">
        <x:v>610.5399169921875</x:v>
      </x:c>
      <x:c r="N17" s="23" t="n">
        <x:v>613.6944173177083</x:v>
      </x:c>
      <x:c r="O17" s="23" t="n">
        <x:v>627.3958333333333</x:v>
      </x:c>
      <x:c r="P17" s="23" t="n">
        <x:v>639.5169270833333</x:v>
      </x:c>
      <x:c r="Q17" s="23" t="n">
        <x:v>628.9659016927083</x:v>
      </x:c>
      <x:c r="R17" s="23" t="n">
        <x:v>634.5008951822916</x:v>
      </x:c>
      <x:c r="S17" s="23" t="n">
        <x:v>649.2848714192708</x:v>
      </x:c>
      <x:c r="T17" s="23" t="n">
        <x:v>638.8849690755208</x:v>
      </x:c>
      <x:c r="U17" s="23" t="n">
        <x:v>637.2422281901041</x:v>
      </x:c>
      <x:c r="V17" s="23" t="n">
        <x:v>649.4861246744791</x:v>
      </x:c>
      <x:c r="W17" s="23" t="n">
        <x:v>654.7790120442708</x:v>
      </x:c>
      <x:c r="X17" s="23" t="n">
        <x:v>646.0537109375</x:v>
      </x:c>
      <x:c r="Y17" s="23" t="n">
        <x:v>645.154052734375</x:v>
      </x:c>
      <x:c r="Z17" s="23" t="n">
        <x:v>666.4423421223958</x:v>
      </x:c>
      <x:c r="AA17" s="23" t="n">
        <x:v>650.8065999348958</x:v>
      </x:c>
      <x:c r="AB17" s="23" t="n">
        <x:v>631.5835774739583</x:v>
      </x:c>
      <x:c r="AC17" s="23" t="n">
        <x:v>650.4772135416666</x:v>
      </x:c>
      <x:c r="AD17" s="23" t="n">
        <x:v>674.2531331380208</x:v>
      </x:c>
      <x:c r="AE17" s="23" t="n">
        <x:v>675.67138671875</x:v>
      </x:c>
      <x:c r="AF17" s="23" t="n">
        <x:v>679.2787679036458</x:v>
      </x:c>
      <x:c r="AG17" s="23" t="n">
        <x:v>668.6602376302083</x:v>
      </x:c>
      <x:c r="AH17" s="23" t="n">
        <x:v>649.648681640625</x:v>
      </x:c>
      <x:c r="AI17" s="23" t="n">
        <x:v>1475.3595377604165</x:v>
      </x:c>
      <x:c r="AJ17" s="23" t="n">
        <x:v>728.3016764322916</x:v>
      </x:c>
      <x:c r="AK17" s="23" t="n">
        <x:v>659.7221924359729</x:v>
      </x:c>
      <x:c r="AL17" s="23" t="n">
        <x:v>336.9725650603841</x:v>
      </x:c>
      <x:c r="AM17" s="23" t="n">
        <x:v>325.25298681951233</x:v>
      </x:c>
      <x:c r="AN17" s="23" t="n">
        <x:v>346.0482460937499</x:v>
      </x:c>
      <x:c r="AO17" s="23" t="n">
        <x:v>294.73515836878124</x:v>
      </x:c>
      <x:c r="AP17" s="23" t="n">
        <x:v>810.1685995618319</x:v>
      </x:c>
      <x:c r="AQ17" s="23" t="n">
        <x:v>685.1322434821369</x:v>
      </x:c>
      <x:c r="AR17" s="23" t="n">
        <x:v>673.8895707007341</x:v>
      </x:c>
      <x:c r="AS17" s="23" t="n">
        <x:v>700.6104116036438</x:v>
      </x:c>
      <x:c r="AT17" s="23" t="n">
        <x:v>645.937071732315</x:v>
      </x:c>
      <x:c r="AU17" s="23" t="n">
        <x:v>574.4317248959334</x:v>
      </x:c>
      <x:c r="AV17" s="23" t="n">
        <x:v>59.094102836390746</x:v>
      </x:c>
      <x:c r="AW17" s="23" t="n">
        <x:v>377.00518583671817</x:v>
      </x:c>
      <x:c r="AX17" s="23" t="n">
        <x:v>324.98796803290304</x:v>
      </x:c>
      <x:c r="AY17" s="23" t="n">
        <x:v>216.00764224678883</x:v>
      </x:c>
      <x:c r="AZ17" s="23" t="n">
        <x:v>197.98008546274468</x:v>
      </x:c>
      <x:c r="BA17" s="23" t="n">
        <x:v>119.54008847686455</x:v>
      </x:c>
      <x:c r="BB17" s="23" t="n">
        <x:v>15.99390051395782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41.810866185730596</x:v>
      </x:c>
      <x:c r="BO17" s="23" t="n">
        <x:v>846.0819387492603</x:v>
      </x:c>
      <x:c r="BP17" s="23" t="n">
        <x:v>827.7461326788393</x:v>
      </x:c>
      <x:c r="BQ17" s="23" t="n">
        <x:v>811.4169152863484</x:v>
      </x:c>
      <x:c r="BR17" s="23" t="n">
        <x:v>789.843715737396</x:v>
      </x:c>
      <x:c r="BS17" s="23" t="n">
        <x:v>781.3501030584243</x:v>
      </x:c>
      <x:c r="BT17" s="23" t="n">
        <x:v>756.3773180395362</x:v>
      </x:c>
      <x:c r="BU17" s="23" t="n">
        <x:v>691.9224764894362</x:v>
      </x:c>
      <x:c r="BV17" s="23" t="n">
        <x:v>710.855334555959</x:v>
      </x:c>
      <x:c r="BW17" s="23" t="n">
        <x:v>713.8599607015459</x:v>
      </x:c>
      <x:c r="BX17" s="23" t="n">
        <x:v>721.7745745970866</x:v>
      </x:c>
      <x:c r="BY17" s="23" t="n">
        <x:v>700.7127472627478</x:v>
      </x:c>
      <x:c r="BZ17" s="23" t="n">
        <x:v>742.6001420527198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267.59727943945745</x:v>
      </x:c>
      <x:c r="CM17" s="23" t="n">
        <x:v>478.2595843398579</x:v>
      </x:c>
      <x:c r="CN17" s="23" t="n">
        <x:v>1165.2169709703753</x:v>
      </x:c>
      <x:c r="CO17" s="23" t="n">
        <x:v>386.7081327728286</x:v>
      </x:c>
      <x:c r="CP17" s="23" t="n">
        <x:v>460.33257052225264</x:v>
      </x:c>
      <x:c r="CQ17" s="23" t="n">
        <x:v>516.208653939631</x:v>
      </x:c>
      <x:c r="CR17" s="23" t="n">
        <x:v>572.5627143294982</x:v>
      </x:c>
      <x:c r="CS17" s="23" t="n">
        <x:v>621.3230526638508</x:v>
      </x:c>
      <x:c r="CT17" s="23" t="n">
        <x:v>653.6912358054547</x:v>
      </x:c>
      <x:c r="CU17" s="23" t="n">
        <x:v>699.0858770464599</x:v>
      </x:c>
      <x:c r="CV17" s="23" t="n">
        <x:v>774.9603826303239</x:v>
      </x:c>
      <x:c r="CW17" s="23" t="n">
        <x:v>804.8752995909514</x:v>
      </x:c>
      <x:c r="CX17" s="23" t="n">
        <x:v>850.3481437153638</x:v>
      </x:c>
      <x:c r="CY17" s="23" t="n">
        <x:v>894.0583326301473</x:v>
      </x:c>
      <x:c r="CZ17" s="23" t="n">
        <x:v>938.62744318717</x:v>
      </x:c>
      <x:c r="DA17" s="23" t="n">
        <x:v>973.7798794168261</x:v>
      </x:c>
      <x:c r="DB17" s="23" t="n">
        <x:v>1025.2391764322915</x:v>
      </x:c>
      <x:c r="DC17" s="23" t="n">
        <x:v>1030.0722461108608</x:v>
      </x:c>
      <x:c r="DD17" s="23" t="n">
        <x:v>924.362403411779</x:v>
      </x:c>
      <x:c r="DE17" s="23" t="n">
        <x:v>83.49042643229161</x:v>
      </x:c>
      <x:c r="DF17" s="23" t="n">
        <x:v>49.0045623697916</x:v>
      </x:c>
      <x:c r="DG17" s="23" t="n">
        <x:v>730.3883463541666</x:v>
      </x:c>
      <x:c r="DH17" s="23" t="n">
        <x:v>103.55072981770832</x:v>
      </x:c>
      <x:c r="DI17" s="23" t="n">
        <x:v>731.8695475260416</x:v>
      </x:c>
      <x:c r="DJ17" s="23" t="n">
        <x:v>725.5806477864583</x:v>
      </x:c>
      <x:c r="DK17" s="23" t="n">
        <x:v>123.89834635416673</x:v>
      </x:c>
      <x:c r="DL17" s="23" t="n">
        <x:v>108.14316502604174</x:v>
      </x:c>
      <x:c r="DM17" s="23" t="n">
        <x:v>71.62276578125011</x:v>
      </x:c>
      <x:c r="DN17" s="23" t="n">
        <x:v>56.05303059895838</x:v>
      </x:c>
      <x:c r="DO17" s="23" t="n">
        <x:v>86.34332588541663</x:v>
      </x:c>
      <x:c r="DP17" s="23" t="n">
        <x:v>84.62254390624987</x:v>
      </x:c>
      <x:c r="DQ17" s="23" t="n">
        <x:v>455.6147994791657</x:v>
      </x:c>
      <x:c r="DR17" s="23" t="n">
        <x:v>39.03533427083342</x:v>
      </x:c>
      <x:c r="DS17" s="23" t="n">
        <x:v>77.60145575520824</x:v>
      </x:c>
      <x:c r="DT17" s="23" t="n">
        <x:v>99.80605403645828</x:v>
      </x:c>
      <x:c r="DU17" s="23" t="n">
        <x:v>93.37314908854174</x:v>
      </x:c>
      <x:c r="DV17" s="23" t="n">
        <x:v>682.6931663541668</x:v>
      </x:c>
      <x:c r="DW17" s="23" t="n">
        <x:v>759.5272842640817</x:v>
      </x:c>
      <x:c r="DX17" s="23" t="n">
        <x:v>703.061279296875</x:v>
      </x:c>
      <x:c r="DY17" s="23" t="n">
        <x:v>703.1346028645833</x:v>
      </x:c>
      <x:c r="DZ17" s="23" t="n">
        <x:v>717.2547200520833</x:v>
      </x:c>
      <x:c r="EA17" s="23" t="n">
        <x:v>701.8073662760416</x:v>
      </x:c>
      <x:c r="EB17" s="23" t="n">
        <x:v>639.3735185416668</x:v>
      </x:c>
      <x:c r="EC17" s="23" t="n">
        <x:v>1398.3671061197915</x:v>
      </x:c>
      <x:c r="ED17" s="23" t="n">
        <x:v>1388.121826171875</x:v>
      </x:c>
      <x:c r="EE17" s="23" t="n">
        <x:v>558.2764892578125</x:v>
      </x:c>
      <x:c r="EF17" s="23" t="n">
        <x:v>554.2780354817708</x:v>
      </x:c>
      <x:c r="EG17" s="23" t="n">
        <x:v>561.634033203125</x:v>
      </x:c>
      <x:c r="EH17" s="23" t="n">
        <x:v>556.2895100911458</x:v>
      </x:c>
      <x:c r="EI17" s="23" t="n">
        <x:v>1388.2220865885415</x:v>
      </x:c>
      <x:c r="EJ17" s="23" t="n">
        <x:v>1407.1764322916665</x:v>
      </x:c>
      <x:c r="EK17" s="23" t="n">
        <x:v>697.5606875602814</x:v>
      </x:c>
      <x:c r="EL17" s="23" t="n">
        <x:v>1403.3653564453125</x:v>
      </x:c>
      <x:c r="EM17" s="23" t="n">
        <x:v>1400.064493815104</x:v>
      </x:c>
      <x:c r="EN17" s="23" t="n">
        <x:v>581.3121744791666</x:v>
      </x:c>
      <x:c r="EO17" s="23" t="n">
        <x:v>589.2699788411458</x:v>
      </x:c>
      <x:c r="EP17" s="23" t="n">
        <x:f>SUM(B17:EO17)</x:f>
        <x:v>79101.90962659463</x:v>
      </x:c>
      <x:c r="EQ17" s="23" t="n">
        <x:f>SUMPRODUCT(B17:EO17,{0.4482,0.4211,0.4301,0.4675,0.4785,0.4493,0.4166,0.4117,0.4256,0.4231,0.4151,0.4113,0.4121,0.4325,0.4633,0.4743,0.4652,0.4528,0.4548,0.4578,0.4517,0.4369,0.4132,0.411,0.4616,0.4806,0.4542,0.4514,0.4713,0.4907,0.4906,0.4815,0.4506,0.4231,0.6755,1.0469,1.0687,1.028,1.0576,1.0014,0.9384,0.9391,0.9823,0.9688,0.8784,0.8224,1.03,1.3492,1.3733,1.3044,1.2932,1.2867,1.251,1.1909,1.1455,1.1583,1.1774,1.1082,1.0629,1.0839,1.1006,1.0868,1.0704,1.0734,0.9368,0.7189,0.6584,0.6674,0.6616,0.6459,0.6301,0.6143,0.5936,0.581,0.5625,0.5386,0.6801,0.9337,1.0436,1.0152,0.9679,1.0101,1.0276,1.0051,1.0356,1.0346,1.021,1.082,0.9955,0.795,0.755,0.7814,0.8047,0.8578,0.9026,0.9266,0.951,0.9553,0.9571,1.0008,1.044,1.0629,1.0742,1.0934,1.1161,1.1325,1.1824,1.2463,1.2593,1.2622,1.2597,1.2244,1.2479,1.3279,1.3578,1.3147,1.2554,1.2642,1.3067,1.3339,1.3172,1.2505,1.2306,1.336,1.2032,0.9085,0.8962,0.8973,0.8626,0.9764,0.7715,0.355,0.34,0.4108,0.3867,0.4156,0.4641,0.4604,0.3874,0.3928,0.4748,0.4868,0.4628,0.432})</x:f>
        <x:v>54155.382707671306</x:v>
      </x:c>
    </x:row>
    <x:row r="18" ht="14" customHeight="1">
      <x:c r="A18" s="3">
        <x:v>45705</x:v>
      </x:c>
      <x:c r="B18" s="23" t="n">
        <x:v>574.9849446614583</x:v>
      </x:c>
      <x:c r="C18" s="23" t="n">
        <x:v>1403.920206705729</x:v>
      </x:c>
      <x:c r="D18" s="23" t="n">
        <x:v>1413.2591145833333</x:v>
      </x:c>
      <x:c r="E18" s="23" t="n">
        <x:v>1418.52001953125</x:v>
      </x:c>
      <x:c r="F18" s="23" t="n">
        <x:v>1405.014200846354</x:v>
      </x:c>
      <x:c r="G18" s="23" t="n">
        <x:v>1402.7205403645833</x:v>
      </x:c>
      <x:c r="H18" s="23" t="n">
        <x:v>580.9034830729166</x:v>
      </x:c>
      <x:c r="I18" s="23" t="n">
        <x:v>597.2165934244791</x:v>
      </x:c>
      <x:c r="J18" s="23" t="n">
        <x:v>609.3755696614583</x:v>
      </x:c>
      <x:c r="K18" s="23" t="n">
        <x:v>1423.6719563802083</x:v>
      </x:c>
      <x:c r="L18" s="23" t="n">
        <x:v>583.6787516276041</x:v>
      </x:c>
      <x:c r="M18" s="23" t="n">
        <x:v>619.0659586588541</x:v>
      </x:c>
      <x:c r="N18" s="23" t="n">
        <x:v>1074.48747844409</x:v>
      </x:c>
      <x:c r="O18" s="23" t="n">
        <x:v>643.0609130859375</x:v>
      </x:c>
      <x:c r="P18" s="23" t="n">
        <x:v>640.32666015625</x:v>
      </x:c>
      <x:c r="Q18" s="23" t="n">
        <x:v>626.1388753255208</x:v>
      </x:c>
      <x:c r="R18" s="23" t="n">
        <x:v>625.5792643229166</x:v>
      </x:c>
      <x:c r="S18" s="23" t="n">
        <x:v>635.1136881510416</x:v>
      </x:c>
      <x:c r="T18" s="23" t="n">
        <x:v>641.3123372395833</x:v>
      </x:c>
      <x:c r="U18" s="23" t="n">
        <x:v>641.6222330729166</x:v>
      </x:c>
      <x:c r="V18" s="23" t="n">
        <x:v>651.69873046875</x:v>
      </x:c>
      <x:c r="W18" s="23" t="n">
        <x:v>641.544189453125</x:v>
      </x:c>
      <x:c r="X18" s="23" t="n">
        <x:v>647.0840657552083</x:v>
      </x:c>
      <x:c r="Y18" s="23" t="n">
        <x:v>665.6695963541666</x:v>
      </x:c>
      <x:c r="Z18" s="23" t="n">
        <x:v>680.1341959635416</x:v>
      </x:c>
      <x:c r="AA18" s="23" t="n">
        <x:v>677.4701741536458</x:v>
      </x:c>
      <x:c r="AB18" s="23" t="n">
        <x:v>694.1822102864583</x:v>
      </x:c>
      <x:c r="AC18" s="23" t="n">
        <x:v>689.0838216145833</x:v>
      </x:c>
      <x:c r="AD18" s="23" t="n">
        <x:v>651.137451171875</x:v>
      </x:c>
      <x:c r="AE18" s="23" t="n">
        <x:v>652.3381754557291</x:v>
      </x:c>
      <x:c r="AF18" s="23" t="n">
        <x:v>653.6918538411458</x:v>
      </x:c>
      <x:c r="AG18" s="23" t="n">
        <x:v>654.5232340494791</x:v>
      </x:c>
      <x:c r="AH18" s="23" t="n">
        <x:v>656.9796956380208</x:v>
      </x:c>
      <x:c r="AI18" s="23" t="n">
        <x:v>645.9036865234375</x:v>
      </x:c>
      <x:c r="AJ18" s="23" t="n">
        <x:v>731.28466796875</x:v>
      </x:c>
      <x:c r="AK18" s="23" t="n">
        <x:v>894.7457682291666</x:v>
      </x:c>
      <x:c r="AL18" s="23" t="n">
        <x:v>77.95524505889003</x:v>
      </x:c>
      <x:c r="AM18" s="23" t="n">
        <x:v>48.67711019675653</x:v>
      </x:c>
      <x:c r="AN18" s="23" t="n">
        <x:v>94.2029796006944</x:v>
      </x:c>
      <x:c r="AO18" s="23" t="n">
        <x:v>876.288446256282</x:v>
      </x:c>
      <x:c r="AP18" s="23" t="n">
        <x:v>815.2996881027868</x:v>
      </x:c>
      <x:c r="AQ18" s="23" t="n">
        <x:v>809.1265730554685</x:v>
      </x:c>
      <x:c r="AR18" s="23" t="n">
        <x:v>727.6230719773312</x:v>
      </x:c>
      <x:c r="AS18" s="23" t="n">
        <x:v>713.6613807924407</x:v>
      </x:c>
      <x:c r="AT18" s="23" t="n">
        <x:v>650.5880253414841</x:v>
      </x:c>
      <x:c r="AU18" s="23" t="n">
        <x:v>553.7070384369592</x:v>
      </x:c>
      <x:c r="AV18" s="23" t="n">
        <x:v>596.0440997667731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137.89640473516494</x:v>
      </x:c>
      <x:c r="BL18" s="23" t="n">
        <x:v>0</x:v>
      </x:c>
      <x:c r="BM18" s="23" t="n">
        <x:v>0</x:v>
      </x:c>
      <x:c r="BN18" s="23" t="n">
        <x:v>49.34840771234667</x:v>
      </x:c>
      <x:c r="BO18" s="23" t="n">
        <x:v>861.449859114593</x:v>
      </x:c>
      <x:c r="BP18" s="23" t="n">
        <x:v>845.675378196782</x:v>
      </x:c>
      <x:c r="BQ18" s="23" t="n">
        <x:v>830.1618653250972</x:v>
      </x:c>
      <x:c r="BR18" s="23" t="n">
        <x:v>806.165794331127</x:v>
      </x:c>
      <x:c r="BS18" s="23" t="n">
        <x:v>784.3633554954656</x:v>
      </x:c>
      <x:c r="BT18" s="23" t="n">
        <x:v>771.5797847562305</x:v>
      </x:c>
      <x:c r="BU18" s="23" t="n">
        <x:v>728.8780233564222</x:v>
      </x:c>
      <x:c r="BV18" s="23" t="n">
        <x:v>713.0334946826489</x:v>
      </x:c>
      <x:c r="BW18" s="23" t="n">
        <x:v>716.0940867723494</x:v>
      </x:c>
      <x:c r="BX18" s="23" t="n">
        <x:v>713.508807877338</x:v>
      </x:c>
      <x:c r="BY18" s="23" t="n">
        <x:v>707.4151338360672</x:v>
      </x:c>
      <x:c r="BZ18" s="23" t="n">
        <x:v>749.4046224847978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5.844842860678151</x:v>
      </x:c>
      <x:c r="CF18" s="23" t="n">
        <x:v>32.31092262050288</x:v>
      </x:c>
      <x:c r="CG18" s="23" t="n">
        <x:v>58.27896091704088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1130.4901886881437</x:v>
      </x:c>
      <x:c r="CN18" s="23" t="n">
        <x:v>1037.8655041720897</x:v>
      </x:c>
      <x:c r="CO18" s="23" t="n">
        <x:v>393.21879498164344</x:v>
      </x:c>
      <x:c r="CP18" s="23" t="n">
        <x:v>430.297206801156</x:v>
      </x:c>
      <x:c r="CQ18" s="23" t="n">
        <x:v>491.29388807439057</x:v>
      </x:c>
      <x:c r="CR18" s="23" t="n">
        <x:v>530.3491702341827</x:v>
      </x:c>
      <x:c r="CS18" s="23" t="n">
        <x:v>567.9707583841314</x:v>
      </x:c>
      <x:c r="CT18" s="23" t="n">
        <x:v>673.8796008308252</x:v>
      </x:c>
      <x:c r="CU18" s="23" t="n">
        <x:v>733.9223899310041</x:v>
      </x:c>
      <x:c r="CV18" s="23" t="n">
        <x:v>772.4021191559159</x:v>
      </x:c>
      <x:c r="CW18" s="23" t="n">
        <x:v>823.0269101688469</x:v>
      </x:c>
      <x:c r="CX18" s="23" t="n">
        <x:v>867.3929627326245</x:v>
      </x:c>
      <x:c r="CY18" s="23" t="n">
        <x:v>903.3488055609275</x:v>
      </x:c>
      <x:c r="CZ18" s="23" t="n">
        <x:v>923.2572452411789</x:v>
      </x:c>
      <x:c r="DA18" s="23" t="n">
        <x:v>967.0794497403259</x:v>
      </x:c>
      <x:c r="DB18" s="23" t="n">
        <x:v>1022.268310546875</x:v>
      </x:c>
      <x:c r="DC18" s="23" t="n">
        <x:v>1020.5869255637599</x:v>
      </x:c>
      <x:c r="DD18" s="23" t="n">
        <x:v>920.6938464525952</x:v>
      </x:c>
      <x:c r="DE18" s="23" t="n">
        <x:v>723.085205078125</x:v>
      </x:c>
      <x:c r="DF18" s="23" t="n">
        <x:v>705.8722330729166</x:v>
      </x:c>
      <x:c r="DG18" s="23" t="n">
        <x:v>711.2045084635416</x:v>
      </x:c>
      <x:c r="DH18" s="23" t="n">
        <x:v>104.48296549479142</x:v>
      </x:c>
      <x:c r="DI18" s="23" t="n">
        <x:v>0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721.4052734375</x:v>
      </x:c>
      <x:c r="DT18" s="23" t="n">
        <x:v>715.5917154947916</x:v>
      </x:c>
      <x:c r="DU18" s="23" t="n">
        <x:v>0</x:v>
      </x:c>
      <x:c r="DV18" s="23" t="n">
        <x:v>727.0891927083333</x:v>
      </x:c>
      <x:c r="DW18" s="23" t="n">
        <x:v>709.6735900125383</x:v>
      </x:c>
      <x:c r="DX18" s="23" t="n">
        <x:v>716.9181315104166</x:v>
      </x:c>
      <x:c r="DY18" s="23" t="n">
        <x:v>724.2556966145833</x:v>
      </x:c>
      <x:c r="DZ18" s="23" t="n">
        <x:v>727.4560546875</x:v>
      </x:c>
      <x:c r="EA18" s="23" t="n">
        <x:v>733.7264735677086</x:v>
      </x:c>
      <x:c r="EB18" s="23" t="n">
        <x:v>699.5695468696413</x:v>
      </x:c>
      <x:c r="EC18" s="23" t="n">
        <x:v>571.0674641927083</x:v>
      </x:c>
      <x:c r="ED18" s="23" t="n">
        <x:v>1406.794189453125</x:v>
      </x:c>
      <x:c r="EE18" s="23" t="n">
        <x:v>585.4034830729166</x:v>
      </x:c>
      <x:c r="EF18" s="23" t="n">
        <x:v>1415.5079345703125</x:v>
      </x:c>
      <x:c r="EG18" s="23" t="n">
        <x:v>574.4371744791666</x:v>
      </x:c>
      <x:c r="EH18" s="23" t="n">
        <x:v>584.1468098958333</x:v>
      </x:c>
      <x:c r="EI18" s="23" t="n">
        <x:v>1412.94140625</x:v>
      </x:c>
      <x:c r="EJ18" s="23" t="n">
        <x:v>1414.6018880208333</x:v>
      </x:c>
      <x:c r="EK18" s="23" t="n">
        <x:v>575.9008382161458</x:v>
      </x:c>
      <x:c r="EL18" s="23" t="n">
        <x:v>1410.7071126302083</x:v>
      </x:c>
      <x:c r="EM18" s="23" t="n">
        <x:v>1413.278605143229</x:v>
      </x:c>
      <x:c r="EN18" s="23" t="n">
        <x:v>877.5348807964147</x:v>
      </x:c>
      <x:c r="EO18" s="23" t="n">
        <x:v>578.6703287760416</x:v>
      </x:c>
      <x:c r="EP18" s="23" t="n">
        <x:f>SUM(B18:EO18)</x:f>
        <x:v>79672.69448967402</x:v>
      </x:c>
      <x:c r="EQ18" s="23" t="n">
        <x:f>SUMPRODUCT(B18:EO18,{0.3871,0.3817,0.4286,0.4816,0.4872,0.4536,0.4353,0.4226,0.4217,0.4526,0.4634,0.4468,0.4458,0.4509,0.4533,0.4585,0.4711,0.4708,0.4386,0.4505,0.4863,0.4529,0.4446,0.487,0.5109,0.5309,0.546,0.5242,0.4631,0.4312,0.498,0.4963,0.4037,0.4061,0.6831,1.0392,1.0672,0.9863,0.9831,1.0313,1.0334,0.9575,0.8675,0.8753,0.9035,0.8114,0.9786,1.3167,1.3191,1.1997,1.1624,1.1935,1.201,1.1535,1.0989,1.0877,1.0948,1.0543,1.0358,1.0485,1.0302,1.013,1.0402,1.0866,0.9209,0.6244,0.5365,0.5773,0.6199,0.6164,0.59,0.5685,0.5677,0.6015,0.6108,0.5419,0.6357,0.8671,0.9543,0.9477,0.9333,0.9379,0.9535,0.9768,1.0094,1.023,1.039,1.0779,0.9464,0.7486,0.7966,0.8408,0.8124,0.8877,0.9299,0.8865,0.8545,0.8614,0.9083,0.9829,1.0487,1.0812,1.0823,1.0852,1.0887,1.0772,1.1397,1.2466,1.2701,1.2649,1.2742,1.2847,1.2908,1.287,1.2754,1.2982,1.3221,1.2692,1.2206,1.2346,1.2888,1.2998,1.285,1.3047,1.1435,0.9124,0.9518,0.9541,0.8971,1.0199,0.8342,0.4129,0.3597,0.422,0.4085,0.3998,0.4263,0.4603,0.4511,0.4258,0.4114,0.4172,0.4568,0.4907})</x:f>
        <x:v>53703.4037652508</x:v>
      </x:c>
    </x:row>
    <x:row r="19" ht="14" customHeight="1">
      <x:c r="A19" s="3">
        <x:v>45706</x:v>
      </x:c>
      <x:c r="B19" s="23" t="n">
        <x:v>1399.3490397135415</x:v>
      </x:c>
      <x:c r="C19" s="23" t="n">
        <x:v>1402.8551025390625</x:v>
      </x:c>
      <x:c r="D19" s="23" t="n">
        <x:v>811.0702959514848</x:v>
      </x:c>
      <x:c r="E19" s="23" t="n">
        <x:v>1408.77392578125</x:v>
      </x:c>
      <x:c r="F19" s="23" t="n">
        <x:v>562.3211669921875</x:v>
      </x:c>
      <x:c r="G19" s="23" t="n">
        <x:v>570.2369791666666</x:v>
      </x:c>
      <x:c r="H19" s="23" t="n">
        <x:v>578.8880615234375</x:v>
      </x:c>
      <x:c r="I19" s="23" t="n">
        <x:v>574.0455322265625</x:v>
      </x:c>
      <x:c r="J19" s="23" t="n">
        <x:v>574.955078125</x:v>
      </x:c>
      <x:c r="K19" s="23" t="n">
        <x:v>629.9420572916666</x:v>
      </x:c>
      <x:c r="L19" s="23" t="n">
        <x:v>634.4283040364583</x:v>
      </x:c>
      <x:c r="M19" s="23" t="n">
        <x:v>1438.2550048828125</x:v>
      </x:c>
      <x:c r="N19" s="23" t="n">
        <x:v>1457.4065755208333</x:v>
      </x:c>
      <x:c r="O19" s="23" t="n">
        <x:v>636.32080078125</x:v>
      </x:c>
      <x:c r="P19" s="23" t="n">
        <x:v>644.7514241536458</x:v>
      </x:c>
      <x:c r="Q19" s="23" t="n">
        <x:v>644.860595703125</x:v>
      </x:c>
      <x:c r="R19" s="23" t="n">
        <x:v>642.7501220703125</x:v>
      </x:c>
      <x:c r="S19" s="23" t="n">
        <x:v>639.8701578776041</x:v>
      </x:c>
      <x:c r="T19" s="23" t="n">
        <x:v>626.8025716145833</x:v>
      </x:c>
      <x:c r="U19" s="23" t="n">
        <x:v>631.1356608072916</x:v>
      </x:c>
      <x:c r="V19" s="23" t="n">
        <x:v>647.8096516927083</x:v>
      </x:c>
      <x:c r="W19" s="23" t="n">
        <x:v>645.4738362630208</x:v>
      </x:c>
      <x:c r="X19" s="23" t="n">
        <x:v>645.1029052734375</x:v>
      </x:c>
      <x:c r="Y19" s="23" t="n">
        <x:v>634.9544677734375</x:v>
      </x:c>
      <x:c r="Z19" s="23" t="n">
        <x:v>644.1264241536458</x:v>
      </x:c>
      <x:c r="AA19" s="23" t="n">
        <x:v>652.0653483072916</x:v>
      </x:c>
      <x:c r="AB19" s="23" t="n">
        <x:v>654.5585123697916</x:v>
      </x:c>
      <x:c r="AC19" s="23" t="n">
        <x:v>675.0997721354166</x:v>
      </x:c>
      <x:c r="AD19" s="23" t="n">
        <x:v>651.7532958984375</x:v>
      </x:c>
      <x:c r="AE19" s="23" t="n">
        <x:v>650.8110758463541</x:v>
      </x:c>
      <x:c r="AF19" s="23" t="n">
        <x:v>648.7068277994791</x:v>
      </x:c>
      <x:c r="AG19" s="23" t="n">
        <x:v>663.4213460286458</x:v>
      </x:c>
      <x:c r="AH19" s="23" t="n">
        <x:v>668.6394449869791</x:v>
      </x:c>
      <x:c r="AI19" s="23" t="n">
        <x:v>1491.0711263020833</x:v>
      </x:c>
      <x:c r="AJ19" s="23" t="n">
        <x:v>716.0326334635416</x:v>
      </x:c>
      <x:c r="AK19" s="23" t="n">
        <x:v>785.3678385416666</x:v>
      </x:c>
      <x:c r="AL19" s="23" t="n">
        <x:v>76.29953978734056</x:v>
      </x:c>
      <x:c r="AM19" s="23" t="n">
        <x:v>349.11071643734397</x:v>
      </x:c>
      <x:c r="AN19" s="23" t="n">
        <x:v>83.9832547743055</x:v>
      </x:c>
      <x:c r="AO19" s="23" t="n">
        <x:v>37.1643817864104</x:v>
      </x:c>
      <x:c r="AP19" s="23" t="n">
        <x:v>843.1633948799341</x:v>
      </x:c>
      <x:c r="AQ19" s="23" t="n">
        <x:v>766.4676845006754</x:v>
      </x:c>
      <x:c r="AR19" s="23" t="n">
        <x:v>746.4639742456866</x:v>
      </x:c>
      <x:c r="AS19" s="23" t="n">
        <x:v>696.9229698619689</x:v>
      </x:c>
      <x:c r="AT19" s="23" t="n">
        <x:v>640.7591941638748</x:v>
      </x:c>
      <x:c r="AU19" s="23" t="n">
        <x:v>1377.1521947771835</x:v>
      </x:c>
      <x:c r="AV19" s="23" t="n">
        <x:v>0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102.78386127835725</x:v>
      </x:c>
      <x:c r="BL19" s="23" t="n">
        <x:v>0</x:v>
      </x:c>
      <x:c r="BM19" s="23" t="n">
        <x:v>0</x:v>
      </x:c>
      <x:c r="BN19" s="23" t="n">
        <x:v>6.295474048635697</x:v>
      </x:c>
      <x:c r="BO19" s="23" t="n">
        <x:v>814.0169680919645</x:v>
      </x:c>
      <x:c r="BP19" s="23" t="n">
        <x:v>799.547133988774</x:v>
      </x:c>
      <x:c r="BQ19" s="23" t="n">
        <x:v>794.3153089351891</x:v>
      </x:c>
      <x:c r="BR19" s="23" t="n">
        <x:v>768.8831153247529</x:v>
      </x:c>
      <x:c r="BS19" s="23" t="n">
        <x:v>782.216695646338</x:v>
      </x:c>
      <x:c r="BT19" s="23" t="n">
        <x:v>766.1238805427372</x:v>
      </x:c>
      <x:c r="BU19" s="23" t="n">
        <x:v>718.5735785460098</x:v>
      </x:c>
      <x:c r="BV19" s="23" t="n">
        <x:v>702.4800902108282</x:v>
      </x:c>
      <x:c r="BW19" s="23" t="n">
        <x:v>716.4791465911195</x:v>
      </x:c>
      <x:c r="BX19" s="23" t="n">
        <x:v>727.1682733374207</x:v>
      </x:c>
      <x:c r="BY19" s="23" t="n">
        <x:v>694.0739035064563</x:v>
      </x:c>
      <x:c r="BZ19" s="23" t="n">
        <x:v>707.3361285424818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879.9784581165143</x:v>
      </x:c>
      <x:c r="CN19" s="23" t="n">
        <x:v>360.35808765689046</x:v>
      </x:c>
      <x:c r="CO19" s="23" t="n">
        <x:v>396.22380300870674</x:v>
      </x:c>
      <x:c r="CP19" s="23" t="n">
        <x:v>1268.7019124007911</x:v>
      </x:c>
      <x:c r="CQ19" s="23" t="n">
        <x:v>502.94669326943864</x:v>
      </x:c>
      <x:c r="CR19" s="23" t="n">
        <x:v>554.6246478916335</x:v>
      </x:c>
      <x:c r="CS19" s="23" t="n">
        <x:v>597.0038187003369</x:v>
      </x:c>
      <x:c r="CT19" s="23" t="n">
        <x:v>625.6767819439729</x:v>
      </x:c>
      <x:c r="CU19" s="23" t="n">
        <x:v>685.066383599836</x:v>
      </x:c>
      <x:c r="CV19" s="23" t="n">
        <x:v>766.9086619345196</x:v>
      </x:c>
      <x:c r="CW19" s="23" t="n">
        <x:v>794.1322522614837</x:v>
      </x:c>
      <x:c r="CX19" s="23" t="n">
        <x:v>852.0211877246817</x:v>
      </x:c>
      <x:c r="CY19" s="23" t="n">
        <x:v>913.2369759720698</x:v>
      </x:c>
      <x:c r="CZ19" s="23" t="n">
        <x:v>940.0169449472951</x:v>
      </x:c>
      <x:c r="DA19" s="23" t="n">
        <x:v>953.8252220216019</x:v>
      </x:c>
      <x:c r="DB19" s="23" t="n">
        <x:v>991.5882975260416</x:v>
      </x:c>
      <x:c r="DC19" s="23" t="n">
        <x:v>1002.2817346341076</x:v>
      </x:c>
      <x:c r="DD19" s="23" t="n">
        <x:v>910.8480527522154</x:v>
      </x:c>
      <x:c r="DE19" s="23" t="n">
        <x:v>0</x:v>
      </x:c>
      <x:c r="DF19" s="23" t="n">
        <x:v>662.828857421875</x:v>
      </x:c>
      <x:c r="DG19" s="23" t="n">
        <x:v>722.3692220052083</x:v>
      </x:c>
      <x:c r="DH19" s="23" t="n">
        <x:v>0</x:v>
      </x:c>
      <x:c r="DI19" s="23" t="n">
        <x:v>0</x:v>
      </x:c>
      <x:c r="DJ19" s="23" t="n">
        <x:v>726.7423502604166</x:v>
      </x:c>
      <x:c r="DK19" s="23" t="n">
        <x:v>0</x:v>
      </x:c>
      <x:c r="DL19" s="23" t="n">
        <x:v>0</x:v>
      </x:c>
      <x:c r="DM19" s="23" t="n">
        <x:v>0</x:v>
      </x:c>
      <x:c r="DN19" s="23" t="n">
        <x:v>725.0714518229166</x:v>
      </x:c>
      <x:c r="DO19" s="23" t="n">
        <x:v>721.268798828125</x:v>
      </x:c>
      <x:c r="DP19" s="23" t="n">
        <x:v>0</x:v>
      </x:c>
      <x:c r="DQ19" s="23" t="n">
        <x:v>0</x:v>
      </x:c>
      <x:c r="DR19" s="23" t="n">
        <x:v>0</x:v>
      </x:c>
      <x:c r="DS19" s="23" t="n">
        <x:v>84.02222526041533</x:v>
      </x:c>
      <x:c r="DT19" s="23" t="n">
        <x:v>0</x:v>
      </x:c>
      <x:c r="DU19" s="23" t="n">
        <x:v>0</x:v>
      </x:c>
      <x:c r="DV19" s="23" t="n">
        <x:v>723.5418294270833</x:v>
      </x:c>
      <x:c r="DW19" s="23" t="n">
        <x:v>715.5869954427086</x:v>
      </x:c>
      <x:c r="DX19" s="23" t="n">
        <x:v>721.3489896797835</x:v>
      </x:c>
      <x:c r="DY19" s="23" t="n">
        <x:v>719.744873046875</x:v>
      </x:c>
      <x:c r="DZ19" s="23" t="n">
        <x:v>728.7857259114583</x:v>
      </x:c>
      <x:c r="EA19" s="23" t="n">
        <x:v>746.8491669010418</x:v>
      </x:c>
      <x:c r="EB19" s="23" t="n">
        <x:v>656.1778627199608</x:v>
      </x:c>
      <x:c r="EC19" s="23" t="n">
        <x:v>568.3627522786458</x:v>
      </x:c>
      <x:c r="ED19" s="23" t="n">
        <x:v>1407.5849202473958</x:v>
      </x:c>
      <x:c r="EE19" s="23" t="n">
        <x:v>582.7869873046875</x:v>
      </x:c>
      <x:c r="EF19" s="23" t="n">
        <x:v>582.9817708333333</x:v>
      </x:c>
      <x:c r="EG19" s="23" t="n">
        <x:v>1401.435831705729</x:v>
      </x:c>
      <x:c r="EH19" s="23" t="n">
        <x:v>1384.946533203125</x:v>
      </x:c>
      <x:c r="EI19" s="23" t="n">
        <x:v>561.0438232421875</x:v>
      </x:c>
      <x:c r="EJ19" s="23" t="n">
        <x:v>562.3165283203125</x:v>
      </x:c>
      <x:c r="EK19" s="23" t="n">
        <x:v>561.6693115234375</x:v>
      </x:c>
      <x:c r="EL19" s="23" t="n">
        <x:v>859.1090699414335</x:v>
      </x:c>
      <x:c r="EM19" s="23" t="n">
        <x:v>1399.689493815104</x:v>
      </x:c>
      <x:c r="EN19" s="23" t="n">
        <x:v>1398.1142171223958</x:v>
      </x:c>
      <x:c r="EO19" s="23" t="n">
        <x:v>1394.3083089192708</x:v>
      </x:c>
      <x:c r="EP19" s="23" t="n">
        <x:f>SUM(B19:EO19)</x:f>
        <x:v>78015.92164094758</x:v>
      </x:c>
      <x:c r="EQ19" s="23" t="n">
        <x:f>SUMPRODUCT(B19:EO19,{0.4538,0.3978,0.3707,0.3809,0.4121,0.4314,0.4168,0.4305,0.4729,0.4781,0.4496,0.4155,0.3993,0.3849,0.3933,0.459,0.4865,0.4601,0.4534,0.4479,0.4398,0.4545,0.4764,0.4801,0.457,0.463,0.497,0.5008,0.4823,0.442,0.3882,0.447,0.5123,0.3951,0.5887,1.0015,1.0192,0.9545,1.0043,1.0314,0.988,0.9154,0.8953,0.9144,0.8899,0.7962,0.9896,1.3471,1.3605,1.2685,1.2676,1.2994,1.2411,1.1441,1.1713,1.1846,1.1106,1.0197,0.9844,0.9956,0.9912,1.0164,1.0603,1.0328,0.8694,0.6639,0.5962,0.5902,0.5835,0.5828,0.5596,0.5372,0.5676,0.5738,0.5298,0.5198,0.7176,0.9764,0.9581,0.9127,0.9551,0.9612,0.9889,1.0328,1.0139,1.0052,1.0434,1.0746,0.9918,0.853,0.829,0.8361,0.8274,0.8394,0.8338,0.8431,0.9355,0.9696,0.9327,0.9543,1.0052,1.042,1.055,1.0578,1.0746,1.1236,1.1784,1.2276,1.2731,1.269,1.2379,1.2566,1.2961,1.3093,1.2802,1.2801,1.3064,1.2878,1.257,1.2639,1.3146,1.2933,1.2528,1.3234,1.1722,0.8939,0.9311,0.9579,0.8985,0.9689,0.7845,0.4324,0.4218,0.4573,0.397,0.4117,0.4752,0.4945,0.4145,0.3777,0.4062,0.3913,0.3776,0.3882})</x:f>
        <x:v>51467.410008986924</x:v>
      </x:c>
    </x:row>
    <x:row r="20" ht="14" customHeight="1">
      <x:c r="A20" s="3">
        <x:v>45707</x:v>
      </x:c>
      <x:c r="B20" s="23" t="n">
        <x:v>582.7054036458333</x:v>
      </x:c>
      <x:c r="C20" s="23" t="n">
        <x:v>769.1267495901318</x:v>
      </x:c>
      <x:c r="D20" s="23" t="n">
        <x:v>1415.072794596354</x:v>
      </x:c>
      <x:c r="E20" s="23" t="n">
        <x:v>1411.4723714192708</x:v>
      </x:c>
      <x:c r="F20" s="23" t="n">
        <x:v>568.4169514973958</x:v>
      </x:c>
      <x:c r="G20" s="23" t="n">
        <x:v>586.2067057291666</x:v>
      </x:c>
      <x:c r="H20" s="23" t="n">
        <x:v>611.0478922526041</x:v>
      </x:c>
      <x:c r="I20" s="23" t="n">
        <x:v>597.9037272135416</x:v>
      </x:c>
      <x:c r="J20" s="23" t="n">
        <x:v>571.7696940104166</x:v>
      </x:c>
      <x:c r="K20" s="23" t="n">
        <x:v>594.2263590494791</x:v>
      </x:c>
      <x:c r="L20" s="23" t="n">
        <x:v>613.0829671223958</x:v>
      </x:c>
      <x:c r="M20" s="23" t="n">
        <x:v>1414.3886311848958</x:v>
      </x:c>
      <x:c r="N20" s="23" t="n">
        <x:v>1448.9069417317708</x:v>
      </x:c>
      <x:c r="O20" s="23" t="n">
        <x:v>637.1070963541666</x:v>
      </x:c>
      <x:c r="P20" s="23" t="n">
        <x:v>619.5372314453125</x:v>
      </x:c>
      <x:c r="Q20" s="23" t="n">
        <x:v>637.5735677083333</x:v>
      </x:c>
      <x:c r="R20" s="23" t="n">
        <x:v>636.6680908203125</x:v>
      </x:c>
      <x:c r="S20" s="23" t="n">
        <x:v>635.3157958984375</x:v>
      </x:c>
      <x:c r="T20" s="23" t="n">
        <x:v>624.9083658854166</x:v>
      </x:c>
      <x:c r="U20" s="23" t="n">
        <x:v>1474.3822428385415</x:v>
      </x:c>
      <x:c r="V20" s="23" t="n">
        <x:v>1472.534952799479</x:v>
      </x:c>
      <x:c r="W20" s="23" t="n">
        <x:v>645.3254801432291</x:v>
      </x:c>
      <x:c r="X20" s="23" t="n">
        <x:v>644.6997477213541</x:v>
      </x:c>
      <x:c r="Y20" s="23" t="n">
        <x:v>674.1614583333333</x:v>
      </x:c>
      <x:c r="Z20" s="23" t="n">
        <x:v>683.6124674479166</x:v>
      </x:c>
      <x:c r="AA20" s="23" t="n">
        <x:v>686.2561848958333</x:v>
      </x:c>
      <x:c r="AB20" s="23" t="n">
        <x:v>647.5099283854166</x:v>
      </x:c>
      <x:c r="AC20" s="23" t="n">
        <x:v>667.3189290364583</x:v>
      </x:c>
      <x:c r="AD20" s="23" t="n">
        <x:v>682.419921875</x:v>
      </x:c>
      <x:c r="AE20" s="23" t="n">
        <x:v>667.6332194010416</x:v>
      </x:c>
      <x:c r="AF20" s="23" t="n">
        <x:v>649.7386067708333</x:v>
      </x:c>
      <x:c r="AG20" s="23" t="n">
        <x:v>670.9013264973958</x:v>
      </x:c>
      <x:c r="AH20" s="23" t="n">
        <x:v>692.7373860677083</x:v>
      </x:c>
      <x:c r="AI20" s="23" t="n">
        <x:v>676.0802815755208</x:v>
      </x:c>
      <x:c r="AJ20" s="23" t="n">
        <x:v>727.7138671875</x:v>
      </x:c>
      <x:c r="AK20" s="23" t="n">
        <x:v>0</x:v>
      </x:c>
      <x:c r="AL20" s="23" t="n">
        <x:v>74.57923071294863</x:v>
      </x:c>
      <x:c r="AM20" s="23" t="n">
        <x:v>86.28205502841031</x:v>
      </x:c>
      <x:c r="AN20" s="23" t="n">
        <x:v>784.8959728851024</x:v>
      </x:c>
      <x:c r="AO20" s="23" t="n">
        <x:v>868.5492642635529</x:v>
      </x:c>
      <x:c r="AP20" s="23" t="n">
        <x:v>831.5920971856615</x:v>
      </x:c>
      <x:c r="AQ20" s="23" t="n">
        <x:v>711.0719791795441</x:v>
      </x:c>
      <x:c r="AR20" s="23" t="n">
        <x:v>735.7014089385905</x:v>
      </x:c>
      <x:c r="AS20" s="23" t="n">
        <x:v>691.0800337813757</x:v>
      </x:c>
      <x:c r="AT20" s="23" t="n">
        <x:v>627.1809801217835</x:v>
      </x:c>
      <x:c r="AU20" s="23" t="n">
        <x:v>495.8960568039513</x:v>
      </x:c>
      <x:c r="AV20" s="23" t="n">
        <x:v>573.7298092997344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37.44738983689497</x:v>
      </x:c>
      <x:c r="BO20" s="23" t="n">
        <x:v>856.3812247726216</x:v>
      </x:c>
      <x:c r="BP20" s="23" t="n">
        <x:v>830.8149075284374</x:v>
      </x:c>
      <x:c r="BQ20" s="23" t="n">
        <x:v>804.9004132262936</x:v>
      </x:c>
      <x:c r="BR20" s="23" t="n">
        <x:v>800.1252488254211</x:v>
      </x:c>
      <x:c r="BS20" s="23" t="n">
        <x:v>788.4861441099854</x:v>
      </x:c>
      <x:c r="BT20" s="23" t="n">
        <x:v>761.8836981332526</x:v>
      </x:c>
      <x:c r="BU20" s="23" t="n">
        <x:v>688.6328926490967</x:v>
      </x:c>
      <x:c r="BV20" s="23" t="n">
        <x:v>676.1393767696522</x:v>
      </x:c>
      <x:c r="BW20" s="23" t="n">
        <x:v>704.2854409505248</x:v>
      </x:c>
      <x:c r="BX20" s="23" t="n">
        <x:v>711.7999093651617</x:v>
      </x:c>
      <x:c r="BY20" s="23" t="n">
        <x:v>708.5950166263899</x:v>
      </x:c>
      <x:c r="BZ20" s="23" t="n">
        <x:v>731.1151383608883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271.00964362580027</x:v>
      </x:c>
      <x:c r="CN20" s="23" t="n">
        <x:v>1087.484862261811</x:v>
      </x:c>
      <x:c r="CO20" s="23" t="n">
        <x:v>1209.6995091380763</x:v>
      </x:c>
      <x:c r="CP20" s="23" t="n">
        <x:v>413.0173051041041</x:v>
      </x:c>
      <x:c r="CQ20" s="23" t="n">
        <x:v>474.87689538112454</x:v>
      </x:c>
      <x:c r="CR20" s="23" t="n">
        <x:v>521.7106505453477</x:v>
      </x:c>
      <x:c r="CS20" s="23" t="n">
        <x:v>584.0281806329251</x:v>
      </x:c>
      <x:c r="CT20" s="23" t="n">
        <x:v>637.2043961624399</x:v>
      </x:c>
      <x:c r="CU20" s="23" t="n">
        <x:v>692.2065807241934</x:v>
      </x:c>
      <x:c r="CV20" s="23" t="n">
        <x:v>763.0992338095758</x:v>
      </x:c>
      <x:c r="CW20" s="23" t="n">
        <x:v>801.300775596054</x:v>
      </x:c>
      <x:c r="CX20" s="23" t="n">
        <x:v>857.7260852171066</x:v>
      </x:c>
      <x:c r="CY20" s="23" t="n">
        <x:v>907.495017337998</x:v>
      </x:c>
      <x:c r="CZ20" s="23" t="n">
        <x:v>923.4320547561847</x:v>
      </x:c>
      <x:c r="DA20" s="23" t="n">
        <x:v>952.8283235969923</x:v>
      </x:c>
      <x:c r="DB20" s="23" t="n">
        <x:v>1008.542236328125</x:v>
      </x:c>
      <x:c r="DC20" s="23" t="n">
        <x:v>1045.9207356770833</x:v>
      </x:c>
      <x:c r="DD20" s="23" t="n">
        <x:v>918.818142006709</x:v>
      </x:c>
      <x:c r="DE20" s="23" t="n">
        <x:v>714.7662760416666</x:v>
      </x:c>
      <x:c r="DF20" s="23" t="n">
        <x:v>0</x:v>
      </x:c>
      <x:c r="DG20" s="23" t="n">
        <x:v>118.45858174479106</x:v>
      </x:c>
      <x:c r="DH20" s="23" t="n">
        <x:v>716.4222005208333</x:v>
      </x:c>
      <x:c r="DI20" s="23" t="n">
        <x:v>732.4327799479166</x:v>
      </x:c>
      <x:c r="DJ20" s="23" t="n">
        <x:v>735.4120279947916</x:v>
      </x:c>
      <x:c r="DK20" s="23" t="n">
        <x:v>713.9527180989583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728.2215983072916</x:v>
      </x:c>
      <x:c r="DW20" s="23" t="n">
        <x:v>729.2906901041666</x:v>
      </x:c>
      <x:c r="DX20" s="23" t="n">
        <x:v>731.9925944010416</x:v>
      </x:c>
      <x:c r="DY20" s="23" t="n">
        <x:v>739.6395670572916</x:v>
      </x:c>
      <x:c r="DZ20" s="23" t="n">
        <x:v>746.890380859375</x:v>
      </x:c>
      <x:c r="EA20" s="23" t="n">
        <x:v>751.6636456770835</x:v>
      </x:c>
      <x:c r="EB20" s="23" t="n">
        <x:v>652.110804221322</x:v>
      </x:c>
      <x:c r="EC20" s="23" t="n">
        <x:v>577.1661376953125</x:v>
      </x:c>
      <x:c r="ED20" s="23" t="n">
        <x:v>1407.3905029296875</x:v>
      </x:c>
      <x:c r="EE20" s="23" t="n">
        <x:v>588.8895263671875</x:v>
      </x:c>
      <x:c r="EF20" s="23" t="n">
        <x:v>584.5247802734375</x:v>
      </x:c>
      <x:c r="EG20" s="23" t="n">
        <x:v>1411.1642252604165</x:v>
      </x:c>
      <x:c r="EH20" s="23" t="n">
        <x:v>1419.579386393229</x:v>
      </x:c>
      <x:c r="EI20" s="23" t="n">
        <x:v>880.866649385931</x:v>
      </x:c>
      <x:c r="EJ20" s="23" t="n">
        <x:v>568.9101969401041</x:v>
      </x:c>
      <x:c r="EK20" s="23" t="n">
        <x:v>568.0638834635416</x:v>
      </x:c>
      <x:c r="EL20" s="23" t="n">
        <x:v>1413.7154541015625</x:v>
      </x:c>
      <x:c r="EM20" s="23" t="n">
        <x:v>1416.8677978515625</x:v>
      </x:c>
      <x:c r="EN20" s="23" t="n">
        <x:v>1404.8431396484375</x:v>
      </x:c>
      <x:c r="EO20" s="23" t="n">
        <x:v>576.5721842447916</x:v>
      </x:c>
      <x:c r="EP20" s="23" t="n">
        <x:f>SUM(B20:EO20)</x:f>
        <x:v>78619.83738492048</x:v>
      </x:c>
      <x:c r="EQ20" s="23" t="n">
        <x:f>SUMPRODUCT(B20:EO20,{0.395,0.4103,0.4147,0.3805,0.4089,0.4735,0.4454,0.4225,0.4377,0.4307,0.458,0.5023,0.4817,0.4704,0.4791,0.4505,0.4634,0.4896,0.4234,0.41,0.4729,0.4802,0.4218,0.3789,0.4374,0.4764,0.4846,0.5558,0.5632,0.4835,0.4332,0.4417,0.4348,0.3736,0.6475,1.0703,1.04,1.0008,1.0848,0.9863,0.9584,1.0272,0.9529,0.9135,0.9083,0.7932,0.9715,1.3304,1.3148,1.2118,1.2254,1.2657,1.2714,1.2456,1.227,1.1831,1.1366,1.1442,1.1073,1.0261,1.001,0.9849,0.9853,1.0306,0.8753,0.5941,0.5313,0.5556,0.563,0.5787,0.5515,0.4971,0.4904,0.4944,0.4688,0.4455,0.6279,0.9175,0.9886,0.9796,0.9973,1.0021,0.9785,0.9734,1.0425,1.0646,1.0472,1.0918,0.9968,0.8058,0.7837,0.7997,0.8047,0.8801,0.899,0.8751,0.9443,0.9621,0.9289,0.9947,1.0442,1.0207,0.998,1.0572,1.1289,1.0819,1.1261,1.2595,1.2616,1.2318,1.2439,1.2612,1.2409,1.233,1.3157,1.3209,1.2452,1.2515,1.2657,1.2518,1.2586,1.2768,1.2925,1.2849,1.1686,0.9931,0.9153,0.9197,0.9724,1.0143,0.7984,0.4517,0.3796,0.4272,0.4361,0.4035,0.3811,0.4004,0.4449,0.4382,0.4005,0.4237,0.4434,0.4382})</x:f>
        <x:v>52047.766373623585</x:v>
      </x:c>
    </x:row>
    <x:row r="21" ht="14" customHeight="1">
      <x:c r="A21" s="3">
        <x:v>45708</x:v>
      </x:c>
      <x:c r="B21" s="23" t="n">
        <x:v>575.9023844401041</x:v>
      </x:c>
      <x:c r="C21" s="23" t="n">
        <x:v>1428.386759440104</x:v>
      </x:c>
      <x:c r="D21" s="23" t="n">
        <x:v>1415.73291015625</x:v>
      </x:c>
      <x:c r="E21" s="23" t="n">
        <x:v>589.4367268880208</x:v>
      </x:c>
      <x:c r="F21" s="23" t="n">
        <x:v>600.5642496744791</x:v>
      </x:c>
      <x:c r="G21" s="23" t="n">
        <x:v>1441.6075846354165</x:v>
      </x:c>
      <x:c r="H21" s="23" t="n">
        <x:v>1434.049845377604</x:v>
      </x:c>
      <x:c r="I21" s="23" t="n">
        <x:v>1419.1087646484375</x:v>
      </x:c>
      <x:c r="J21" s="23" t="n">
        <x:v>1419.5411376953125</x:v>
      </x:c>
      <x:c r="K21" s="23" t="n">
        <x:v>622.8930257161458</x:v>
      </x:c>
      <x:c r="L21" s="23" t="n">
        <x:v>632.5059000651041</x:v>
      </x:c>
      <x:c r="M21" s="23" t="n">
        <x:v>602.635498046875</x:v>
      </x:c>
      <x:c r="N21" s="23" t="n">
        <x:v>612.6711018880208</x:v>
      </x:c>
      <x:c r="O21" s="23" t="n">
        <x:v>633.40576171875</x:v>
      </x:c>
      <x:c r="P21" s="23" t="n">
        <x:v>622.07470703125</x:v>
      </x:c>
      <x:c r="Q21" s="23" t="n">
        <x:v>622.9476725260416</x:v>
      </x:c>
      <x:c r="R21" s="23" t="n">
        <x:v>637.0247802734375</x:v>
      </x:c>
      <x:c r="S21" s="23" t="n">
        <x:v>642.1573079427083</x:v>
      </x:c>
      <x:c r="T21" s="23" t="n">
        <x:v>641.9561360677083</x:v>
      </x:c>
      <x:c r="U21" s="23" t="n">
        <x:v>634.0621337890625</x:v>
      </x:c>
      <x:c r="V21" s="23" t="n">
        <x:v>644.9093424479166</x:v>
      </x:c>
      <x:c r="W21" s="23" t="n">
        <x:v>639.102783203125</x:v>
      </x:c>
      <x:c r="X21" s="23" t="n">
        <x:v>663.1316731770833</x:v>
      </x:c>
      <x:c r="Y21" s="23" t="n">
        <x:v>682.29296875</x:v>
      </x:c>
      <x:c r="Z21" s="23" t="n">
        <x:v>638.6639404296875</x:v>
      </x:c>
      <x:c r="AA21" s="23" t="n">
        <x:v>973.2428498328187</x:v>
      </x:c>
      <x:c r="AB21" s="23" t="n">
        <x:v>647.3416341145833</x:v>
      </x:c>
      <x:c r="AC21" s="23" t="n">
        <x:v>669.29638671875</x:v>
      </x:c>
      <x:c r="AD21" s="23" t="n">
        <x:v>662.1697591145833</x:v>
      </x:c>
      <x:c r="AE21" s="23" t="n">
        <x:v>650.8841145833333</x:v>
      </x:c>
      <x:c r="AF21" s="23" t="n">
        <x:v>650.9957682291666</x:v>
      </x:c>
      <x:c r="AG21" s="23" t="n">
        <x:v>674.0364583333333</x:v>
      </x:c>
      <x:c r="AH21" s="23" t="n">
        <x:v>675.3444010416666</x:v>
      </x:c>
      <x:c r="AI21" s="23" t="n">
        <x:v>647.4708251953125</x:v>
      </x:c>
      <x:c r="AJ21" s="23" t="n">
        <x:v>713.3829752604166</x:v>
      </x:c>
      <x:c r="AK21" s="23" t="n">
        <x:v>846.3591274802153</x:v>
      </x:c>
      <x:c r="AL21" s="23" t="n">
        <x:v>76.43636333046697</x:v>
      </x:c>
      <x:c r="AM21" s="23" t="n">
        <x:v>904.55029296875</x:v>
      </x:c>
      <x:c r="AN21" s="23" t="n">
        <x:v>93.808640531523</x:v>
      </x:c>
      <x:c r="AO21" s="23" t="n">
        <x:v>41.241073564204115</x:v>
      </x:c>
      <x:c r="AP21" s="23" t="n">
        <x:v>830.182107582631</x:v>
      </x:c>
      <x:c r="AQ21" s="23" t="n">
        <x:v>789.8378623807213</x:v>
      </x:c>
      <x:c r="AR21" s="23" t="n">
        <x:v>0</x:v>
      </x:c>
      <x:c r="AS21" s="23" t="n">
        <x:v>686.8519425885659</x:v>
      </x:c>
      <x:c r="AT21" s="23" t="n">
        <x:v>628.7419976894073</x:v>
      </x:c>
      <x:c r="AU21" s="23" t="n">
        <x:v>1298.0478290898484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151.6370641520824</x:v>
      </x:c>
      <x:c r="BJ21" s="23" t="n">
        <x:v>0</x:v>
      </x:c>
      <x:c r="BK21" s="23" t="n">
        <x:v>69.10553233815213</x:v>
      </x:c>
      <x:c r="BL21" s="23" t="n">
        <x:v>0</x:v>
      </x:c>
      <x:c r="BM21" s="23" t="n">
        <x:v>0</x:v>
      </x:c>
      <x:c r="BN21" s="23" t="n">
        <x:v>0</x:v>
      </x:c>
      <x:c r="BO21" s="23" t="n">
        <x:v>772.184183409971</x:v>
      </x:c>
      <x:c r="BP21" s="23" t="n">
        <x:v>768.1863935526624</x:v>
      </x:c>
      <x:c r="BQ21" s="23" t="n">
        <x:v>756.8687198022927</x:v>
      </x:c>
      <x:c r="BR21" s="23" t="n">
        <x:v>741.7787148174734</x:v>
      </x:c>
      <x:c r="BS21" s="23" t="n">
        <x:v>712.6956553705193</x:v>
      </x:c>
      <x:c r="BT21" s="23" t="n">
        <x:v>696.5053218152258</x:v>
      </x:c>
      <x:c r="BU21" s="23" t="n">
        <x:v>667.7751527191201</x:v>
      </x:c>
      <x:c r="BV21" s="23" t="n">
        <x:v>681.2926090340231</x:v>
      </x:c>
      <x:c r="BW21" s="23" t="n">
        <x:v>701.9404863487686</x:v>
      </x:c>
      <x:c r="BX21" s="23" t="n">
        <x:v>695.3789839255744</x:v>
      </x:c>
      <x:c r="BY21" s="23" t="n">
        <x:v>668.3597267136953</x:v>
      </x:c>
      <x:c r="BZ21" s="23" t="n">
        <x:v>696.5298419142392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1132.0183536651327</x:v>
      </x:c>
      <x:c r="CN21" s="23" t="n">
        <x:v>344.8188220494577</x:v>
      </x:c>
      <x:c r="CO21" s="23" t="n">
        <x:v>373.60490972416375</x:v>
      </x:c>
      <x:c r="CP21" s="23" t="n">
        <x:v>934.3502148273947</x:v>
      </x:c>
      <x:c r="CQ21" s="23" t="n">
        <x:v>466.52385916462964</x:v>
      </x:c>
      <x:c r="CR21" s="23" t="n">
        <x:v>521.7206283358282</x:v>
      </x:c>
      <x:c r="CS21" s="23" t="n">
        <x:v>579.1767066050506</x:v>
      </x:c>
      <x:c r="CT21" s="23" t="n">
        <x:v>648.4068621152046</x:v>
      </x:c>
      <x:c r="CU21" s="23" t="n">
        <x:v>689.8901896325083</x:v>
      </x:c>
      <x:c r="CV21" s="23" t="n">
        <x:v>738.8481441514583</x:v>
      </x:c>
      <x:c r="CW21" s="23" t="n">
        <x:v>781.5819167818054</x:v>
      </x:c>
      <x:c r="CX21" s="23" t="n">
        <x:v>836.7595437336159</x:v>
      </x:c>
      <x:c r="CY21" s="23" t="n">
        <x:v>889.5139496997209</x:v>
      </x:c>
      <x:c r="CZ21" s="23" t="n">
        <x:v>934.5791681823025</x:v>
      </x:c>
      <x:c r="DA21" s="23" t="n">
        <x:v>953.0941520444254</x:v>
      </x:c>
      <x:c r="DB21" s="23" t="n">
        <x:v>1008.469193458966</x:v>
      </x:c>
      <x:c r="DC21" s="23" t="n">
        <x:v>1036.8267415364583</x:v>
      </x:c>
      <x:c r="DD21" s="23" t="n">
        <x:v>920.6284309724708</x:v>
      </x:c>
      <x:c r="DE21" s="23" t="n">
        <x:v>709.0157063802083</x:v>
      </x:c>
      <x:c r="DF21" s="23" t="n">
        <x:v>0</x:v>
      </x:c>
      <x:c r="DG21" s="23" t="n">
        <x:v>720.6826985677083</x:v>
      </x:c>
      <x:c r="DH21" s="23" t="n">
        <x:v>716.1551920572916</x:v>
      </x:c>
      <x:c r="DI21" s="23" t="n">
        <x:v>44.714412786457764</x:v>
      </x:c>
      <x:c r="DJ21" s="23" t="n">
        <x:v>725.5853678385416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703.3661295572916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727.0045572916666</x:v>
      </x:c>
      <x:c r="DW21" s="23" t="n">
        <x:v>727.5297957175927</x:v>
      </x:c>
      <x:c r="DX21" s="23" t="n">
        <x:v>741.5774739583333</x:v>
      </x:c>
      <x:c r="DY21" s="23" t="n">
        <x:v>737.0606282552083</x:v>
      </x:c>
      <x:c r="DZ21" s="23" t="n">
        <x:v>726.8287760416666</x:v>
      </x:c>
      <x:c r="EA21" s="23" t="n">
        <x:v>750.5790201822916</x:v>
      </x:c>
      <x:c r="EB21" s="23" t="n">
        <x:v>687.1107584635416</x:v>
      </x:c>
      <x:c r="EC21" s="23" t="n">
        <x:v>862.8427614374356</x:v>
      </x:c>
      <x:c r="ED21" s="23" t="n">
        <x:v>1391.3677978515625</x:v>
      </x:c>
      <x:c r="EE21" s="23" t="n">
        <x:v>566.4659016927083</x:v>
      </x:c>
      <x:c r="EF21" s="23" t="n">
        <x:v>1415.274698893229</x:v>
      </x:c>
      <x:c r="EG21" s="23" t="n">
        <x:v>579.9683024088541</x:v>
      </x:c>
      <x:c r="EH21" s="23" t="n">
        <x:v>576.2294921875</x:v>
      </x:c>
      <x:c r="EI21" s="23" t="n">
        <x:v>1404.407023111979</x:v>
      </x:c>
      <x:c r="EJ21" s="23" t="n">
        <x:v>1408.044962565104</x:v>
      </x:c>
      <x:c r="EK21" s="23" t="n">
        <x:v>566.41943359375</x:v>
      </x:c>
      <x:c r="EL21" s="23" t="n">
        <x:v>571.1234537760416</x:v>
      </x:c>
      <x:c r="EM21" s="23" t="n">
        <x:v>580.2610270182291</x:v>
      </x:c>
      <x:c r="EN21" s="23" t="n">
        <x:v>1396.498819986979</x:v>
      </x:c>
      <x:c r="EO21" s="23" t="n">
        <x:v>1268.0775960286458</x:v>
      </x:c>
      <x:c r="EP21" s="23" t="n">
        <x:f>SUM(B21:EO21)</x:f>
        <x:v>77532.22946590319</x:v>
      </x:c>
      <x:c r="EQ21" s="23" t="n">
        <x:f>SUMPRODUCT(B21:EO21,{0.4508,0.4531,0.4441,0.4527,0.4466,0.4253,0.4245,0.4321,0.4276,0.406,0.4056,0.4362,0.4676,0.469,0.4408,0.4204,0.4637,0.5159,0.4647,0.4198,0.4294,0.4429,0.4832,0.525,0.5053,0.4783,0.4844,0.5096,0.5016,0.46,0.4443,0.505,0.538,0.4332,0.6309,1.0471,1.1221,1.0389,1.0009,1.0152,0.9998,0.9589,0.9682,0.9636,0.886,0.7892,0.9872,1.3347,1.3465,1.2657,1.2651,1.2636,1.1991,1.1176,1.1171,1.1079,1.0676,1.0643,1.0644,1.0456,1.0236,1.0158,1.0377,1.0611,0.9035,0.649,0.5879,0.6198,0.6298,0.6085,0.6201,0.6333,0.5584,0.5143,0.5298,0.545,0.7038,0.931,0.9727,0.9412,0.9327,0.9327,0.93,0.928,0.9344,0.9303,0.9701,1.0916,0.968,0.7018,0.7375,0.8166,0.8015,0.8152,0.8136,0.8155,0.9,0.9592,0.9687,1.0091,1.0565,1.0938,1.1302,1.1449,1.116,1.0643,1.1435,1.2794,1.2463,1.2457,1.3176,1.2917,1.2356,1.2313,1.2854,1.3026,1.2723,1.2668,1.2556,1.2568,1.3177,1.307,1.2672,1.3393,1.2038,0.9314,0.9352,0.9813,0.9662,0.9852,0.7597,0.3972,0.336,0.4108,0.4431,0.4205,0.4194,0.4418,0.4211,0.3971,0.3864,0.3623,0.3296,0.3079})</x:f>
        <x:v>51691.604389701206</x:v>
      </x:c>
    </x:row>
    <x:row r="22" ht="14" customHeight="1">
      <x:c r="A22" s="3">
        <x:v>45709</x:v>
      </x:c>
      <x:c r="B22" s="23" t="n">
        <x:v>402.2652587890625</x:v>
      </x:c>
      <x:c r="C22" s="23" t="n">
        <x:v>411.49540201822913</x:v>
      </x:c>
      <x:c r="D22" s="23" t="n">
        <x:v>1259.3150227864583</x:v>
      </x:c>
      <x:c r="E22" s="23" t="n">
        <x:v>425.1369222005208</x:v>
      </x:c>
      <x:c r="F22" s="23" t="n">
        <x:v>426.347900390625</x:v>
      </x:c>
      <x:c r="G22" s="23" t="n">
        <x:v>436.46293131510413</x:v>
      </x:c>
      <x:c r="H22" s="23" t="n">
        <x:v>1268.9380696614583</x:v>
      </x:c>
      <x:c r="I22" s="23" t="n">
        <x:v>1262.5498046875</x:v>
      </x:c>
      <x:c r="J22" s="23" t="n">
        <x:v>427.4967041015625</x:v>
      </x:c>
      <x:c r="K22" s="23" t="n">
        <x:v>444.75968424479163</x:v>
      </x:c>
      <x:c r="L22" s="23" t="n">
        <x:v>435.779296875</x:v>
      </x:c>
      <x:c r="M22" s="23" t="n">
        <x:v>444.3843587239583</x:v>
      </x:c>
      <x:c r="N22" s="23" t="n">
        <x:v>1283.6720784505208</x:v>
      </x:c>
      <x:c r="O22" s="23" t="n">
        <x:v>462.69278971354163</x:v>
      </x:c>
      <x:c r="P22" s="23" t="n">
        <x:v>481.6013997395833</x:v>
      </x:c>
      <x:c r="Q22" s="23" t="n">
        <x:v>485.3662109375</x:v>
      </x:c>
      <x:c r="R22" s="23" t="n">
        <x:v>490.7736409505208</x:v>
      </x:c>
      <x:c r="S22" s="23" t="n">
        <x:v>484.6407470703125</x:v>
      </x:c>
      <x:c r="T22" s="23" t="n">
        <x:v>510.6893310546875</x:v>
      </x:c>
      <x:c r="U22" s="23" t="n">
        <x:v>500.91666666666663</x:v>
      </x:c>
      <x:c r="V22" s="23" t="n">
        <x:v>0</x:v>
      </x:c>
      <x:c r="W22" s="23" t="n">
        <x:v>548.1275634765625</x:v>
      </x:c>
      <x:c r="X22" s="23" t="n">
        <x:v>484.89208984375</x:v>
      </x:c>
      <x:c r="Y22" s="23" t="n">
        <x:v>471.52921549479163</x:v>
      </x:c>
      <x:c r="Z22" s="23" t="n">
        <x:v>517.5474446614583</x:v>
      </x:c>
      <x:c r="AA22" s="23" t="n">
        <x:v>520.280029296875</x:v>
      </x:c>
      <x:c r="AB22" s="23" t="n">
        <x:v>15.00704194601144</x:v>
      </x:c>
      <x:c r="AC22" s="23" t="n">
        <x:v>524.06201171875</x:v>
      </x:c>
      <x:c r="AD22" s="23" t="n">
        <x:v>551.0360107421875</x:v>
      </x:c>
      <x:c r="AE22" s="23" t="n">
        <x:v>516.2236328125</x:v>
      </x:c>
      <x:c r="AF22" s="23" t="n">
        <x:v>496.7246907552083</x:v>
      </x:c>
      <x:c r="AG22" s="23" t="n">
        <x:v>493.69291178385413</x:v>
      </x:c>
      <x:c r="AH22" s="23" t="n">
        <x:v>505.8424886067708</x:v>
      </x:c>
      <x:c r="AI22" s="23" t="n">
        <x:v>533.3707682291666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51.31277120733223</x:v>
      </x:c>
      <x:c r="CS22" s="23" t="n">
        <x:v>97.48542859338636</x:v>
      </x:c>
      <x:c r="CT22" s="23" t="n">
        <x:v>156.5119013482316</x:v>
      </x:c>
      <x:c r="CU22" s="23" t="n">
        <x:v>218.7884617441438</x:v>
      </x:c>
      <x:c r="CV22" s="23" t="n">
        <x:v>277.5974935431459</x:v>
      </x:c>
      <x:c r="CW22" s="23" t="n">
        <x:v>340.17688608326966</x:v>
      </x:c>
      <x:c r="CX22" s="23" t="n">
        <x:v>349.6582005454743</x:v>
      </x:c>
      <x:c r="CY22" s="23" t="n">
        <x:v>328.772396505288</x:v>
      </x:c>
      <x:c r="CZ22" s="23" t="n">
        <x:v>381.8938615839123</x:v>
      </x:c>
      <x:c r="DA22" s="23" t="n">
        <x:v>425.93608065003536</x:v>
      </x:c>
      <x:c r="DB22" s="23" t="n">
        <x:v>448.41434924090174</x:v>
      </x:c>
      <x:c r="DC22" s="23" t="n">
        <x:v>456.3682861328125</x:v>
      </x:c>
      <x:c r="DD22" s="23" t="n">
        <x:v>137.6179905517031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464.06254069010413</x:v>
      </x:c>
      <x:c r="DX22" s="23" t="n">
        <x:v>464.41617838541663</x:v>
      </x:c>
      <x:c r="DY22" s="23" t="n">
        <x:v>465.17130533854163</x:v>
      </x:c>
      <x:c r="DZ22" s="23" t="n">
        <x:v>466.05924479166663</x:v>
      </x:c>
      <x:c r="EA22" s="23" t="n">
        <x:v>477.70719403645853</x:v>
      </x:c>
      <x:c r="EB22" s="23" t="n">
        <x:v>471.70390785884956</x:v>
      </x:c>
      <x:c r="EC22" s="23" t="n">
        <x:v>1250.2757161458333</x:v>
      </x:c>
      <x:c r="ED22" s="23" t="n">
        <x:v>1255.4528401692708</x:v>
      </x:c>
      <x:c r="EE22" s="23" t="n">
        <x:v>719.1047900457606</x:v>
      </x:c>
      <x:c r="EF22" s="23" t="n">
        <x:v>414.6480712890625</x:v>
      </x:c>
      <x:c r="EG22" s="23" t="n">
        <x:v>408.7449544270833</x:v>
      </x:c>
      <x:c r="EH22" s="23" t="n">
        <x:v>401.2711181640625</x:v>
      </x:c>
      <x:c r="EI22" s="23" t="n">
        <x:v>410.2146809895833</x:v>
      </x:c>
      <x:c r="EJ22" s="23" t="n">
        <x:v>412.2197265625</x:v>
      </x:c>
      <x:c r="EK22" s="23" t="n">
        <x:v>1257.358642578125</x:v>
      </x:c>
      <x:c r="EL22" s="23" t="n">
        <x:v>425.9420166015625</x:v>
      </x:c>
      <x:c r="EM22" s="23" t="n">
        <x:v>1255.0463053385415</x:v>
      </x:c>
      <x:c r="EN22" s="23" t="n">
        <x:v>1239.8660481770833</x:v>
      </x:c>
      <x:c r="EO22" s="23" t="n">
        <x:v>1236.6317138671875</x:v>
      </x:c>
      <x:c r="EP22" s="23" t="n">
        <x:f>SUM(B22:EO22)</x:f>
        <x:v>35690.05122293182</x:v>
      </x:c>
      <x:c r="EQ22" s="23" t="n">
        <x:f>SUMPRODUCT(B22:EO22,{0.3168,0.3494,0.3802,0.3813,0.3624,0.345,0.3476,0.367,0.379,0.3607,0.3587,0.3738,0.3579,0.321,0.3098,0.3572,0.3617,0.3135,0.3055,0.3402,0.3745,0.3692,0.3782,0.3894,0.3425,0.3373,0.3776,0.3731,0.3976,0.4359,0.3949,0.3931,0.4264,0.402,0.5584,0.8108,0.8099,0.7714,0.8047,0.8034,0.8017,0.8076,0.7841,0.7674,0.7404,0.6761,0.7855,0.9773,0.9382,0.903,0.9333,0.8588,0.831,0.8826,0.8842,0.8629,0.8453,0.8191,0.7837,0.7626,0.7725,0.727,0.6932,0.7952,0.6866,0.3941,0.3064,0.2955,0.2879,0.3455,0.3264,0.2484,0.2722,0.2845,0.2488,0.2695,0.4159,0.6006,0.6556,0.6737,0.6909,0.6596,0.6851,0.7496,0.7279,0.7086,0.7542,0.8095,0.6891,0.4898,0.498,0.5122,0.4618,0.4921,0.5831,0.6551,0.6464,0.6305,0.66,0.7211,0.7554,0.7255,0.6566,0.6874,0.7627,0.7207,0.843,1.0827,1.0953,1.0983,1.1449,1.066,1.0298,1.0765,1.0799,1.1073,1.1504,1.1187,1.093,1.0945,1.0675,1.06,1.1027,1.1464,1.0158,0.7981,0.7672,0.7748,0.7556,0.7655,0.5967,0.3187,0.2473,0.3035,0.3687,0.398,0.3911,0.3748,0.3755,0.3489,0.3173,0.3468,0.3506,0.3144})</x:f>
        <x:v>14962.396151385647</x:v>
      </x:c>
    </x:row>
    <x:row r="23" ht="14" customHeight="1">
      <x:c r="A23" s="3">
        <x:v>45710</x:v>
      </x:c>
      <x:c r="B23" s="23" t="n">
        <x:v>416.376953125</x:v>
      </x:c>
      <x:c r="C23" s="23" t="n">
        <x:v>1251.9601643880208</x:v>
      </x:c>
      <x:c r="D23" s="23" t="n">
        <x:v>612.7804177598953</x:v>
      </x:c>
      <x:c r="E23" s="23" t="n">
        <x:v>422.6736653645833</x:v>
      </x:c>
      <x:c r="F23" s="23" t="n">
        <x:v>450.50821940104163</x:v>
      </x:c>
      <x:c r="G23" s="23" t="n">
        <x:v>458.5003255208333</x:v>
      </x:c>
      <x:c r="H23" s="23" t="n">
        <x:v>444.8351643880208</x:v>
      </x:c>
      <x:c r="I23" s="23" t="n">
        <x:v>438.64274088541663</x:v>
      </x:c>
      <x:c r="J23" s="23" t="n">
        <x:v>437.4767659505208</x:v>
      </x:c>
      <x:c r="K23" s="23" t="n">
        <x:v>1281.169189453125</x:v>
      </x:c>
      <x:c r="L23" s="23" t="n">
        <x:v>462.044677734375</x:v>
      </x:c>
      <x:c r="M23" s="23" t="n">
        <x:v>470.7597249348958</x:v>
      </x:c>
      <x:c r="N23" s="23" t="n">
        <x:v>478.1995849609375</x:v>
      </x:c>
      <x:c r="O23" s="23" t="n">
        <x:v>480.01151529947913</x:v>
      </x:c>
      <x:c r="P23" s="23" t="n">
        <x:v>486.490478515625</x:v>
      </x:c>
      <x:c r="Q23" s="23" t="n">
        <x:v>486.07401529947913</x:v>
      </x:c>
      <x:c r="R23" s="23" t="n">
        <x:v>486.3940022786458</x:v>
      </x:c>
      <x:c r="S23" s="23" t="n">
        <x:v>490.1078694661458</x:v>
      </x:c>
      <x:c r="T23" s="23" t="n">
        <x:v>492.3974202473958</x:v>
      </x:c>
      <x:c r="U23" s="23" t="n">
        <x:v>486.4306233723958</x:v>
      </x:c>
      <x:c r="V23" s="23" t="n">
        <x:v>486.6868489583333</x:v>
      </x:c>
      <x:c r="W23" s="23" t="n">
        <x:v>489.9285888671875</x:v>
      </x:c>
      <x:c r="X23" s="23" t="n">
        <x:v>1324.1391194661458</x:v>
      </x:c>
      <x:c r="Y23" s="23" t="n">
        <x:v>492.1513264973958</x:v>
      </x:c>
      <x:c r="Z23" s="23" t="n">
        <x:v>491.2559814453125</x:v>
      </x:c>
      <x:c r="AA23" s="23" t="n">
        <x:v>506.47135416666663</x:v>
      </x:c>
      <x:c r="AB23" s="23" t="n">
        <x:v>0</x:v>
      </x:c>
      <x:c r="AC23" s="23" t="n">
        <x:v>507.4739990234375</x:v>
      </x:c>
      <x:c r="AD23" s="23" t="n">
        <x:v>499.7480061848958</x:v>
      </x:c>
      <x:c r="AE23" s="23" t="n">
        <x:v>503.08251953125</x:v>
      </x:c>
      <x:c r="AF23" s="23" t="n">
        <x:v>497.75439453125</x:v>
      </x:c>
      <x:c r="AG23" s="23" t="n">
        <x:v>515.270263671875</x:v>
      </x:c>
      <x:c r="AH23" s="23" t="n">
        <x:v>532.7213134765625</x:v>
      </x:c>
      <x:c r="AI23" s="23" t="n">
        <x:v>515.2331949869791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32.46043009675782</x:v>
      </x:c>
      <x:c r="CS23" s="23" t="n">
        <x:v>91.8718452775976</x:v>
      </x:c>
      <x:c r="CT23" s="23" t="n">
        <x:v>160.1665207860686</x:v>
      </x:c>
      <x:c r="CU23" s="23" t="n">
        <x:v>202.53860649426616</x:v>
      </x:c>
      <x:c r="CV23" s="23" t="n">
        <x:v>255.05997787066067</x:v>
      </x:c>
      <x:c r="CW23" s="23" t="n">
        <x:v>325.0413211958885</x:v>
      </x:c>
      <x:c r="CX23" s="23" t="n">
        <x:v>354.4550672417025</x:v>
      </x:c>
      <x:c r="CY23" s="23" t="n">
        <x:v>328.7669251684172</x:v>
      </x:c>
      <x:c r="CZ23" s="23" t="n">
        <x:v>370.21979327809515</x:v>
      </x:c>
      <x:c r="DA23" s="23" t="n">
        <x:v>413.353216094764</x:v>
      </x:c>
      <x:c r="DB23" s="23" t="n">
        <x:v>446.13213070537415</x:v>
      </x:c>
      <x:c r="DC23" s="23" t="n">
        <x:v>460.4370930989583</x:v>
      </x:c>
      <x:c r="DD23" s="23" t="n">
        <x:v>451.24717970990133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462.9616292317708</x:v>
      </x:c>
      <x:c r="DX23" s="23" t="n">
        <x:v>466.16581217447913</x:v>
      </x:c>
      <x:c r="DY23" s="23" t="n">
        <x:v>469.1187337239583</x:v>
      </x:c>
      <x:c r="DZ23" s="23" t="n">
        <x:v>469.04581705729163</x:v>
      </x:c>
      <x:c r="EA23" s="23" t="n">
        <x:v>321.8074797395826</x:v>
      </x:c>
      <x:c r="EB23" s="23" t="n">
        <x:v>440.1328263281249</x:v>
      </x:c>
      <x:c r="EC23" s="23" t="n">
        <x:v>1251.3206380208333</x:v>
      </x:c>
      <x:c r="ED23" s="23" t="n">
        <x:v>1241.6324869791665</x:v>
      </x:c>
      <x:c r="EE23" s="23" t="n">
        <x:v>415.33085123697913</x:v>
      </x:c>
      <x:c r="EF23" s="23" t="n">
        <x:v>420.4153645833333</x:v>
      </x:c>
      <x:c r="EG23" s="23" t="n">
        <x:v>1254.417521158854</x:v>
      </x:c>
      <x:c r="EH23" s="23" t="n">
        <x:v>552.3990050556197</x:v>
      </x:c>
      <x:c r="EI23" s="23" t="n">
        <x:v>418.1546630859375</x:v>
      </x:c>
      <x:c r="EJ23" s="23" t="n">
        <x:v>1247.6956380208333</x:v>
      </x:c>
      <x:c r="EK23" s="23" t="n">
        <x:v>1241.3004150390625</x:v>
      </x:c>
      <x:c r="EL23" s="23" t="n">
        <x:v>407.10986328125</x:v>
      </x:c>
      <x:c r="EM23" s="23" t="n">
        <x:v>1251.4307454427083</x:v>
      </x:c>
      <x:c r="EN23" s="23" t="n">
        <x:v>424.6269124348958</x:v>
      </x:c>
      <x:c r="EO23" s="23" t="n">
        <x:v>565.5655110677083</x:v>
      </x:c>
      <x:c r="EP23" s="23" t="n">
        <x:f>SUM(B23:EO23)</x:f>
        <x:v>35608.132449833975</x:v>
      </x:c>
      <x:c r="EQ23" s="23" t="n">
        <x:f>SUMPRODUCT(B23:EO23,{0.3121,0.3234,0.3279,0.3323,0.3513,0.3682,0.3497,0.3281,0.3328,0.3614,0.367,0.3485,0.3507,0.3739,0.3905,0.3742,0.3648,0.3709,0.3641,0.3592,0.3735,0.4043,0.4064,0.3859,0.3864,0.3596,0.306,0.292,0.352,0.4182,0.388,0.3852,0.3991,0.3348,0.5067,0.8354,0.8935,0.8467,0.818,0.7642,0.7606,0.8047,0.8063,0.7646,0.7012,0.6621,0.7827,0.9836,1.0246,0.9678,0.8946,0.8334,0.831,0.8635,0.8622,0.877,0.9068,0.8887,0.8379,0.7959,0.7893,0.763,0.7464,0.7914,0.6373,0.3387,0.2472,0.3249,0.3906,0.3047,0.2553,0.3115,0.3551,0.3256,0.2742,0.3229,0.4893,0.651,0.6506,0.6378,0.6984,0.7699,0.7721,0.7355,0.7591,0.7637,0.7577,0.8098,0.7133,0.5208,0.5087,0.5364,0.5243,0.5483,0.6265,0.6877,0.6475,0.6504,0.7053,0.684,0.6786,0.7244,0.7606,0.7963,0.8111,0.7886,0.9112,1.1232,1.1644,1.1094,1.0677,1.0782,1.1059,1.1231,1.1364,1.1844,1.2217,1.1619,1.1139,1.1297,1.1499,1.1066,1.0696,1.1419,1.0212,0.7486,0.6963,0.7816,0.8689,0.8705,0.6422,0.3456,0.3205,0.3452,0.3093,0.3185,0.3251,0.3267,0.3673,0.34,0.28,0.336,0.3946,0.4018})</x:f>
        <x:v>15252.389690425329</x:v>
      </x:c>
    </x:row>
    <x:row r="24" ht="14" customHeight="1">
      <x:c r="A24" s="3">
        <x:v>45711</x:v>
      </x:c>
      <x:c r="B24" s="23" t="n">
        <x:v>589.8739013671875</x:v>
      </x:c>
      <x:c r="C24" s="23" t="n">
        <x:v>1421.2101236979165</x:v>
      </x:c>
      <x:c r="D24" s="23" t="n">
        <x:v>584.362060546875</x:v>
      </x:c>
      <x:c r="E24" s="23" t="n">
        <x:v>590.4593505859375</x:v>
      </x:c>
      <x:c r="F24" s="23" t="n">
        <x:v>609.9158528645833</x:v>
      </x:c>
      <x:c r="G24" s="23" t="n">
        <x:v>1437.9326985677083</x:v>
      </x:c>
      <x:c r="H24" s="23" t="n">
        <x:v>1433.2177327473958</x:v>
      </x:c>
      <x:c r="I24" s="23" t="n">
        <x:v>1420.670450846354</x:v>
      </x:c>
      <x:c r="J24" s="23" t="n">
        <x:v>601.5016682942708</x:v>
      </x:c>
      <x:c r="K24" s="23" t="n">
        <x:v>1446.8197835286458</x:v>
      </x:c>
      <x:c r="L24" s="23" t="n">
        <x:v>1439.6669514973958</x:v>
      </x:c>
      <x:c r="M24" s="23" t="n">
        <x:v>584.6333821614583</x:v>
      </x:c>
      <x:c r="N24" s="23" t="n">
        <x:v>610.4435221354166</x:v>
      </x:c>
      <x:c r="O24" s="23" t="n">
        <x:v>626.1278076171875</x:v>
      </x:c>
      <x:c r="P24" s="23" t="n">
        <x:v>634.9788004557291</x:v>
      </x:c>
      <x:c r="Q24" s="23" t="n">
        <x:v>625.4713541666666</x:v>
      </x:c>
      <x:c r="R24" s="23" t="n">
        <x:v>634.4214680989583</x:v>
      </x:c>
      <x:c r="S24" s="23" t="n">
        <x:v>633.8193766276041</x:v>
      </x:c>
      <x:c r="T24" s="23" t="n">
        <x:v>622.8577880859375</x:v>
      </x:c>
      <x:c r="U24" s="23" t="n">
        <x:v>632.779052734375</x:v>
      </x:c>
      <x:c r="V24" s="23" t="n">
        <x:v>648.6719156901041</x:v>
      </x:c>
      <x:c r="W24" s="23" t="n">
        <x:v>643.2626546223958</x:v>
      </x:c>
      <x:c r="X24" s="23" t="n">
        <x:v>809.6219349826598</x:v>
      </x:c>
      <x:c r="Y24" s="23" t="n">
        <x:v>641.6209716796875</x:v>
      </x:c>
      <x:c r="Z24" s="23" t="n">
        <x:v>669.7797444661458</x:v>
      </x:c>
      <x:c r="AA24" s="23" t="n">
        <x:v>651.5015055338541</x:v>
      </x:c>
      <x:c r="AB24" s="23" t="n">
        <x:v>606.5924072265625</x:v>
      </x:c>
      <x:c r="AC24" s="23" t="n">
        <x:v>649.4836018880208</x:v>
      </x:c>
      <x:c r="AD24" s="23" t="n">
        <x:v>673.9002278645833</x:v>
      </x:c>
      <x:c r="AE24" s="23" t="n">
        <x:v>683.1963704427083</x:v>
      </x:c>
      <x:c r="AF24" s="23" t="n">
        <x:v>660.35546875</x:v>
      </x:c>
      <x:c r="AG24" s="23" t="n">
        <x:v>662.5598958333333</x:v>
      </x:c>
      <x:c r="AH24" s="23" t="n">
        <x:v>648.1140950520833</x:v>
      </x:c>
      <x:c r="AI24" s="23" t="n">
        <x:v>647.8684488932291</x:v>
      </x:c>
      <x:c r="AJ24" s="23" t="n">
        <x:v>735.1959635416666</x:v>
      </x:c>
      <x:c r="AK24" s="23" t="n">
        <x:v>281.5370041232639</x:v>
      </x:c>
      <x:c r="AL24" s="23" t="n">
        <x:v>280.34082184136884</x:v>
      </x:c>
      <x:c r="AM24" s="23" t="n">
        <x:v>247.92076848958337</x:v>
      </x:c>
      <x:c r="AN24" s="23" t="n">
        <x:v>303.8117908653742</x:v>
      </x:c>
      <x:c r="AO24" s="23" t="n">
        <x:v>758.2842444548925</x:v>
      </x:c>
      <x:c r="AP24" s="23" t="n">
        <x:v>732.625836746267</x:v>
      </x:c>
      <x:c r="AQ24" s="23" t="n">
        <x:v>762.5399531069413</x:v>
      </x:c>
      <x:c r="AR24" s="23" t="n">
        <x:v>709.539242560754</x:v>
      </x:c>
      <x:c r="AS24" s="23" t="n">
        <x:v>663.9580018774614</x:v>
      </x:c>
      <x:c r="AT24" s="23" t="n">
        <x:v>570.5136509898967</x:v>
      </x:c>
      <x:c r="AU24" s="23" t="n">
        <x:v>533.1836031042975</x:v>
      </x:c>
      <x:c r="AV24" s="23" t="n">
        <x:v>0</x:v>
      </x:c>
      <x:c r="AW24" s="23" t="n">
        <x:v>282.8142629494253</x:v>
      </x:c>
      <x:c r="AX24" s="23" t="n">
        <x:v>198.39293156014446</x:v>
      </x:c>
      <x:c r="AY24" s="23" t="n">
        <x:v>82.48099532225947</x:v>
      </x:c>
      <x:c r="AZ24" s="23" t="n">
        <x:v>77.83484944834814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40.20946644757578</x:v>
      </x:c>
      <x:c r="BO24" s="23" t="n">
        <x:v>829.430383326843</x:v>
      </x:c>
      <x:c r="BP24" s="23" t="n">
        <x:v>792.941185776926</x:v>
      </x:c>
      <x:c r="BQ24" s="23" t="n">
        <x:v>755.198384099243</x:v>
      </x:c>
      <x:c r="BR24" s="23" t="n">
        <x:v>736.2769033070965</x:v>
      </x:c>
      <x:c r="BS24" s="23" t="n">
        <x:v>739.3772542231559</x:v>
      </x:c>
      <x:c r="BT24" s="23" t="n">
        <x:v>717.342801564185</x:v>
      </x:c>
      <x:c r="BU24" s="23" t="n">
        <x:v>691.1623335456409</x:v>
      </x:c>
      <x:c r="BV24" s="23" t="n">
        <x:v>690.8222993968541</x:v>
      </x:c>
      <x:c r="BW24" s="23" t="n">
        <x:v>682.9750088363742</x:v>
      </x:c>
      <x:c r="BX24" s="23" t="n">
        <x:v>667.5470905931361</x:v>
      </x:c>
      <x:c r="BY24" s="23" t="n">
        <x:v>675.583087172238</x:v>
      </x:c>
      <x:c r="BZ24" s="23" t="n">
        <x:v>716.3823719438343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114.868749879891</x:v>
      </x:c>
      <x:c r="CM24" s="23" t="n">
        <x:v>252.2516881181444</x:v>
      </x:c>
      <x:c r="CN24" s="23" t="n">
        <x:v>1154.9449416964928</x:v>
      </x:c>
      <x:c r="CO24" s="23" t="n">
        <x:v>358.71096460340743</x:v>
      </x:c>
      <x:c r="CP24" s="23" t="n">
        <x:v>404.36222977285917</x:v>
      </x:c>
      <x:c r="CQ24" s="23" t="n">
        <x:v>452.44550719756495</x:v>
      </x:c>
      <x:c r="CR24" s="23" t="n">
        <x:v>507.38757443303916</x:v>
      </x:c>
      <x:c r="CS24" s="23" t="n">
        <x:v>568.5019328352278</x:v>
      </x:c>
      <x:c r="CT24" s="23" t="n">
        <x:v>624.2029208940248</x:v>
      </x:c>
      <x:c r="CU24" s="23" t="n">
        <x:v>659.2991063123818</x:v>
      </x:c>
      <x:c r="CV24" s="23" t="n">
        <x:v>707.2746880486235</x:v>
      </x:c>
      <x:c r="CW24" s="23" t="n">
        <x:v>771.3134545053114</x:v>
      </x:c>
      <x:c r="CX24" s="23" t="n">
        <x:v>817.4839459244713</x:v>
      </x:c>
      <x:c r="CY24" s="23" t="n">
        <x:v>875.9724049080097</x:v>
      </x:c>
      <x:c r="CZ24" s="23" t="n">
        <x:v>922.3202303505409</x:v>
      </x:c>
      <x:c r="DA24" s="23" t="n">
        <x:v>965.2727793084888</x:v>
      </x:c>
      <x:c r="DB24" s="23" t="n">
        <x:v>988.1492980330634</x:v>
      </x:c>
      <x:c r="DC24" s="23" t="n">
        <x:v>1021.06494140625</x:v>
      </x:c>
      <x:c r="DD24" s="23" t="n">
        <x:v>930.4488845416024</x:v>
      </x:c>
      <x:c r="DE24" s="23" t="n">
        <x:v>714.23388671875</x:v>
      </x:c>
      <x:c r="DF24" s="23" t="n">
        <x:v>29.67782834201383</x:v>
      </x:c>
      <x:c r="DG24" s="23" t="n">
        <x:v>727.7240397135416</x:v>
      </x:c>
      <x:c r="DH24" s="23" t="n">
        <x:v>79.53874240451394</x:v>
      </x:c>
      <x:c r="DI24" s="23" t="n">
        <x:v>714.2159016927083</x:v>
      </x:c>
      <x:c r="DJ24" s="23" t="n">
        <x:v>714.00927734375</x:v>
      </x:c>
      <x:c r="DK24" s="23" t="n">
        <x:v>90.69185872395829</x:v>
      </x:c>
      <x:c r="DL24" s="23" t="n">
        <x:v>69.8107824652778</x:v>
      </x:c>
      <x:c r="DM24" s="23" t="n">
        <x:v>33.2267408854168</x:v>
      </x:c>
      <x:c r="DN24" s="23" t="n">
        <x:v>40.67104275173604</x:v>
      </x:c>
      <x:c r="DO24" s="23" t="n">
        <x:v>88.12966080729166</x:v>
      </x:c>
      <x:c r="DP24" s="23" t="n">
        <x:v>88.69758376736104</x:v>
      </x:c>
      <x:c r="DQ24" s="23" t="n">
        <x:v>31.690734592013843</x:v>
      </x:c>
      <x:c r="DR24" s="23" t="n">
        <x:v>23.01865017361115</x:v>
      </x:c>
      <x:c r="DS24" s="23" t="n">
        <x:v>70.84035030381929</x:v>
      </x:c>
      <x:c r="DT24" s="23" t="n">
        <x:v>151.22054301215317</x:v>
      </x:c>
      <x:c r="DU24" s="23" t="n">
        <x:v>87.42189626736118</x:v>
      </x:c>
      <x:c r="DV24" s="23" t="n">
        <x:v>649.3220971788193</x:v>
      </x:c>
      <x:c r="DW24" s="23" t="n">
        <x:v>747.8411440650721</x:v>
      </x:c>
      <x:c r="DX24" s="23" t="n">
        <x:v>736.6024128595461</x:v>
      </x:c>
      <x:c r="DY24" s="23" t="n">
        <x:v>710.7865397135416</x:v>
      </x:c>
      <x:c r="DZ24" s="23" t="n">
        <x:v>716.025390625</x:v>
      </x:c>
      <x:c r="EA24" s="23" t="n">
        <x:v>687.7164270399305</x:v>
      </x:c>
      <x:c r="EB24" s="23" t="n">
        <x:v>638.6996292317708</x:v>
      </x:c>
      <x:c r="EC24" s="23" t="n">
        <x:v>1397.9755452473958</x:v>
      </x:c>
      <x:c r="ED24" s="23" t="n">
        <x:v>1387.086710611979</x:v>
      </x:c>
      <x:c r="EE24" s="23" t="n">
        <x:v>719.4523290613744</x:v>
      </x:c>
      <x:c r="EF24" s="23" t="n">
        <x:v>1387.8583170572915</x:v>
      </x:c>
      <x:c r="EG24" s="23" t="n">
        <x:v>1380.4523111979165</x:v>
      </x:c>
      <x:c r="EH24" s="23" t="n">
        <x:v>557.75634765625</x:v>
      </x:c>
      <x:c r="EI24" s="23" t="n">
        <x:v>568.9799397786458</x:v>
      </x:c>
      <x:c r="EJ24" s="23" t="n">
        <x:v>1405.6478678385415</x:v>
      </x:c>
      <x:c r="EK24" s="23" t="n">
        <x:v>1404.5179850260415</x:v>
      </x:c>
      <x:c r="EL24" s="23" t="n">
        <x:v>573.1657307942708</x:v>
      </x:c>
      <x:c r="EM24" s="23" t="n">
        <x:v>579.0690511067708</x:v>
      </x:c>
      <x:c r="EN24" s="23" t="n">
        <x:v>581.385986328125</x:v>
      </x:c>
      <x:c r="EO24" s="23" t="n">
        <x:v>582.3883056640625</x:v>
      </x:c>
      <x:c r="EP24" s="23" t="n">
        <x:f>SUM(B24:EO24)</x:f>
        <x:v>76697.74069158502</x:v>
      </x:c>
      <x:c r="EQ24" s="23" t="n">
        <x:f>SUMPRODUCT(B24:EO24,{0.4172,0.4432,0.4545,0.4306,0.4163,0.423,0.4251,0.4471,0.4647,0.4242,0.3948,0.4046,0.4188,0.4428,0.4554,0.4226,0.4067,0.4339,0.4641,0.4401,0.3973,0.4301,0.4868,0.5042,0.4678,0.4511,0.4836,0.5218,0.4992,0.454,0.4893,0.5288,0.4949,0.4237,0.606,0.9447,1.034,1.0263,1.0245,0.9686,0.9242,0.9253,0.9394,0.9279,0.8682,0.8113,1.0171,1.3485,1.375,1.2826,1.241,1.2326,1.1981,1.1409,1.1182,1.1147,1.1048,1.0837,1.0955,1.1368,1.1407,1.0367,0.9529,1.0596,0.9302,0.6011,0.5534,0.5986,0.5901,0.5868,0.6027,0.6096,0.5791,0.5919,0.6256,0.5944,0.6711,0.857,0.9589,0.9574,0.9219,0.936,0.9722,1.0069,1.0349,1.0005,0.9662,1.0314,0.9365,0.7187,0.7012,0.803,0.8809,0.8704,0.8451,0.8586,0.898,0.908,0.9171,0.9989,1.0399,1.0323,1.0804,1.1229,1.1079,1.0676,1.1529,1.3018,1.2971,1.2645,1.2898,1.3246,1.2981,1.2316,1.2209,1.2747,1.3258,1.2925,1.2457,1.2394,1.2604,1.2553,1.2598,1.3211,1.1604,0.8871,0.9092,0.9619,0.9494,0.9959,0.7646,0.39,0.3868,0.4444,0.395,0.3901,0.4305,0.456,0.4214,0.4148,0.4442,0.4312,0.4072,0.411})</x:f>
        <x:v>51134.29140416844</x:v>
      </x:c>
    </x:row>
    <x:row r="25" ht="14" customHeight="1">
      <x:c r="A25" s="3">
        <x:v>45712</x:v>
      </x:c>
      <x:c r="B25" s="23" t="n">
        <x:v>1405.2025146484375</x:v>
      </x:c>
      <x:c r="C25" s="23" t="n">
        <x:v>1402.2715657552083</x:v>
      </x:c>
      <x:c r="D25" s="23" t="n">
        <x:v>1398.584025065104</x:v>
      </x:c>
      <x:c r="E25" s="23" t="n">
        <x:v>569.2323404947916</x:v>
      </x:c>
      <x:c r="F25" s="23" t="n">
        <x:v>565.9296875</x:v>
      </x:c>
      <x:c r="G25" s="23" t="n">
        <x:v>575.2932942708333</x:v>
      </x:c>
      <x:c r="H25" s="23" t="n">
        <x:v>595.4541422526041</x:v>
      </x:c>
      <x:c r="I25" s="23" t="n">
        <x:v>606.0021565755208</x:v>
      </x:c>
      <x:c r="J25" s="23" t="n">
        <x:v>581.8290608723958</x:v>
      </x:c>
      <x:c r="K25" s="23" t="n">
        <x:v>1417.026163736979</x:v>
      </x:c>
      <x:c r="L25" s="23" t="n">
        <x:v>1017.2093403348449</x:v>
      </x:c>
      <x:c r="M25" s="23" t="n">
        <x:v>610.317138671875</x:v>
      </x:c>
      <x:c r="N25" s="23" t="n">
        <x:v>621.9249674479166</x:v>
      </x:c>
      <x:c r="O25" s="23" t="n">
        <x:v>1472.305460611979</x:v>
      </x:c>
      <x:c r="P25" s="23" t="n">
        <x:v>645.093017578125</x:v>
      </x:c>
      <x:c r="Q25" s="23" t="n">
        <x:v>630.0792643229166</x:v>
      </x:c>
      <x:c r="R25" s="23" t="n">
        <x:v>628.8956298828125</x:v>
      </x:c>
      <x:c r="S25" s="23" t="n">
        <x:v>639.8133544921875</x:v>
      </x:c>
      <x:c r="T25" s="23" t="n">
        <x:v>643.7705485026041</x:v>
      </x:c>
      <x:c r="U25" s="23" t="n">
        <x:v>629.2212727864583</x:v>
      </x:c>
      <x:c r="V25" s="23" t="n">
        <x:v>642.364990234375</x:v>
      </x:c>
      <x:c r="W25" s="23" t="n">
        <x:v>648.1991780598958</x:v>
      </x:c>
      <x:c r="X25" s="23" t="n">
        <x:v>638.0079345703125</x:v>
      </x:c>
      <x:c r="Y25" s="23" t="n">
        <x:v>642.0072428385416</x:v>
      </x:c>
      <x:c r="Z25" s="23" t="n">
        <x:v>658.3518880208333</x:v>
      </x:c>
      <x:c r="AA25" s="23" t="n">
        <x:v>660.0150553385416</x:v>
      </x:c>
      <x:c r="AB25" s="23" t="n">
        <x:v>682.5340576171875</x:v>
      </x:c>
      <x:c r="AC25" s="23" t="n">
        <x:v>687.2310384114583</x:v>
      </x:c>
      <x:c r="AD25" s="23" t="n">
        <x:v>676.1072184244791</x:v>
      </x:c>
      <x:c r="AE25" s="23" t="n">
        <x:v>672.40478515625</x:v>
      </x:c>
      <x:c r="AF25" s="23" t="n">
        <x:v>670.4711507161458</x:v>
      </x:c>
      <x:c r="AG25" s="23" t="n">
        <x:v>668.4396565755208</x:v>
      </x:c>
      <x:c r="AH25" s="23" t="n">
        <x:v>659.6356608072916</x:v>
      </x:c>
      <x:c r="AI25" s="23" t="n">
        <x:v>1490.0074055989583</x:v>
      </x:c>
      <x:c r="AJ25" s="23" t="n">
        <x:v>731.4189453125</x:v>
      </x:c>
      <x:c r="AK25" s="23" t="n">
        <x:v>74.76088867187491</x:v>
      </x:c>
      <x:c r="AL25" s="23" t="n">
        <x:v>69.44662387613516</x:v>
      </x:c>
      <x:c r="AM25" s="23" t="n">
        <x:v>17.77055706641113</x:v>
      </x:c>
      <x:c r="AN25" s="23" t="n">
        <x:v>40.7692542917163</x:v>
      </x:c>
      <x:c r="AO25" s="23" t="n">
        <x:v>22.084588085638337</x:v>
      </x:c>
      <x:c r="AP25" s="23" t="n">
        <x:v>742.5955741270354</x:v>
      </x:c>
      <x:c r="AQ25" s="23" t="n">
        <x:v>771.1473171316062</x:v>
      </x:c>
      <x:c r="AR25" s="23" t="n">
        <x:v>641.8876019059398</x:v>
      </x:c>
      <x:c r="AS25" s="23" t="n">
        <x:v>666.5460664186745</x:v>
      </x:c>
      <x:c r="AT25" s="23" t="n">
        <x:v>581.7039851810239</x:v>
      </x:c>
      <x:c r="AU25" s="23" t="n">
        <x:v>1289.598663450471</x:v>
      </x:c>
      <x:c r="AV25" s="23" t="n">
        <x:v>555.9794890150434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75.82868998436227</x:v>
      </x:c>
      <x:c r="BL25" s="23" t="n">
        <x:v>0</x:v>
      </x:c>
      <x:c r="BM25" s="23" t="n">
        <x:v>0</x:v>
      </x:c>
      <x:c r="BN25" s="23" t="n">
        <x:v>0</x:v>
      </x:c>
      <x:c r="BO25" s="23" t="n">
        <x:v>749.5065448504561</x:v>
      </x:c>
      <x:c r="BP25" s="23" t="n">
        <x:v>723.4420542552559</x:v>
      </x:c>
      <x:c r="BQ25" s="23" t="n">
        <x:v>700.1151985872203</x:v>
      </x:c>
      <x:c r="BR25" s="23" t="n">
        <x:v>694.9874358296479</x:v>
      </x:c>
      <x:c r="BS25" s="23" t="n">
        <x:v>709.0492253682867</x:v>
      </x:c>
      <x:c r="BT25" s="23" t="n">
        <x:v>690.9991432724387</x:v>
      </x:c>
      <x:c r="BU25" s="23" t="n">
        <x:v>658.2102113802052</x:v>
      </x:c>
      <x:c r="BV25" s="23" t="n">
        <x:v>668.1679608002912</x:v>
      </x:c>
      <x:c r="BW25" s="23" t="n">
        <x:v>664.3027644821251</x:v>
      </x:c>
      <x:c r="BX25" s="23" t="n">
        <x:v>673.683337510951</x:v>
      </x:c>
      <x:c r="BY25" s="23" t="n">
        <x:v>700.7179625015566</x:v>
      </x:c>
      <x:c r="BZ25" s="23" t="n">
        <x:v>709.0798870289079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63.99352356762959</x:v>
      </x:c>
      <x:c r="CM25" s="23" t="n">
        <x:v>1106.6096564750765</x:v>
      </x:c>
      <x:c r="CN25" s="23" t="n">
        <x:v>308.73493151796083</x:v>
      </x:c>
      <x:c r="CO25" s="23" t="n">
        <x:v>349.9511267687458</x:v>
      </x:c>
      <x:c r="CP25" s="23" t="n">
        <x:v>395.450418317015</x:v>
      </x:c>
      <x:c r="CQ25" s="23" t="n">
        <x:v>431.1258435207094</x:v>
      </x:c>
      <x:c r="CR25" s="23" t="n">
        <x:v>477.8530518088561</x:v>
      </x:c>
      <x:c r="CS25" s="23" t="n">
        <x:v>522.1440869932169</x:v>
      </x:c>
      <x:c r="CT25" s="23" t="n">
        <x:v>586.530037901739</x:v>
      </x:c>
      <x:c r="CU25" s="23" t="n">
        <x:v>634.0727888274737</x:v>
      </x:c>
      <x:c r="CV25" s="23" t="n">
        <x:v>683.482137379791</x:v>
      </x:c>
      <x:c r="CW25" s="23" t="n">
        <x:v>743.728821349591</x:v>
      </x:c>
      <x:c r="CX25" s="23" t="n">
        <x:v>802.2859572991788</x:v>
      </x:c>
      <x:c r="CY25" s="23" t="n">
        <x:v>849.1095032502005</x:v>
      </x:c>
      <x:c r="CZ25" s="23" t="n">
        <x:v>892.2752753355301</x:v>
      </x:c>
      <x:c r="DA25" s="23" t="n">
        <x:v>942.4869217910541</x:v>
      </x:c>
      <x:c r="DB25" s="23" t="n">
        <x:v>1012.5240408760425</x:v>
      </x:c>
      <x:c r="DC25" s="23" t="n">
        <x:v>1017.0623761884967</x:v>
      </x:c>
      <x:c r="DD25" s="23" t="n">
        <x:v>915.6698686006132</x:v>
      </x:c>
      <x:c r="DE25" s="23" t="n">
        <x:v>694.824951171875</x:v>
      </x:c>
      <x:c r="DF25" s="23" t="n">
        <x:v>703.4378255208333</x:v>
      </x:c>
      <x:c r="DG25" s="23" t="n">
        <x:v>729.690185546875</x:v>
      </x:c>
      <x:c r="DH25" s="23" t="n">
        <x:v>76.63509440104158</x:v>
      </x:c>
      <x:c r="DI25" s="23" t="n">
        <x:v>0</x:v>
      </x:c>
      <x:c r="DJ25" s="23" t="n">
        <x:v>730.9293619791666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732.0574544270833</x:v>
      </x:c>
      <x:c r="DU25" s="23" t="n">
        <x:v>0</x:v>
      </x:c>
      <x:c r="DV25" s="23" t="n">
        <x:v>713.1748046875</x:v>
      </x:c>
      <x:c r="DW25" s="23" t="n">
        <x:v>715.634033203125</x:v>
      </x:c>
      <x:c r="DX25" s="23" t="n">
        <x:v>728.7249348958333</x:v>
      </x:c>
      <x:c r="DY25" s="23" t="n">
        <x:v>726.166748046875</x:v>
      </x:c>
      <x:c r="DZ25" s="23" t="n">
        <x:v>732.7068684895833</x:v>
      </x:c>
      <x:c r="EA25" s="23" t="n">
        <x:v>738.4636220052084</x:v>
      </x:c>
      <x:c r="EB25" s="23" t="n">
        <x:v>696.9684579153806</x:v>
      </x:c>
      <x:c r="EC25" s="23" t="n">
        <x:v>568.0203450520833</x:v>
      </x:c>
      <x:c r="ED25" s="23" t="n">
        <x:v>1398.4112548828125</x:v>
      </x:c>
      <x:c r="EE25" s="23" t="n">
        <x:v>1411.318400065104</x:v>
      </x:c>
      <x:c r="EF25" s="23" t="n">
        <x:v>1417.2502034505208</x:v>
      </x:c>
      <x:c r="EG25" s="23" t="n">
        <x:v>1410.5235595703125</x:v>
      </x:c>
      <x:c r="EH25" s="23" t="n">
        <x:v>575.1562093098958</x:v>
      </x:c>
      <x:c r="EI25" s="23" t="n">
        <x:v>573.3398844401041</x:v>
      </x:c>
      <x:c r="EJ25" s="23" t="n">
        <x:v>576.2038167317708</x:v>
      </x:c>
      <x:c r="EK25" s="23" t="n">
        <x:v>883.9902177975501</x:v>
      </x:c>
      <x:c r="EL25" s="23" t="n">
        <x:v>1413.345743815104</x:v>
      </x:c>
      <x:c r="EM25" s="23" t="n">
        <x:v>1412.1365966796875</x:v>
      </x:c>
      <x:c r="EN25" s="23" t="n">
        <x:v>571.3389078776041</x:v>
      </x:c>
      <x:c r="EO25" s="23" t="n">
        <x:v>575.004638671875</x:v>
      </x:c>
      <x:c r="EP25" s="23" t="n">
        <x:f>SUM(B25:EO25)</x:f>
        <x:v>75615.57666696288</x:v>
      </x:c>
      <x:c r="EQ25" s="23" t="n">
        <x:f>SUMPRODUCT(B25:EO25,{0.4486,0.4807,0.4776,0.4433,0.4289,0.4404,0.4456,0.4848,0.5174,0.456,0.4179,0.4324,0.4223,0.4395,0.4645,0.4202,0.4147,0.4582,0.4497,0.4246,0.4174,0.4291,0.4743,0.5178,0.4981,0.4561,0.4273,0.4173,0.4375,0.4695,0.4764,0.4731,0.4468,0.4087,0.6129,0.9481,1.0219,1.0171,1.0541,1.0572,1.0099,0.9368,0.887,0.9045,0.8905,0.7483,0.9274,1.3336,1.3842,1.261,1.1678,1.1297,1.162,1.1979,1.139,1.0841,1.0546,0.9891,0.995,1.0475,1.0108,1.0021,1.0375,0.9847,0.7916,0.5928,0.5909,0.6098,0.5628,0.5319,0.5314,0.5386,0.5272,0.5255,0.5115,0.4667,0.6271,0.8934,0.9142,0.9136,0.9647,0.9168,0.9138,0.9874,1.0111,0.9831,0.9936,1.0986,1.001,0.7556,0.728,0.7737,0.796,0.8505,0.8844,0.887,0.9066,0.9431,0.9834,1.0147,1.0235,1.0354,1.0901,1.1292,1.1119,1.0681,1.1331,1.2644,1.2778,1.2355,1.227,1.276,1.2956,1.2682,1.2583,1.2699,1.2798,1.2709,1.289,1.3055,1.2486,1.2327,1.3019,1.3564,1.2043,0.9576,0.9284,0.9393,0.9339,0.9928,0.7837,0.414,0.3649,0.4357,0.4433,0.4118,0.4153,0.4578,0.4752,0.4519,0.4101,0.3923,0.4206,0.4711})</x:f>
        <x:v>49475.26418379597</x:v>
      </x:c>
    </x:row>
    <x:row r="26" ht="14" customHeight="1">
      <x:c r="A26" s="3">
        <x:v>45713</x:v>
      </x:c>
      <x:c r="B26" s="23" t="n">
        <x:v>577.96484375</x:v>
      </x:c>
      <x:c r="C26" s="23" t="n">
        <x:v>1394.6788736979165</x:v>
      </x:c>
      <x:c r="D26" s="23" t="n">
        <x:v>1398.4049479166665</x:v>
      </x:c>
      <x:c r="E26" s="23" t="n">
        <x:v>570.5794677734375</x:v>
      </x:c>
      <x:c r="F26" s="23" t="n">
        <x:v>575.6436767578125</x:v>
      </x:c>
      <x:c r="G26" s="23" t="n">
        <x:v>567.5423583984375</x:v>
      </x:c>
      <x:c r="H26" s="23" t="n">
        <x:v>823.6693509524496</x:v>
      </x:c>
      <x:c r="I26" s="23" t="n">
        <x:v>575.136962890625</x:v>
      </x:c>
      <x:c r="J26" s="23" t="n">
        <x:v>601.0888671875</x:v>
      </x:c>
      <x:c r="K26" s="23" t="n">
        <x:v>583.955322265625</x:v>
      </x:c>
      <x:c r="L26" s="23" t="n">
        <x:v>609.0875651041666</x:v>
      </x:c>
      <x:c r="M26" s="23" t="n">
        <x:v>623.3732503255208</x:v>
      </x:c>
      <x:c r="N26" s="23" t="n">
        <x:v>1459.2536214192708</x:v>
      </x:c>
      <x:c r="O26" s="23" t="n">
        <x:v>1454.4689127604165</x:v>
      </x:c>
      <x:c r="P26" s="23" t="n">
        <x:v>642.1968994140625</x:v>
      </x:c>
      <x:c r="Q26" s="23" t="n">
        <x:v>641.0571695963541</x:v>
      </x:c>
      <x:c r="R26" s="23" t="n">
        <x:v>635.9370524088541</x:v>
      </x:c>
      <x:c r="S26" s="23" t="n">
        <x:v>622.7178141276041</x:v>
      </x:c>
      <x:c r="T26" s="23" t="n">
        <x:v>634.7041015625</x:v>
      </x:c>
      <x:c r="U26" s="23" t="n">
        <x:v>642.0087483723958</x:v>
      </x:c>
      <x:c r="V26" s="23" t="n">
        <x:v>643.2655029296875</x:v>
      </x:c>
      <x:c r="W26" s="23" t="n">
        <x:v>642.184326171875</x:v>
      </x:c>
      <x:c r="X26" s="23" t="n">
        <x:v>641.3311360677083</x:v>
      </x:c>
      <x:c r="Y26" s="23" t="n">
        <x:v>635.817626953125</x:v>
      </x:c>
      <x:c r="Z26" s="23" t="n">
        <x:v>642.4659423828125</x:v>
      </x:c>
      <x:c r="AA26" s="23" t="n">
        <x:v>647.3288981119791</x:v>
      </x:c>
      <x:c r="AB26" s="23" t="n">
        <x:v>652.6155192057291</x:v>
      </x:c>
      <x:c r="AC26" s="23" t="n">
        <x:v>668.715087890625</x:v>
      </x:c>
      <x:c r="AD26" s="23" t="n">
        <x:v>659.6237386067708</x:v>
      </x:c>
      <x:c r="AE26" s="23" t="n">
        <x:v>657.5368245442708</x:v>
      </x:c>
      <x:c r="AF26" s="23" t="n">
        <x:v>1483.7659912109375</x:v>
      </x:c>
      <x:c r="AG26" s="23" t="n">
        <x:v>655.6834309895833</x:v>
      </x:c>
      <x:c r="AH26" s="23" t="n">
        <x:v>655.4558512369791</x:v>
      </x:c>
      <x:c r="AI26" s="23" t="n">
        <x:v>1489.7312825520833</x:v>
      </x:c>
      <x:c r="AJ26" s="23" t="n">
        <x:v>705.9524739583333</x:v>
      </x:c>
      <x:c r="AK26" s="23" t="n">
        <x:v>809.0122884114583</x:v>
      </x:c>
      <x:c r="AL26" s="23" t="n">
        <x:v>66.60823160707241</x:v>
      </x:c>
      <x:c r="AM26" s="23" t="n">
        <x:v>45.5124943307372</x:v>
      </x:c>
      <x:c r="AN26" s="23" t="n">
        <x:v>34.17681914893758</x:v>
      </x:c>
      <x:c r="AO26" s="23" t="n">
        <x:v>17.169532940828805</x:v>
      </x:c>
      <x:c r="AP26" s="23" t="n">
        <x:v>811.5746197003333</x:v>
      </x:c>
      <x:c r="AQ26" s="23" t="n">
        <x:v>648.987894259785</x:v>
      </x:c>
      <x:c r="AR26" s="23" t="n">
        <x:v>670.2334640824449</x:v>
      </x:c>
      <x:c r="AS26" s="23" t="n">
        <x:v>652.5707350771656</x:v>
      </x:c>
      <x:c r="AT26" s="23" t="n">
        <x:v>594.0080169090368</x:v>
      </x:c>
      <x:c r="AU26" s="23" t="n">
        <x:v>436.8249879965056</x:v>
      </x:c>
      <x:c r="AV26" s="23" t="n">
        <x:v>188.85644663007685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50.90930180113794</x:v>
      </x:c>
      <x:c r="BL26" s="23" t="n">
        <x:v>0</x:v>
      </x:c>
      <x:c r="BM26" s="23" t="n">
        <x:v>0</x:v>
      </x:c>
      <x:c r="BN26" s="23" t="n">
        <x:v>0</x:v>
      </x:c>
      <x:c r="BO26" s="23" t="n">
        <x:v>752.8482223558273</x:v>
      </x:c>
      <x:c r="BP26" s="23" t="n">
        <x:v>728.2539620696658</x:v>
      </x:c>
      <x:c r="BQ26" s="23" t="n">
        <x:v>715.7929744598207</x:v>
      </x:c>
      <x:c r="BR26" s="23" t="n">
        <x:v>704.0352828513849</x:v>
      </x:c>
      <x:c r="BS26" s="23" t="n">
        <x:v>705.0746541789454</x:v>
      </x:c>
      <x:c r="BT26" s="23" t="n">
        <x:v>695.7661990295169</x:v>
      </x:c>
      <x:c r="BU26" s="23" t="n">
        <x:v>663.3234759484204</x:v>
      </x:c>
      <x:c r="BV26" s="23" t="n">
        <x:v>675.40613282164</x:v>
      </x:c>
      <x:c r="BW26" s="23" t="n">
        <x:v>677.3407476903704</x:v>
      </x:c>
      <x:c r="BX26" s="23" t="n">
        <x:v>658.102278623254</x:v>
      </x:c>
      <x:c r="BY26" s="23" t="n">
        <x:v>661.5934585370688</x:v>
      </x:c>
      <x:c r="BZ26" s="23" t="n">
        <x:v>700.1593915299655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1.9590393461324613</x:v>
      </x:c>
      <x:c r="CG26" s="23" t="n">
        <x:v>0</x:v>
      </x:c>
      <x:c r="CH26" s="23" t="n">
        <x:v>0</x:v>
      </x:c>
      <x:c r="CI26" s="23" t="n">
        <x:v>80.8139379665237</x:v>
      </x:c>
      <x:c r="CJ26" s="23" t="n">
        <x:v>0</x:v>
      </x:c>
      <x:c r="CK26" s="23" t="n">
        <x:v>0</x:v>
      </x:c>
      <x:c r="CL26" s="23" t="n">
        <x:v>0</x:v>
      </x:c>
      <x:c r="CM26" s="23" t="n">
        <x:v>277.1774174135222</x:v>
      </x:c>
      <x:c r="CN26" s="23" t="n">
        <x:v>300.75875746800966</x:v>
      </x:c>
      <x:c r="CO26" s="23" t="n">
        <x:v>347.96844083215757</x:v>
      </x:c>
      <x:c r="CP26" s="23" t="n">
        <x:v>1204.9563957239682</x:v>
      </x:c>
      <x:c r="CQ26" s="23" t="n">
        <x:v>456.88791148333735</x:v>
      </x:c>
      <x:c r="CR26" s="23" t="n">
        <x:v>515.7445561158665</x:v>
      </x:c>
      <x:c r="CS26" s="23" t="n">
        <x:v>529.1348662652723</x:v>
      </x:c>
      <x:c r="CT26" s="23" t="n">
        <x:v>581.1986746648402</x:v>
      </x:c>
      <x:c r="CU26" s="23" t="n">
        <x:v>628.8084171551985</x:v>
      </x:c>
      <x:c r="CV26" s="23" t="n">
        <x:v>685.149232382804</x:v>
      </x:c>
      <x:c r="CW26" s="23" t="n">
        <x:v>764.0745449583828</x:v>
      </x:c>
      <x:c r="CX26" s="23" t="n">
        <x:v>815.2856260464915</x:v>
      </x:c>
      <x:c r="CY26" s="23" t="n">
        <x:v>853.7962029840528</x:v>
      </x:c>
      <x:c r="CZ26" s="23" t="n">
        <x:v>902.3020787582782</x:v>
      </x:c>
      <x:c r="DA26" s="23" t="n">
        <x:v>956.9399220634629</x:v>
      </x:c>
      <x:c r="DB26" s="23" t="n">
        <x:v>993.3285794035596</x:v>
      </x:c>
      <x:c r="DC26" s="23" t="n">
        <x:v>1014.8006143512927</x:v>
      </x:c>
      <x:c r="DD26" s="23" t="n">
        <x:v>922.2727994893836</x:v>
      </x:c>
      <x:c r="DE26" s="23" t="n">
        <x:v>725.8960774739583</x:v>
      </x:c>
      <x:c r="DF26" s="23" t="n">
        <x:v>682.8103841145833</x:v>
      </x:c>
      <x:c r="DG26" s="23" t="n">
        <x:v>731.0123697916666</x:v>
      </x:c>
      <x:c r="DH26" s="23" t="n">
        <x:v>86.38835286458227</x:v>
      </x:c>
      <x:c r="DI26" s="23" t="n">
        <x:v>0</x:v>
      </x:c>
      <x:c r="DJ26" s="23" t="n">
        <x:v>722.5699055989583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733.192138671875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724.3011881510416</x:v>
      </x:c>
      <x:c r="DW26" s="23" t="n">
        <x:v>715.088623046875</x:v>
      </x:c>
      <x:c r="DX26" s="23" t="n">
        <x:v>735.196533203125</x:v>
      </x:c>
      <x:c r="DY26" s="23" t="n">
        <x:v>733.9698079427083</x:v>
      </x:c>
      <x:c r="DZ26" s="23" t="n">
        <x:v>715.0511881510416</x:v>
      </x:c>
      <x:c r="EA26" s="23" t="n">
        <x:v>738.5109780989584</x:v>
      </x:c>
      <x:c r="EB26" s="23" t="n">
        <x:v>648.6443670950681</x:v>
      </x:c>
      <x:c r="EC26" s="23" t="n">
        <x:v>562.0843098958333</x:v>
      </x:c>
      <x:c r="ED26" s="23" t="n">
        <x:v>872.9942501366382</x:v>
      </x:c>
      <x:c r="EE26" s="23" t="n">
        <x:v>573.8489583333333</x:v>
      </x:c>
      <x:c r="EF26" s="23" t="n">
        <x:v>563.7505696614583</x:v>
      </x:c>
      <x:c r="EG26" s="23" t="n">
        <x:v>1408.0767822265625</x:v>
      </x:c>
      <x:c r="EH26" s="23" t="n">
        <x:v>576.8417561848958</x:v>
      </x:c>
      <x:c r="EI26" s="23" t="n">
        <x:v>558.8607991536458</x:v>
      </x:c>
      <x:c r="EJ26" s="23" t="n">
        <x:v>556.5583902994791</x:v>
      </x:c>
      <x:c r="EK26" s="23" t="n">
        <x:v>1397.115763346354</x:v>
      </x:c>
      <x:c r="EL26" s="23" t="n">
        <x:v>1408.9811197916665</x:v>
      </x:c>
      <x:c r="EM26" s="23" t="n">
        <x:v>1409.9330240885415</x:v>
      </x:c>
      <x:c r="EN26" s="23" t="n">
        <x:v>1395.4881998697915</x:v>
      </x:c>
      <x:c r="EO26" s="23" t="n">
        <x:v>1401.6058756510415</x:v>
      </x:c>
      <x:c r="EP26" s="23" t="n">
        <x:f>SUM(B26:EO26)</x:f>
        <x:v>74691.21478020177</x:v>
      </x:c>
      <x:c r="EQ26" s="23" t="n">
        <x:f>SUMPRODUCT(B26:EO26,{0.4872,0.447,0.3959,0.4063,0.4285,0.442,0.4672,0.4499,0.4134,0.4368,0.4383,0.401,0.3964,0.4232,0.4478,0.4411,0.4412,0.4591,0.4669,0.4592,0.4516,0.4594,0.4383,0.4248,0.4942,0.5062,0.4479,0.4463,0.4613,0.4798,0.5293,0.5232,0.4434,0.4096,0.6771,1.0411,1.0197,0.9719,1.0264,0.9609,0.9289,0.9725,0.9607,0.9074,0.8449,0.8177,0.9866,1.2429,1.2882,1.2503,1.2152,1.1403,1.0751,1.0548,1.0661,1.0571,1.0193,0.9883,0.9668,0.9555,0.9571,0.9571,0.9545,0.935,0.7677,0.5436,0.5029,0.4894,0.4499,0.4863,0.5057,0.4775,0.4683,0.4794,0.4579,0.3966,0.5963,0.9427,0.9916,0.9382,0.9308,0.9166,0.8879,0.8801,0.93,0.9691,0.9949,1.0416,0.9334,0.751,0.7705,0.8181,0.8044,0.8178,0.8561,0.892,0.9041,0.8938,0.9127,1.0055,1.0225,0.974,1.0177,1.073,1.0862,1.1014,1.1942,1.2991,1.2769,1.2747,1.3107,1.2621,1.244,1.2891,1.3084,1.3034,1.2945,1.2922,1.2932,1.2913,1.2841,1.2844,1.2999,1.301,1.1563,0.9578,0.944,0.9531,0.9393,0.9762,0.7627,0.4235,0.4158,0.4519,0.4005,0.4179,0.4251,0.398,0.4048,0.4162,0.4186,0.4264,0.4038,0.3725})</x:f>
        <x:v>48257.406422539876</x:v>
      </x:c>
    </x:row>
    <x:row r="27" ht="14" customHeight="1">
      <x:c r="A27" s="3">
        <x:v>45714</x:v>
      </x:c>
      <x:c r="B27" s="23" t="n">
        <x:v>1421.1576334635415</x:v>
      </x:c>
      <x:c r="C27" s="23" t="n">
        <x:v>585.0649820963541</x:v>
      </x:c>
      <x:c r="D27" s="23" t="n">
        <x:v>565.1482340494791</x:v>
      </x:c>
      <x:c r="E27" s="23" t="n">
        <x:v>1403.522745768229</x:v>
      </x:c>
      <x:c r="F27" s="23" t="n">
        <x:v>1413.7171223958333</x:v>
      </x:c>
      <x:c r="G27" s="23" t="n">
        <x:v>588.4189046223958</x:v>
      </x:c>
      <x:c r="H27" s="23" t="n">
        <x:v>1423.804972330729</x:v>
      </x:c>
      <x:c r="I27" s="23" t="n">
        <x:v>1430.9652506510415</x:v>
      </x:c>
      <x:c r="J27" s="23" t="n">
        <x:v>591.4172770182291</x:v>
      </x:c>
      <x:c r="K27" s="23" t="n">
        <x:v>584.8573404947916</x:v>
      </x:c>
      <x:c r="L27" s="23" t="n">
        <x:v>590.6252034505208</x:v>
      </x:c>
      <x:c r="M27" s="23" t="n">
        <x:v>598.3525390625</x:v>
      </x:c>
      <x:c r="N27" s="23" t="n">
        <x:v>621.5415445963541</x:v>
      </x:c>
      <x:c r="O27" s="23" t="n">
        <x:v>894.2582155499929</x:v>
      </x:c>
      <x:c r="P27" s="23" t="n">
        <x:v>1452.7401936848958</x:v>
      </x:c>
      <x:c r="Q27" s="23" t="n">
        <x:v>633.3839925130208</x:v>
      </x:c>
      <x:c r="R27" s="23" t="n">
        <x:v>641.0410970052083</x:v>
      </x:c>
      <x:c r="S27" s="23" t="n">
        <x:v>625.2575276692708</x:v>
      </x:c>
      <x:c r="T27" s="23" t="n">
        <x:v>641.294677734375</x:v>
      </x:c>
      <x:c r="U27" s="23" t="n">
        <x:v>644.85205078125</x:v>
      </x:c>
      <x:c r="V27" s="23" t="n">
        <x:v>641.3534749348958</x:v>
      </x:c>
      <x:c r="W27" s="23" t="n">
        <x:v>645.6203206380208</x:v>
      </x:c>
      <x:c r="X27" s="23" t="n">
        <x:v>646.1595865885416</x:v>
      </x:c>
      <x:c r="Y27" s="23" t="n">
        <x:v>645.7206217447916</x:v>
      </x:c>
      <x:c r="Z27" s="23" t="n">
        <x:v>652.1870930989583</x:v>
      </x:c>
      <x:c r="AA27" s="23" t="n">
        <x:v>659.7166341145833</x:v>
      </x:c>
      <x:c r="AB27" s="23" t="n">
        <x:v>664.1424967447916</x:v>
      </x:c>
      <x:c r="AC27" s="23" t="n">
        <x:v>688.7236328125</x:v>
      </x:c>
      <x:c r="AD27" s="23" t="n">
        <x:v>680.0106201171875</x:v>
      </x:c>
      <x:c r="AE27" s="23" t="n">
        <x:v>670.9352213541666</x:v>
      </x:c>
      <x:c r="AF27" s="23" t="n">
        <x:v>644.74072265625</x:v>
      </x:c>
      <x:c r="AG27" s="23" t="n">
        <x:v>648.1319173177083</x:v>
      </x:c>
      <x:c r="AH27" s="23" t="n">
        <x:v>671.3975423177083</x:v>
      </x:c>
      <x:c r="AI27" s="23" t="n">
        <x:v>645.9269205729166</x:v>
      </x:c>
      <x:c r="AJ27" s="23" t="n">
        <x:v>699.1214192708333</x:v>
      </x:c>
      <x:c r="AK27" s="23" t="n">
        <x:v>5.33168684895827</x:v>
      </x:c>
      <x:c r="AL27" s="23" t="n">
        <x:v>66.39040637813468</x:v>
      </x:c>
      <x:c r="AM27" s="23" t="n">
        <x:v>78.26433487227223</x:v>
      </x:c>
      <x:c r="AN27" s="23" t="n">
        <x:v>77.34469074793742</x:v>
      </x:c>
      <x:c r="AO27" s="23" t="n">
        <x:v>845.2007552397602</x:v>
      </x:c>
      <x:c r="AP27" s="23" t="n">
        <x:v>767.8079078932689</x:v>
      </x:c>
      <x:c r="AQ27" s="23" t="n">
        <x:v>0</x:v>
      </x:c>
      <x:c r="AR27" s="23" t="n">
        <x:v>705.9731885917873</x:v>
      </x:c>
      <x:c r="AS27" s="23" t="n">
        <x:v>652.6626323984497</x:v>
      </x:c>
      <x:c r="AT27" s="23" t="n">
        <x:v>593.7739797828865</x:v>
      </x:c>
      <x:c r="AU27" s="23" t="n">
        <x:v>934.7562924280846</x:v>
      </x:c>
      <x:c r="AV27" s="23" t="n">
        <x:v>529.4126890258144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55.166824390663194</x:v>
      </x:c>
      <x:c r="BL27" s="23" t="n">
        <x:v>0</x:v>
      </x:c>
      <x:c r="BM27" s="23" t="n">
        <x:v>0</x:v>
      </x:c>
      <x:c r="BN27" s="23" t="n">
        <x:v>0</x:v>
      </x:c>
      <x:c r="BO27" s="23" t="n">
        <x:v>738.2106719738947</x:v>
      </x:c>
      <x:c r="BP27" s="23" t="n">
        <x:v>708.9992841069438</x:v>
      </x:c>
      <x:c r="BQ27" s="23" t="n">
        <x:v>682.162295526082</x:v>
      </x:c>
      <x:c r="BR27" s="23" t="n">
        <x:v>656.9395272239021</x:v>
      </x:c>
      <x:c r="BS27" s="23" t="n">
        <x:v>667.7254607356218</x:v>
      </x:c>
      <x:c r="BT27" s="23" t="n">
        <x:v>639.942339500958</x:v>
      </x:c>
      <x:c r="BU27" s="23" t="n">
        <x:v>604.9868440099194</x:v>
      </x:c>
      <x:c r="BV27" s="23" t="n">
        <x:v>634.1934830959068</x:v>
      </x:c>
      <x:c r="BW27" s="23" t="n">
        <x:v>630.9096358577585</x:v>
      </x:c>
      <x:c r="BX27" s="23" t="n">
        <x:v>620.5019872618078</x:v>
      </x:c>
      <x:c r="BY27" s="23" t="n">
        <x:v>630.0559217839715</x:v>
      </x:c>
      <x:c r="BZ27" s="23" t="n">
        <x:v>657.9643398546274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241.10308003478195</x:v>
      </x:c>
      <x:c r="CN27" s="23" t="n">
        <x:v>277.1147321647677</x:v>
      </x:c>
      <x:c r="CO27" s="23" t="n">
        <x:v>1013.3579912106873</x:v>
      </x:c>
      <x:c r="CP27" s="23" t="n">
        <x:v>371.9033718163297</x:v>
      </x:c>
      <x:c r="CQ27" s="23" t="n">
        <x:v>466.1182421307043</x:v>
      </x:c>
      <x:c r="CR27" s="23" t="n">
        <x:v>512.4391773954975</x:v>
      </x:c>
      <x:c r="CS27" s="23" t="n">
        <x:v>525.6550462675918</x:v>
      </x:c>
      <x:c r="CT27" s="23" t="n">
        <x:v>591.9811459523745</x:v>
      </x:c>
      <x:c r="CU27" s="23" t="n">
        <x:v>658.3413602576189</x:v>
      </x:c>
      <x:c r="CV27" s="23" t="n">
        <x:v>665.9803297080798</x:v>
      </x:c>
      <x:c r="CW27" s="23" t="n">
        <x:v>732.2627790114958</x:v>
      </x:c>
      <x:c r="CX27" s="23" t="n">
        <x:v>791.3520675343258</x:v>
      </x:c>
      <x:c r="CY27" s="23" t="n">
        <x:v>841.4595482371196</x:v>
      </x:c>
      <x:c r="CZ27" s="23" t="n">
        <x:v>886.4135972654409</x:v>
      </x:c>
      <x:c r="DA27" s="23" t="n">
        <x:v>932.9086828236334</x:v>
      </x:c>
      <x:c r="DB27" s="23" t="n">
        <x:v>981.3410776055471</x:v>
      </x:c>
      <x:c r="DC27" s="23" t="n">
        <x:v>1029.5590097658187</x:v>
      </x:c>
      <x:c r="DD27" s="23" t="n">
        <x:v>912.4785581595198</x:v>
      </x:c>
      <x:c r="DE27" s="23" t="n">
        <x:v>0</x:v>
      </x:c>
      <x:c r="DF27" s="23" t="n">
        <x:v>0</x:v>
      </x:c>
      <x:c r="DG27" s="23" t="n">
        <x:v>726.4938151041666</x:v>
      </x:c>
      <x:c r="DH27" s="23" t="n">
        <x:v>714.3006184895833</x:v>
      </x:c>
      <x:c r="DI27" s="23" t="n">
        <x:v>731.19384765625</x:v>
      </x:c>
      <x:c r="DJ27" s="23" t="n">
        <x:v>735.1116536458333</x:v>
      </x:c>
      <x:c r="DK27" s="23" t="n">
        <x:v>688.993408203125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123.07593749999879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736.5106608072916</x:v>
      </x:c>
      <x:c r="DW27" s="23" t="n">
        <x:v>736.708984375</x:v>
      </x:c>
      <x:c r="DX27" s="23" t="n">
        <x:v>734.77099609375</x:v>
      </x:c>
      <x:c r="DY27" s="23" t="n">
        <x:v>731.365234375</x:v>
      </x:c>
      <x:c r="DZ27" s="23" t="n">
        <x:v>750.3271484375</x:v>
      </x:c>
      <x:c r="EA27" s="23" t="n">
        <x:v>761.8429258723957</x:v>
      </x:c>
      <x:c r="EB27" s="23" t="n">
        <x:v>676.5602125008039</x:v>
      </x:c>
      <x:c r="EC27" s="23" t="n">
        <x:v>572.1930338541666</x:v>
      </x:c>
      <x:c r="ED27" s="23" t="n">
        <x:v>1384.3633626302083</x:v>
      </x:c>
      <x:c r="EE27" s="23" t="n">
        <x:v>1418.5536295572915</x:v>
      </x:c>
      <x:c r="EF27" s="23" t="n">
        <x:v>579.6893310546875</x:v>
      </x:c>
      <x:c r="EG27" s="23" t="n">
        <x:v>581.1343180338541</x:v>
      </x:c>
      <x:c r="EH27" s="23" t="n">
        <x:v>1415.7895100911458</x:v>
      </x:c>
      <x:c r="EI27" s="23" t="n">
        <x:v>881.6521317595807</x:v>
      </x:c>
      <x:c r="EJ27" s="23" t="n">
        <x:v>572.3164469401041</x:v>
      </x:c>
      <x:c r="EK27" s="23" t="n">
        <x:v>567.731689453125</x:v>
      </x:c>
      <x:c r="EL27" s="23" t="n">
        <x:v>1417.8219401041665</x:v>
      </x:c>
      <x:c r="EM27" s="23" t="n">
        <x:v>1420.155029296875</x:v>
      </x:c>
      <x:c r="EN27" s="23" t="n">
        <x:v>1407.6464029947915</x:v>
      </x:c>
      <x:c r="EO27" s="23" t="n">
        <x:v>569.0540771484375</x:v>
      </x:c>
      <x:c r="EP27" s="23" t="n">
        <x:f>SUM(B27:EO27)</x:f>
        <x:v>74507.11305207174</x:v>
      </x:c>
      <x:c r="EQ27" s="23" t="n">
        <x:f>SUMPRODUCT(B27:EO27,{0.3951,0.4191,0.4169,0.4112,0.4068,0.4139,0.4383,0.4341,0.4257,0.4773,0.4817,0.4412,0.461,0.4546,0.4209,0.454,0.4908,0.5003,0.5098,0.4869,0.4441,0.4384,0.4627,0.4883,0.4928,0.496,0.4953,0.4718,0.4711,0.4737,0.4261,0.4544,0.4876,0.3743,0.5815,1.0037,1.0377,0.9927,1.0248,0.9735,0.9591,0.9875,0.9323,0.8889,0.8491,0.7486,0.9195,1.2639,1.3137,1.2335,1.1944,1.1921,1.1567,1.0983,1.0889,1.0751,1.0481,1.0522,1.0403,0.9962,0.9538,0.9268,0.9246,0.9277,0.8025,0.6002,0.5228,0.5248,0.5379,0.5447,0.5632,0.5759,0.5481,0.5461,0.5575,0.5326,0.6769,0.9227,0.9647,0.8972,0.8699,0.9373,0.9718,0.9714,1.0395,1.03,0.9779,1.0552,1.0125,0.8071,0.6774,0.7216,0.8497,0.8833,0.8868,0.9194,0.9659,0.9855,0.9808,0.9895,0.9982,1.0113,1.0541,1.1112,1.1489,1.1515,1.1976,1.263,1.2476,1.2465,1.2789,1.2701,1.2695,1.2924,1.2916,1.2413,1.1991,1.2492,1.2805,1.2812,1.3369,1.331,1.2771,1.2899,1.1712,0.9455,0.8715,0.9343,1.0262,1.0127,0.751,0.4078,0.3378,0.4063,0.451,0.4339,0.4189,0.4237,0.4118,0.4107,0.4122,0.3828,0.3909,0.427})</x:f>
        <x:v>48682.408645705196</x:v>
      </x:c>
    </x:row>
    <x:row r="28" ht="14" customHeight="1">
      <x:c r="A28" s="3">
        <x:v>45715</x:v>
      </x:c>
      <x:c r="B28" s="23" t="n">
        <x:v>583.1571858723958</x:v>
      </x:c>
      <x:c r="C28" s="23" t="n">
        <x:v>581.3992513020833</x:v>
      </x:c>
      <x:c r="D28" s="23" t="n">
        <x:v>768.1076555963591</x:v>
      </x:c>
      <x:c r="E28" s="23" t="n">
        <x:v>591.2628173828125</x:v>
      </x:c>
      <x:c r="F28" s="23" t="n">
        <x:v>610.4473876953125</x:v>
      </x:c>
      <x:c r="G28" s="23" t="n">
        <x:v>1431.7325439453125</x:v>
      </x:c>
      <x:c r="H28" s="23" t="n">
        <x:v>1442.1537272135415</x:v>
      </x:c>
      <x:c r="I28" s="23" t="n">
        <x:v>1434.1077473958333</x:v>
      </x:c>
      <x:c r="J28" s="23" t="n">
        <x:v>1412.9969075520833</x:v>
      </x:c>
      <x:c r="K28" s="23" t="n">
        <x:v>1432.1107991536458</x:v>
      </x:c>
      <x:c r="L28" s="23" t="n">
        <x:v>604.9960530598958</x:v>
      </x:c>
      <x:c r="M28" s="23" t="n">
        <x:v>587.6017252604166</x:v>
      </x:c>
      <x:c r="N28" s="23" t="n">
        <x:v>607.8734944661458</x:v>
      </x:c>
      <x:c r="O28" s="23" t="n">
        <x:v>636.6104329427083</x:v>
      </x:c>
      <x:c r="P28" s="23" t="n">
        <x:v>619.9491373697916</x:v>
      </x:c>
      <x:c r="Q28" s="23" t="n">
        <x:v>1444.7975667317708</x:v>
      </x:c>
      <x:c r="R28" s="23" t="n">
        <x:v>622.8118082682291</x:v>
      </x:c>
      <x:c r="S28" s="23" t="n">
        <x:v>623.2532145182291</x:v>
      </x:c>
      <x:c r="T28" s="23" t="n">
        <x:v>639.6872965494791</x:v>
      </x:c>
      <x:c r="U28" s="23" t="n">
        <x:v>619.6512044270833</x:v>
      </x:c>
      <x:c r="V28" s="23" t="n">
        <x:v>620.0861002604166</x:v>
      </x:c>
      <x:c r="W28" s="23" t="n">
        <x:v>661.5911458333333</x:v>
      </x:c>
      <x:c r="X28" s="23" t="n">
        <x:v>657.76220703125</x:v>
      </x:c>
      <x:c r="Y28" s="23" t="n">
        <x:v>640.4957275390625</x:v>
      </x:c>
      <x:c r="Z28" s="23" t="n">
        <x:v>646.3348388671875</x:v>
      </x:c>
      <x:c r="AA28" s="23" t="n">
        <x:v>641.744140625</x:v>
      </x:c>
      <x:c r="AB28" s="23" t="n">
        <x:v>650.0381673177083</x:v>
      </x:c>
      <x:c r="AC28" s="23" t="n">
        <x:v>648.8769938151041</x:v>
      </x:c>
      <x:c r="AD28" s="23" t="n">
        <x:v>647.9238688151041</x:v>
      </x:c>
      <x:c r="AE28" s="23" t="n">
        <x:v>669.2798258463541</x:v>
      </x:c>
      <x:c r="AF28" s="23" t="n">
        <x:v>670.1034342447916</x:v>
      </x:c>
      <x:c r="AG28" s="23" t="n">
        <x:v>671.79443359375</x:v>
      </x:c>
      <x:c r="AH28" s="23" t="n">
        <x:v>653.20703125</x:v>
      </x:c>
      <x:c r="AI28" s="23" t="n">
        <x:v>672.3102213541666</x:v>
      </x:c>
      <x:c r="AJ28" s="23" t="n">
        <x:v>723.2081259645133</x:v>
      </x:c>
      <x:c r="AK28" s="23" t="n">
        <x:v>0</x:v>
      </x:c>
      <x:c r="AL28" s="23" t="n">
        <x:v>63.838059941076</x:v>
      </x:c>
      <x:c r="AM28" s="23" t="n">
        <x:v>84.14705502366344</x:v>
      </x:c>
      <x:c r="AN28" s="23" t="n">
        <x:v>36.31640201130949</x:v>
      </x:c>
      <x:c r="AO28" s="23" t="n">
        <x:v>14.549922244739719</x:v>
      </x:c>
      <x:c r="AP28" s="23" t="n">
        <x:v>797.4889408589013</x:v>
      </x:c>
      <x:c r="AQ28" s="23" t="n">
        <x:v>748.7246667414915</x:v>
      </x:c>
      <x:c r="AR28" s="23" t="n">
        <x:v>694.0626911654577</x:v>
      </x:c>
      <x:c r="AS28" s="23" t="n">
        <x:v>9.741141103761416</x:v>
      </x:c>
      <x:c r="AT28" s="23" t="n">
        <x:v>584.7132248802327</x:v>
      </x:c>
      <x:c r="AU28" s="23" t="n">
        <x:v>1254.2139099788023</x:v>
      </x:c>
      <x:c r="AV28" s="23" t="n">
        <x:v>520.172106450745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15.99918687282252</x:v>
      </x:c>
      <x:c r="BL28" s="23" t="n">
        <x:v>0</x:v>
      </x:c>
      <x:c r="BM28" s="23" t="n">
        <x:v>0</x:v>
      </x:c>
      <x:c r="BN28" s="23" t="n">
        <x:v>0</x:v>
      </x:c>
      <x:c r="BO28" s="23" t="n">
        <x:v>735.9761235094277</x:v>
      </x:c>
      <x:c r="BP28" s="23" t="n">
        <x:v>716.0927358052563</x:v>
      </x:c>
      <x:c r="BQ28" s="23" t="n">
        <x:v>683.1672437543244</x:v>
      </x:c>
      <x:c r="BR28" s="23" t="n">
        <x:v>663.9570256079866</x:v>
      </x:c>
      <x:c r="BS28" s="23" t="n">
        <x:v>663.5111429479713</x:v>
      </x:c>
      <x:c r="BT28" s="23" t="n">
        <x:v>659.6363741604414</x:v>
      </x:c>
      <x:c r="BU28" s="23" t="n">
        <x:v>624.8146630437093</x:v>
      </x:c>
      <x:c r="BV28" s="23" t="n">
        <x:v>616.3661367321507</x:v>
      </x:c>
      <x:c r="BW28" s="23" t="n">
        <x:v>630.6070099134691</x:v>
      </x:c>
      <x:c r="BX28" s="23" t="n">
        <x:v>617.8969362700211</x:v>
      </x:c>
      <x:c r="BY28" s="23" t="n">
        <x:v>578.1999918397375</x:v>
      </x:c>
      <x:c r="BZ28" s="23" t="n">
        <x:v>539.9214544138215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864.944611184015</x:v>
      </x:c>
      <x:c r="CN28" s="23" t="n">
        <x:v>271.75529384164895</x:v>
      </x:c>
      <x:c r="CO28" s="23" t="n">
        <x:v>331.17666529395</x:v>
      </x:c>
      <x:c r="CP28" s="23" t="n">
        <x:v>355.54934246428775</x:v>
      </x:c>
      <x:c r="CQ28" s="23" t="n">
        <x:v>417.39890385721765</x:v>
      </x:c>
      <x:c r="CR28" s="23" t="n">
        <x:v>502.03377080338106</x:v>
      </x:c>
      <x:c r="CS28" s="23" t="n">
        <x:v>546.4297195889558</x:v>
      </x:c>
      <x:c r="CT28" s="23" t="n">
        <x:v>580.3328134763698</x:v>
      </x:c>
      <x:c r="CU28" s="23" t="n">
        <x:v>642.4504433839732</x:v>
      </x:c>
      <x:c r="CV28" s="23" t="n">
        <x:v>704.0576882116482</x:v>
      </x:c>
      <x:c r="CW28" s="23" t="n">
        <x:v>733.4051056305067</x:v>
      </x:c>
      <x:c r="CX28" s="23" t="n">
        <x:v>800.1071413692567</x:v>
      </x:c>
      <x:c r="CY28" s="23" t="n">
        <x:v>869.2954319967236</x:v>
      </x:c>
      <x:c r="CZ28" s="23" t="n">
        <x:v>889.3978790934266</x:v>
      </x:c>
      <x:c r="DA28" s="23" t="n">
        <x:v>926.6018306494185</x:v>
      </x:c>
      <x:c r="DB28" s="23" t="n">
        <x:v>968.8453854159634</x:v>
      </x:c>
      <x:c r="DC28" s="23" t="n">
        <x:v>1029.5252298176547</x:v>
      </x:c>
      <x:c r="DD28" s="23" t="n">
        <x:v>921.459336395143</x:v>
      </x:c>
      <x:c r="DE28" s="23" t="n">
        <x:v>719.0595703125</x:v>
      </x:c>
      <x:c r="DF28" s="23" t="n">
        <x:v>649.2733903752054</x:v>
      </x:c>
      <x:c r="DG28" s="23" t="n">
        <x:v>724.2308756510416</x:v>
      </x:c>
      <x:c r="DH28" s="23" t="n">
        <x:v>0</x:v>
      </x:c>
      <x:c r="DI28" s="23" t="n">
        <x:v>0</x:v>
      </x:c>
      <x:c r="DJ28" s="23" t="n">
        <x:v>722.2272135416666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725.1595865885416</x:v>
      </x:c>
      <x:c r="DQ28" s="23" t="n">
        <x:v>0</x:v>
      </x:c>
      <x:c r="DR28" s="23" t="n">
        <x:v>0</x:v>
      </x:c>
      <x:c r="DS28" s="23" t="n">
        <x:v>0</x:v>
      </x:c>
      <x:c r="DT28" s="23" t="n">
        <x:v>73.81755859375137</x:v>
      </x:c>
      <x:c r="DU28" s="23" t="n">
        <x:v>0</x:v>
      </x:c>
      <x:c r="DV28" s="23" t="n">
        <x:v>739.0817057291666</x:v>
      </x:c>
      <x:c r="DW28" s="23" t="n">
        <x:v>731.9593098958333</x:v>
      </x:c>
      <x:c r="DX28" s="23" t="n">
        <x:v>739.6126302083333</x:v>
      </x:c>
      <x:c r="DY28" s="23" t="n">
        <x:v>740.5341796875</x:v>
      </x:c>
      <x:c r="DZ28" s="23" t="n">
        <x:v>723.3926595052083</x:v>
      </x:c>
      <x:c r="EA28" s="23" t="n">
        <x:v>747.1828486718748</x:v>
      </x:c>
      <x:c r="EB28" s="23" t="n">
        <x:v>661.5900050556199</x:v>
      </x:c>
      <x:c r="EC28" s="23" t="n">
        <x:v>1402.4735514322915</x:v>
      </x:c>
      <x:c r="ED28" s="23" t="n">
        <x:v>1385.3031412760415</x:v>
      </x:c>
      <x:c r="EE28" s="23" t="n">
        <x:v>884.3476517288769</x:v>
      </x:c>
      <x:c r="EF28" s="23" t="n">
        <x:v>587.9390462239583</x:v>
      </x:c>
      <x:c r="EG28" s="23" t="n">
        <x:v>579.8894856770833</x:v>
      </x:c>
      <x:c r="EH28" s="23" t="n">
        <x:v>581.169921875</x:v>
      </x:c>
      <x:c r="EI28" s="23" t="n">
        <x:v>577.1497802734375</x:v>
      </x:c>
      <x:c r="EJ28" s="23" t="n">
        <x:v>579.0881754557291</x:v>
      </x:c>
      <x:c r="EK28" s="23" t="n">
        <x:v>563.4586181640625</x:v>
      </x:c>
      <x:c r="EL28" s="23" t="n">
        <x:v>1409.1493326822915</x:v>
      </x:c>
      <x:c r="EM28" s="23" t="n">
        <x:v>1404.904093424479</x:v>
      </x:c>
      <x:c r="EN28" s="23" t="n">
        <x:v>1334.445841471354</x:v>
      </x:c>
      <x:c r="EO28" s="23" t="n">
        <x:v>1259.955362955729</x:v>
      </x:c>
      <x:c r="EP28" s="23" t="n">
        <x:f>SUM(B28:EO28)</x:f>
        <x:v>73324.74049326235</x:v>
      </x:c>
      <x:c r="EQ28" s="23" t="n">
        <x:f>SUMPRODUCT(B28:EO28,{0.4121,0.404,0.4451,0.5076,0.4934,0.4343,0.4492,0.4269,0.3761,0.426,0.4774,0.4609,0.4095,0.4056,0.4501,0.4728,0.4866,0.4801,0.428,0.4263,0.4726,0.4662,0.434,0.4365,0.4994,0.5143,0.4807,0.4932,0.4683,0.4239,0.4725,0.5173,0.4742,0.4014,0.6353,1.0145,1.0228,0.9762,1.0346,1.0286,0.9549,0.8819,0.8755,0.8874,0.8328,0.7181,0.9206,1.3111,1.3501,1.2458,1.1894,1.1646,1.1662,1.1946,1.2305,1.1806,1.0767,1.0527,1.0743,1.0711,1.0049,0.9352,0.9196,0.94,0.796,0.5554,0.4999,0.5186,0.5215,0.526,0.4922,0.4351,0.4228,0.4508,0.4562,0.413,0.582,0.8848,0.9583,0.9404,0.9434,0.9364,0.9338,0.939,0.9425,0.9785,1.0523,1.1016,0.9681,0.7547,0.744,0.8085,0.8503,0.8873,0.863,0.8183,0.8704,0.9682,1.0197,0.9792,0.9734,1.0202,1.029,1.0768,1.1183,1.0403,1.1022,1.2716,1.2554,1.2553,1.3222,1.2905,1.2408,1.2356,1.2567,1.2931,1.317,1.2926,1.2337,1.2151,1.2986,1.3129,1.277,1.338,1.1803,0.8943,0.9117,0.9498,0.9122,0.952,0.7578,0.4201,0.3848,0.4405,0.4249,0.3923,0.3851,0.4055,0.4204,0.3987,0.3714,0.3945,0.3839,0.3235})</x:f>
        <x:v>46466.29244970151</x:v>
      </x:c>
    </x:row>
    <x:row r="29" ht="14" customHeight="1">
      <x:c r="A29" s="3">
        <x:v>45716</x:v>
      </x:c>
      <x:c r="B29" s="23" t="n">
        <x:v>1252.5681966145833</x:v>
      </x:c>
      <x:c r="C29" s="23" t="n">
        <x:v>413.7786458333333</x:v>
      </x:c>
      <x:c r="D29" s="23" t="n">
        <x:v>408.05224609375</x:v>
      </x:c>
      <x:c r="E29" s="23" t="n">
        <x:v>406.20853678385413</x:v>
      </x:c>
      <x:c r="F29" s="23" t="n">
        <x:v>432.08866373697913</x:v>
      </x:c>
      <x:c r="G29" s="23" t="n">
        <x:v>436.27775065104163</x:v>
      </x:c>
      <x:c r="H29" s="23" t="n">
        <x:v>1270.3972981770833</x:v>
      </x:c>
      <x:c r="I29" s="23" t="n">
        <x:v>730.9523062113221</x:v>
      </x:c>
      <x:c r="J29" s="23" t="n">
        <x:v>440.43107096354163</x:v>
      </x:c>
      <x:c r="K29" s="23" t="n">
        <x:v>429.9403889973958</x:v>
      </x:c>
      <x:c r="L29" s="23" t="n">
        <x:v>433.181396484375</x:v>
      </x:c>
      <x:c r="M29" s="23" t="n">
        <x:v>452.3094075520833</x:v>
      </x:c>
      <x:c r="N29" s="23" t="n">
        <x:v>460.67289225260413</x:v>
      </x:c>
      <x:c r="O29" s="23" t="n">
        <x:v>1306.4600423177083</x:v>
      </x:c>
      <x:c r="P29" s="23" t="n">
        <x:v>473.47245279947913</x:v>
      </x:c>
      <x:c r="Q29" s="23" t="n">
        <x:v>466.362548828125</x:v>
      </x:c>
      <x:c r="R29" s="23" t="n">
        <x:v>461.9141438802083</x:v>
      </x:c>
      <x:c r="S29" s="23" t="n">
        <x:v>475.5673421223958</x:v>
      </x:c>
      <x:c r="T29" s="23" t="n">
        <x:v>488.96659342447913</x:v>
      </x:c>
      <x:c r="U29" s="23" t="n">
        <x:v>511.3141682942708</x:v>
      </x:c>
      <x:c r="V29" s="23" t="n">
        <x:v>497.1990559895833</x:v>
      </x:c>
      <x:c r="W29" s="23" t="n">
        <x:v>517.884521484375</x:v>
      </x:c>
      <x:c r="X29" s="23" t="n">
        <x:v>480.6684163411458</x:v>
      </x:c>
      <x:c r="Y29" s="23" t="n">
        <x:v>508.4532470703125</x:v>
      </x:c>
      <x:c r="Z29" s="23" t="n">
        <x:v>484.48771158854163</x:v>
      </x:c>
      <x:c r="AA29" s="23" t="n">
        <x:v>492.12040201822913</x:v>
      </x:c>
      <x:c r="AB29" s="23" t="n">
        <x:v>0</x:v>
      </x:c>
      <x:c r="AC29" s="23" t="n">
        <x:v>493.7176513671875</x:v>
      </x:c>
      <x:c r="AD29" s="23" t="n">
        <x:v>526.9261474609375</x:v>
      </x:c>
      <x:c r="AE29" s="23" t="n">
        <x:v>522.3505045572916</x:v>
      </x:c>
      <x:c r="AF29" s="23" t="n">
        <x:v>492.12174479166663</x:v>
      </x:c>
      <x:c r="AG29" s="23" t="n">
        <x:v>493.24283854166663</x:v>
      </x:c>
      <x:c r="AH29" s="23" t="n">
        <x:v>528.5973307291666</x:v>
      </x:c>
      <x:c r="AI29" s="23" t="n">
        <x:v>0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7.277061713010577</x:v>
      </x:c>
      <x:c r="CS29" s="23" t="n">
        <x:v>60.83337394083658</x:v>
      </x:c>
      <x:c r="CT29" s="23" t="n">
        <x:v>127.32253443452569</x:v>
      </x:c>
      <x:c r="CU29" s="23" t="n">
        <x:v>166.28298370034787</x:v>
      </x:c>
      <x:c r="CV29" s="23" t="n">
        <x:v>208.540409535989</x:v>
      </x:c>
      <x:c r="CW29" s="23" t="n">
        <x:v>307.1087513563971</x:v>
      </x:c>
      <x:c r="CX29" s="23" t="n">
        <x:v>324.2904496684983</x:v>
      </x:c>
      <x:c r="CY29" s="23" t="n">
        <x:v>296.50289569813845</x:v>
      </x:c>
      <x:c r="CZ29" s="23" t="n">
        <x:v>344.4022252873109</x:v>
      </x:c>
      <x:c r="DA29" s="23" t="n">
        <x:v>396.17262071052994</x:v>
      </x:c>
      <x:c r="DB29" s="23" t="n">
        <x:v>434.7465315077486</x:v>
      </x:c>
      <x:c r="DC29" s="23" t="n">
        <x:v>446.6206724306991</x:v>
      </x:c>
      <x:c r="DD29" s="23" t="n">
        <x:v>146.4336218280102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462.7647705078125</x:v>
      </x:c>
      <x:c r="DX29" s="23" t="n">
        <x:v>464.3951009114583</x:v>
      </x:c>
      <x:c r="DY29" s="23" t="n">
        <x:v>460.3592122395833</x:v>
      </x:c>
      <x:c r="DZ29" s="23" t="n">
        <x:v>462.81005859375</x:v>
      </x:c>
      <x:c r="EA29" s="23" t="n">
        <x:v>468.23019549479164</x:v>
      </x:c>
      <x:c r="EB29" s="23" t="n">
        <x:v>467.5295003255208</x:v>
      </x:c>
      <x:c r="EC29" s="23" t="n">
        <x:v>1255.4219563802083</x:v>
      </x:c>
      <x:c r="ED29" s="23" t="n">
        <x:v>1263.2948404947915</x:v>
      </x:c>
      <x:c r="EE29" s="23" t="n">
        <x:v>429.0271809895833</x:v>
      </x:c>
      <x:c r="EF29" s="23" t="n">
        <x:v>417.94852701822913</x:v>
      </x:c>
      <x:c r="EG29" s="23" t="n">
        <x:v>420.02579752604163</x:v>
      </x:c>
      <x:c r="EH29" s="23" t="n">
        <x:v>422.9936116536458</x:v>
      </x:c>
      <x:c r="EI29" s="23" t="n">
        <x:v>416.50553385416663</x:v>
      </x:c>
      <x:c r="EJ29" s="23" t="n">
        <x:v>413.031982421875</x:v>
      </x:c>
      <x:c r="EK29" s="23" t="n">
        <x:v>1252.145548502604</x:v>
      </x:c>
      <x:c r="EL29" s="23" t="n">
        <x:v>1252.788818359375</x:v>
      </x:c>
      <x:c r="EM29" s="23" t="n">
        <x:v>1251.2487386067708</x:v>
      </x:c>
      <x:c r="EN29" s="23" t="n">
        <x:v>724.6142229255079</x:v>
      </x:c>
      <x:c r="EO29" s="23" t="n">
        <x:v>1241.245402018229</x:v>
      </x:c>
      <x:c r="EP29" s="23" t="n">
        <x:f>SUM(B29:EO29)</x:f>
        <x:v>34601.600794594706</x:v>
      </x:c>
      <x:c r="EQ29" s="23" t="n">
        <x:f>SUMPRODUCT(B29:EO29,{0.2924,0.3305,0.3714,0.317,0.317,0.3638,0.305,0.2839,0.3513,0.3995,0.3646,0.3106,0.3564,0.3861,0.3676,0.3797,0.3743,0.3455,0.3451,0.3537,0.3515,0.3402,0.3368,0.3448,0.3504,0.3375,0.3289,0.3652,0.4038,0.4054,0.3696,0.3491,0.3501,0.3613,0.5278,0.7597,0.7948,0.7707,0.7774,0.7731,0.7855,0.7946,0.7492,0.7363,0.7379,0.6732,0.7587,0.9518,0.9699,0.9051,0.8574,0.8345,0.8305,0.8385,0.852,0.8581,0.8319,0.7612,0.7219,0.7289,0.7243,0.6906,0.6709,0.6963,0.5676,0.3516,0.3335,0.3837,0.3969,0.3875,0.3265,0.2651,0.2951,0.3048,0.2612,0.2737,0.4864,0.7423,0.7228,0.6847,0.725,0.696,0.6934,0.7272,0.7011,0.691,0.7501,0.8273,0.7345,0.5184,0.4306,0.4688,0.5477,0.586,0.5828,0.5638,0.5581,0.5866,0.6576,0.7456,0.7368,0.6759,0.7192,0.7499,0.7069,0.6841,0.8773,1.1362,1.1079,1.0936,1.1619,1.0892,1.0731,1.1405,1.1118,1.0973,1.1281,1.1106,1.0708,1.0727,1.1457,1.1629,1.1264,1.1387,1.04,0.8543,0.7867,0.7693,0.79,0.8707,0.6857,0.3361,0.2788,0.3384,0.3248,0.2409,0.2551,0.3581,0.3738,0.3286,0.2892,0.293,0.3095,0.3135})</x:f>
        <x:v>14002.358640576489</x:v>
      </x:c>
    </x:row>
    <x:row r="30" ht="14" customHeight="1">
      <x:c r="A30" s="3">
        <x:v>45717</x:v>
      </x:c>
      <x:c r="B30" s="23" t="n">
        <x:v>1233.3826904296875</x:v>
      </x:c>
      <x:c r="C30" s="23" t="n">
        <x:v>1234.340861002604</x:v>
      </x:c>
      <x:c r="D30" s="23" t="n">
        <x:v>394.4102783203125</x:v>
      </x:c>
      <x:c r="E30" s="23" t="n">
        <x:v>420.4945882161458</x:v>
      </x:c>
      <x:c r="F30" s="23" t="n">
        <x:v>426.5548909505208</x:v>
      </x:c>
      <x:c r="G30" s="23" t="n">
        <x:v>441.26676432291663</x:v>
      </x:c>
      <x:c r="H30" s="23" t="n">
        <x:v>441.4521484375</x:v>
      </x:c>
      <x:c r="I30" s="23" t="n">
        <x:v>445.6009521484375</x:v>
      </x:c>
      <x:c r="J30" s="23" t="n">
        <x:v>435.7677815755208</x:v>
      </x:c>
      <x:c r="K30" s="23" t="n">
        <x:v>433.9560546875</x:v>
      </x:c>
      <x:c r="L30" s="23" t="n">
        <x:v>440.7161865234375</x:v>
      </x:c>
      <x:c r="M30" s="23" t="n">
        <x:v>432.09159342447913</x:v>
      </x:c>
      <x:c r="N30" s="23" t="n">
        <x:v>445.5865478515625</x:v>
      </x:c>
      <x:c r="O30" s="23" t="n">
        <x:v>469.6637776692708</x:v>
      </x:c>
      <x:c r="P30" s="23" t="n">
        <x:v>474.0908203125</x:v>
      </x:c>
      <x:c r="Q30" s="23" t="n">
        <x:v>471.18310546875</x:v>
      </x:c>
      <x:c r="R30" s="23" t="n">
        <x:v>470.88916015625</x:v>
      </x:c>
      <x:c r="S30" s="23" t="n">
        <x:v>467.7593587239583</x:v>
      </x:c>
      <x:c r="T30" s="23" t="n">
        <x:v>469.7320556640625</x:v>
      </x:c>
      <x:c r="U30" s="23" t="n">
        <x:v>482.60721842447913</x:v>
      </x:c>
      <x:c r="V30" s="23" t="n">
        <x:v>480.04541015625</x:v>
      </x:c>
      <x:c r="W30" s="23" t="n">
        <x:v>481.10489908854163</x:v>
      </x:c>
      <x:c r="X30" s="23" t="n">
        <x:v>486.28251139322913</x:v>
      </x:c>
      <x:c r="Y30" s="23" t="n">
        <x:v>482.6719970703125</x:v>
      </x:c>
      <x:c r="Z30" s="23" t="n">
        <x:v>482.4317626953125</x:v>
      </x:c>
      <x:c r="AA30" s="23" t="n">
        <x:v>473.9995930989583</x:v>
      </x:c>
      <x:c r="AB30" s="23" t="n">
        <x:v>474.9454345703125</x:v>
      </x:c>
      <x:c r="AC30" s="23" t="n">
        <x:v>476.593017578125</x:v>
      </x:c>
      <x:c r="AD30" s="23" t="n">
        <x:v>491.2902425130208</x:v>
      </x:c>
      <x:c r="AE30" s="23" t="n">
        <x:v>490.81522623697913</x:v>
      </x:c>
      <x:c r="AF30" s="23" t="n">
        <x:v>497.8479817708333</x:v>
      </x:c>
      <x:c r="AG30" s="23" t="n">
        <x:v>498.5949300130208</x:v>
      </x:c>
      <x:c r="AH30" s="23" t="n">
        <x:v>101.25754923971847</x:v>
      </x:c>
      <x:c r="AI30" s="23" t="n">
        <x:v>497.4510498046875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18.559051533400027</x:v>
      </x:c>
      <x:c r="CS30" s="23" t="n">
        <x:v>83.94568523468948</x:v>
      </x:c>
      <x:c r="CT30" s="23" t="n">
        <x:v>112.77442193031811</x:v>
      </x:c>
      <x:c r="CU30" s="23" t="n">
        <x:v>158.10036721717148</x:v>
      </x:c>
      <x:c r="CV30" s="23" t="n">
        <x:v>218.79928193931522</x:v>
      </x:c>
      <x:c r="CW30" s="23" t="n">
        <x:v>311.87411920273155</x:v>
      </x:c>
      <x:c r="CX30" s="23" t="n">
        <x:v>336.7249283928096</x:v>
      </x:c>
      <x:c r="CY30" s="23" t="n">
        <x:v>297.41687173105504</x:v>
      </x:c>
      <x:c r="CZ30" s="23" t="n">
        <x:v>339.700932215879</x:v>
      </x:c>
      <x:c r="DA30" s="23" t="n">
        <x:v>390.9874259172437</x:v>
      </x:c>
      <x:c r="DB30" s="23" t="n">
        <x:v>430.5258379371894</x:v>
      </x:c>
      <x:c r="DC30" s="23" t="n">
        <x:v>442.76977874651226</x:v>
      </x:c>
      <x:c r="DD30" s="23" t="n">
        <x:v>138.11317813047498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459.4412434895833</x:v>
      </x:c>
      <x:c r="DX30" s="23" t="n">
        <x:v>477.47526041666663</x:v>
      </x:c>
      <x:c r="DY30" s="23" t="n">
        <x:v>481.20926920572913</x:v>
      </x:c>
      <x:c r="DZ30" s="23" t="n">
        <x:v>470.0074055989583</x:v>
      </x:c>
      <x:c r="EA30" s="23" t="n">
        <x:v>444.94285062934034</x:v>
      </x:c>
      <x:c r="EB30" s="23" t="n">
        <x:v>450.781868203125</x:v>
      </x:c>
      <x:c r="EC30" s="23" t="n">
        <x:v>458.57771208686984</x:v>
      </x:c>
      <x:c r="ED30" s="23" t="n">
        <x:v>1215.261962890625</x:v>
      </x:c>
      <x:c r="EE30" s="23" t="n">
        <x:v>384.68497721354163</x:v>
      </x:c>
      <x:c r="EF30" s="23" t="n">
        <x:v>1246.2252197265625</x:v>
      </x:c>
      <x:c r="EG30" s="23" t="n">
        <x:v>1239.7256673177083</x:v>
      </x:c>
      <x:c r="EH30" s="23" t="n">
        <x:v>1233.176798502604</x:v>
      </x:c>
      <x:c r="EI30" s="23" t="n">
        <x:v>401.78727213541663</x:v>
      </x:c>
      <x:c r="EJ30" s="23" t="n">
        <x:v>402.075439453125</x:v>
      </x:c>
      <x:c r="EK30" s="23" t="n">
        <x:v>1245.8383382161458</x:v>
      </x:c>
      <x:c r="EL30" s="23" t="n">
        <x:v>1239.5938720703125</x:v>
      </x:c>
      <x:c r="EM30" s="23" t="n">
        <x:v>1224.132120768229</x:v>
      </x:c>
      <x:c r="EN30" s="23" t="n">
        <x:v>433.48002115885413</x:v>
      </x:c>
      <x:c r="EO30" s="23" t="n">
        <x:v>0</x:v>
      </x:c>
      <x:c r="EP30" s="23" t="n">
        <x:f>SUM(B30:EO30)</x:f>
        <x:v>33735.58761875138</x:v>
      </x:c>
      <x:c r="EQ30" s="23" t="n">
        <x:f>SUMPRODUCT(B30:EO30,{0.3078,0.3173,0.3389,0.3436,0.3291,0.3081,0.3022,0.3383,0.3831,0.3706,0.345,0.3242,0.2938,0.3226,0.3811,0.3636,0.3342,0.3263,0.311,0.3055,0.3049,0.2902,0.3164,0.3766,0.3972,0.3627,0.3274,0.3604,0.3773,0.3507,0.3421,0.3788,0.3911,0.3183,0.4638,0.7652,0.83,0.7716,0.7324,0.7346,0.7333,0.7255,0.7442,0.7358,0.6772,0.6297,0.7663,0.9829,0.9813,0.9029,0.8679,0.868,0.9153,0.9531,0.8947,0.8313,0.8121,0.8009,0.7695,0.7493,0.7858,0.7644,0.7122,0.7473,0.6356,0.3986,0.3198,0.3509,0.3698,0.3109,0.281,0.3012,0.2958,0.3095,0.3098,0.2405,0.3713,0.6281,0.6437,0.5748,0.5676,0.6125,0.6665,0.7042,0.726,0.7346,0.7484,0.7635,0.6382,0.4601,0.473,0.5013,0.4958,0.5737,0.5908,0.5587,0.6386,0.698,0.6879,0.6918,0.6872,0.682,0.722,0.7732,0.7813,0.7435,0.8499,1.0579,1.1266,1.1384,1.1459,1.112,1.0962,1.1099,1.1094,1.1229,1.1396,1.119,1.1282,1.1576,1.1292,1.1059,1.1244,1.1359,1.0122,0.8384,0.8322,0.8228,0.7849,0.8295,0.6544,0.3293,0.2626,0.311,0.3202,0.2918,0.3176,0.3669,0.327,0.3251,0.366,0.3324,0.3452,0.419})</x:f>
        <x:v>13713.91517012136</x:v>
      </x:c>
    </x:row>
    <x:row r="31" ht="14" customHeight="1">
      <x:c r="A31" s="3">
        <x:v>45718</x:v>
      </x:c>
      <x:c r="B31" s="23" t="n">
        <x:v>604.2208658854166</x:v>
      </x:c>
      <x:c r="C31" s="23" t="n">
        <x:v>575.7142333984375</x:v>
      </x:c>
      <x:c r="D31" s="23" t="n">
        <x:v>568.5403645833333</x:v>
      </x:c>
      <x:c r="E31" s="23" t="n">
        <x:v>584.7527669270833</x:v>
      </x:c>
      <x:c r="F31" s="23" t="n">
        <x:v>582.63720703125</x:v>
      </x:c>
      <x:c r="G31" s="23" t="n">
        <x:v>564.5302734375</x:v>
      </x:c>
      <x:c r="H31" s="23" t="n">
        <x:v>1417.489298502604</x:v>
      </x:c>
      <x:c r="I31" s="23" t="n">
        <x:v>1419.2867431640625</x:v>
      </x:c>
      <x:c r="J31" s="23" t="n">
        <x:v>597.4954833984375</x:v>
      </x:c>
      <x:c r="K31" s="23" t="n">
        <x:v>1431.8229573567708</x:v>
      </x:c>
      <x:c r="L31" s="23" t="n">
        <x:v>1424.849650065104</x:v>
      </x:c>
      <x:c r="M31" s="23" t="n">
        <x:v>1417.7513427734375</x:v>
      </x:c>
      <x:c r="N31" s="23" t="n">
        <x:v>1415.4154866536458</x:v>
      </x:c>
      <x:c r="O31" s="23" t="n">
        <x:v>591.5840657552083</x:v>
      </x:c>
      <x:c r="P31" s="23" t="n">
        <x:v>612.312255859375</x:v>
      </x:c>
      <x:c r="Q31" s="23" t="n">
        <x:v>613.6153564453125</x:v>
      </x:c>
      <x:c r="R31" s="23" t="n">
        <x:v>607.2799479166666</x:v>
      </x:c>
      <x:c r="S31" s="23" t="n">
        <x:v>599.0533854166666</x:v>
      </x:c>
      <x:c r="T31" s="23" t="n">
        <x:v>596.2593180338541</x:v>
      </x:c>
      <x:c r="U31" s="23" t="n">
        <x:v>600.2779541015625</x:v>
      </x:c>
      <x:c r="V31" s="23" t="n">
        <x:v>982.3368255889833</x:v>
      </x:c>
      <x:c r="W31" s="23" t="n">
        <x:v>636.6815999348958</x:v>
      </x:c>
      <x:c r="X31" s="23" t="n">
        <x:v>623.6033528645833</x:v>
      </x:c>
      <x:c r="Y31" s="23" t="n">
        <x:v>611.87548828125</x:v>
      </x:c>
      <x:c r="Z31" s="23" t="n">
        <x:v>635.6424967447916</x:v>
      </x:c>
      <x:c r="AA31" s="23" t="n">
        <x:v>645.8664143880208</x:v>
      </x:c>
      <x:c r="AB31" s="23" t="n">
        <x:v>651.1141764322916</x:v>
      </x:c>
      <x:c r="AC31" s="23" t="n">
        <x:v>651.49560546875</x:v>
      </x:c>
      <x:c r="AD31" s="23" t="n">
        <x:v>641.924072265625</x:v>
      </x:c>
      <x:c r="AE31" s="23" t="n">
        <x:v>640.1536051432291</x:v>
      </x:c>
      <x:c r="AF31" s="23" t="n">
        <x:v>644.7917073567708</x:v>
      </x:c>
      <x:c r="AG31" s="23" t="n">
        <x:v>680.0224202473958</x:v>
      </x:c>
      <x:c r="AH31" s="23" t="n">
        <x:v>683.447265625</x:v>
      </x:c>
      <x:c r="AI31" s="23" t="n">
        <x:v>652.2391764322916</x:v>
      </x:c>
      <x:c r="AJ31" s="23" t="n">
        <x:v>706.3377462897615</x:v>
      </x:c>
      <x:c r="AK31" s="23" t="n">
        <x:v>202.49106488715293</x:v>
      </x:c>
      <x:c r="AL31" s="23" t="n">
        <x:v>198.1650731469953</x:v>
      </x:c>
      <x:c r="AM31" s="23" t="n">
        <x:v>180.34370721100123</x:v>
      </x:c>
      <x:c r="AN31" s="23" t="n">
        <x:v>191.15520804184172</x:v>
      </x:c>
      <x:c r="AO31" s="23" t="n">
        <x:v>161.7700024673204</x:v>
      </x:c>
      <x:c r="AP31" s="23" t="n">
        <x:v>746.1991896666098</x:v>
      </x:c>
      <x:c r="AQ31" s="23" t="n">
        <x:v>688.8076619518204</x:v>
      </x:c>
      <x:c r="AR31" s="23" t="n">
        <x:v>531.5278633924289</x:v>
      </x:c>
      <x:c r="AS31" s="23" t="n">
        <x:v>593.2904692974222</x:v>
      </x:c>
      <x:c r="AT31" s="23" t="n">
        <x:v>535.9929611810571</x:v>
      </x:c>
      <x:c r="AU31" s="23" t="n">
        <x:v>482.78920275397695</x:v>
      </x:c>
      <x:c r="AV31" s="23" t="n">
        <x:v>0</x:v>
      </x:c>
      <x:c r="AW31" s="23" t="n">
        <x:v>161.3472565352753</x:v>
      </x:c>
      <x:c r="AX31" s="23" t="n">
        <x:v>105.66699011926553</x:v>
      </x:c>
      <x:c r="AY31" s="23" t="n">
        <x:v>4.070154315291423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743.0882794737902</x:v>
      </x:c>
      <x:c r="BP31" s="23" t="n">
        <x:v>710.7910268148992</x:v>
      </x:c>
      <x:c r="BQ31" s="23" t="n">
        <x:v>664.5057781571687</x:v>
      </x:c>
      <x:c r="BR31" s="23" t="n">
        <x:v>667.6685679386651</x:v>
      </x:c>
      <x:c r="BS31" s="23" t="n">
        <x:v>679.6411814492815</x:v>
      </x:c>
      <x:c r="BT31" s="23" t="n">
        <x:v>653.5907033138079</x:v>
      </x:c>
      <x:c r="BU31" s="23" t="n">
        <x:v>586.6254798145299</x:v>
      </x:c>
      <x:c r="BV31" s="23" t="n">
        <x:v>570.8655159266938</x:v>
      </x:c>
      <x:c r="BW31" s="23" t="n">
        <x:v>589.0097047245843</x:v>
      </x:c>
      <x:c r="BX31" s="23" t="n">
        <x:v>608.7677866907713</x:v>
      </x:c>
      <x:c r="BY31" s="23" t="n">
        <x:v>612.3735260468025</x:v>
      </x:c>
      <x:c r="BZ31" s="23" t="n">
        <x:v>199.1827865962655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227.9508230487948</x:v>
      </x:c>
      <x:c r="CN31" s="23" t="n">
        <x:v>740.9997622911443</x:v>
      </x:c>
      <x:c r="CO31" s="23" t="n">
        <x:v>311.46879814116784</x:v>
      </x:c>
      <x:c r="CP31" s="23" t="n">
        <x:v>367.3343149159876</x:v>
      </x:c>
      <x:c r="CQ31" s="23" t="n">
        <x:v>424.834593730642</x:v>
      </x:c>
      <x:c r="CR31" s="23" t="n">
        <x:v>467.7144199387342</x:v>
      </x:c>
      <x:c r="CS31" s="23" t="n">
        <x:v>513.3503115719386</x:v>
      </x:c>
      <x:c r="CT31" s="23" t="n">
        <x:v>577.1222495972115</x:v>
      </x:c>
      <x:c r="CU31" s="23" t="n">
        <x:v>639.6489209963063</x:v>
      </x:c>
      <x:c r="CV31" s="23" t="n">
        <x:v>683.3742874984439</x:v>
      </x:c>
      <x:c r="CW31" s="23" t="n">
        <x:v>739.956776947584</x:v>
      </x:c>
      <x:c r="CX31" s="23" t="n">
        <x:v>799.6490835468514</x:v>
      </x:c>
      <x:c r="CY31" s="23" t="n">
        <x:v>857.2996639210462</x:v>
      </x:c>
      <x:c r="CZ31" s="23" t="n">
        <x:v>893.4172928363838</x:v>
      </x:c>
      <x:c r="DA31" s="23" t="n">
        <x:v>947.5921535736571</x:v>
      </x:c>
      <x:c r="DB31" s="23" t="n">
        <x:v>988.8011039115793</x:v>
      </x:c>
      <x:c r="DC31" s="23" t="n">
        <x:v>996.6164038687014</x:v>
      </x:c>
      <x:c r="DD31" s="23" t="n">
        <x:v>898.9454805232106</x:v>
      </x:c>
      <x:c r="DE31" s="23" t="n">
        <x:v>712.7147623697916</x:v>
      </x:c>
      <x:c r="DF31" s="23" t="n">
        <x:v>670.7467300661224</x:v>
      </x:c>
      <x:c r="DG31" s="23" t="n">
        <x:v>720.057373046875</x:v>
      </x:c>
      <x:c r="DH31" s="23" t="n">
        <x:v>56.44221137152795</x:v>
      </x:c>
      <x:c r="DI31" s="23" t="n">
        <x:v>22.168433888889012</x:v>
      </x:c>
      <x:c r="DJ31" s="23" t="n">
        <x:v>719.3169759114583</x:v>
      </x:c>
      <x:c r="DK31" s="23" t="n">
        <x:v>68.03738509114592</x:v>
      </x:c>
      <x:c r="DL31" s="23" t="n">
        <x:v>42.70425597222235</x:v>
      </x:c>
      <x:c r="DM31" s="23" t="n">
        <x:v>9.503604648437582</x:v>
      </x:c>
      <x:c r="DN31" s="23" t="n">
        <x:v>20.541328993055686</x:v>
      </x:c>
      <x:c r="DO31" s="23" t="n">
        <x:v>55.44488615885423</x:v>
      </x:c>
      <x:c r="DP31" s="23" t="n">
        <x:v>58.831352378472275</x:v>
      </x:c>
      <x:c r="DQ31" s="23" t="n">
        <x:v>21.46936143663197</x:v>
      </x:c>
      <x:c r="DR31" s="23" t="n">
        <x:v>1.2177079774307153</x:v>
      </x:c>
      <x:c r="DS31" s="23" t="n">
        <x:v>39.91410513888892</x:v>
      </x:c>
      <x:c r="DT31" s="23" t="n">
        <x:v>500.1863858246514</x:v>
      </x:c>
      <x:c r="DU31" s="23" t="n">
        <x:v>61.38200513888902</x:v>
      </x:c>
      <x:c r="DV31" s="23" t="n">
        <x:v>662.9598289409724</x:v>
      </x:c>
      <x:c r="DW31" s="23" t="n">
        <x:v>713.3515234575937</x:v>
      </x:c>
      <x:c r="DX31" s="23" t="n">
        <x:v>738.5065688148362</x:v>
      </x:c>
      <x:c r="DY31" s="23" t="n">
        <x:v>726.2654622395833</x:v>
      </x:c>
      <x:c r="DZ31" s="23" t="n">
        <x:v>729.1473795572916</x:v>
      </x:c>
      <x:c r="EA31" s="23" t="n">
        <x:v>707.4774224131945</x:v>
      </x:c>
      <x:c r="EB31" s="23" t="n">
        <x:v>673.8522361979167</x:v>
      </x:c>
      <x:c r="EC31" s="23" t="n">
        <x:v>1393.8907470703125</x:v>
      </x:c>
      <x:c r="ED31" s="23" t="n">
        <x:v>1346.6451416015625</x:v>
      </x:c>
      <x:c r="EE31" s="23" t="n">
        <x:v>544.2401936848958</x:v>
      </x:c>
      <x:c r="EF31" s="23" t="n">
        <x:v>1377.7528483072915</x:v>
      </x:c>
      <x:c r="EG31" s="23" t="n">
        <x:v>1370.0288899739583</x:v>
      </x:c>
      <x:c r="EH31" s="23" t="n">
        <x:v>535.4071858723958</x:v>
      </x:c>
      <x:c r="EI31" s="23" t="n">
        <x:v>549.182373046875</x:v>
      </x:c>
      <x:c r="EJ31" s="23" t="n">
        <x:v>1382.700236002604</x:v>
      </x:c>
      <x:c r="EK31" s="23" t="n">
        <x:v>1388.735880533854</x:v>
      </x:c>
      <x:c r="EL31" s="23" t="n">
        <x:v>576.538818359375</x:v>
      </x:c>
      <x:c r="EM31" s="23" t="n">
        <x:v>573.7752685546875</x:v>
      </x:c>
      <x:c r="EN31" s="23" t="n">
        <x:v>553.3534342447916</x:v>
      </x:c>
      <x:c r="EO31" s="23" t="n">
        <x:v>726.7939141830634</x:v>
      </x:c>
      <x:c r="EP31" s="23" t="n">
        <x:f>SUM(B31:EO31)</x:f>
        <x:v>72109.50871101388</x:v>
      </x:c>
      <x:c r="EQ31" s="23" t="n">
        <x:f>SUMPRODUCT(B31:EO31,{0.4345,0.4075,0.3918,0.4156,0.4014,0.3696,0.4162,0.4492,0.4376,0.4399,0.4355,0.4131,0.3926,0.3959,0.4369,0.5034,0.5121,0.4624,0.4362,0.4431,0.4488,0.4243,0.4531,0.5167,0.5034,0.4469,0.4171,0.4482,0.4433,0.415,0.4617,0.465,0.3993,0.4002,0.6392,0.9597,1.0117,0.9991,1.0171,0.9584,0.9071,0.9076,0.9139,0.8773,0.7859,0.7144,0.9172,1.2539,1.2978,1.2273,1.2075,1.2227,1.2137,1.1639,1.1049,1.0558,1.0269,1.0211,1.0299,1.0261,0.9835,0.9435,0.9561,1.0099,0.8958,0.6786,0.6375,0.6251,0.5609,0.527,0.5429,0.5674,0.5532,0.5975,0.6621,0.6308,0.7482,0.9878,1.0547,1.0278,1.0139,1.035,1.0587,1.0763,1.1034,1.1066,1.1197,1.1791,1.0285,0.7653,0.7652,0.8171,0.8161,0.8719,0.9272,0.9292,0.8926,0.9011,0.9678,1.0262,1.0454,1.0337,1.0317,1.0879,1.1569,1.1488,1.1704,1.2532,1.3111,1.2922,1.2336,1.227,1.2645,1.2931,1.2727,1.2829,1.2942,1.2111,1.2226,1.3106,1.2644,1.2177,1.2453,1.2599,1.1268,0.9416,0.94,0.9636,0.9757,1.04,0.7559,0.3093,0.3309,0.4301,0.3959,0.4001,0.3834,0.3574,0.4147,0.4451,0.4258,0.4418,0.4506,0.4218})</x:f>
        <x:v>47119.54606916024</x:v>
      </x:c>
    </x:row>
    <x:row r="32" ht="14" customHeight="1">
      <x:c r="A32" s="3">
        <x:v>45719</x:v>
      </x:c>
      <x:c r="B32" s="23" t="n">
        <x:v>1396.6100667317708</x:v>
      </x:c>
      <x:c r="C32" s="23" t="n">
        <x:v>1390.156290690104</x:v>
      </x:c>
      <x:c r="D32" s="23" t="n">
        <x:v>564.0230712890625</x:v>
      </x:c>
      <x:c r="E32" s="23" t="n">
        <x:v>581.0480143229166</x:v>
      </x:c>
      <x:c r="F32" s="23" t="n">
        <x:v>585.866943359375</x:v>
      </x:c>
      <x:c r="G32" s="23" t="n">
        <x:v>584.141845703125</x:v>
      </x:c>
      <x:c r="H32" s="23" t="n">
        <x:v>1418.1375325520833</x:v>
      </x:c>
      <x:c r="I32" s="23" t="n">
        <x:v>587.688232421875</x:v>
      </x:c>
      <x:c r="J32" s="23" t="n">
        <x:v>581.4398193359375</x:v>
      </x:c>
      <x:c r="K32" s="23" t="n">
        <x:v>581.0900065104166</x:v>
      </x:c>
      <x:c r="L32" s="23" t="n">
        <x:v>589.7886555989583</x:v>
      </x:c>
      <x:c r="M32" s="23" t="n">
        <x:v>584.0155843098958</x:v>
      </x:c>
      <x:c r="N32" s="23" t="n">
        <x:v>598.2266031901041</x:v>
      </x:c>
      <x:c r="O32" s="23" t="n">
        <x:v>606.8211263020833</x:v>
      </x:c>
      <x:c r="P32" s="23" t="n">
        <x:v>609.8667399088541</x:v>
      </x:c>
      <x:c r="Q32" s="23" t="n">
        <x:v>1153.2994203261637</x:v>
      </x:c>
      <x:c r="R32" s="23" t="n">
        <x:v>590.8964436848958</x:v>
      </x:c>
      <x:c r="S32" s="23" t="n">
        <x:v>611.0257161458333</x:v>
      </x:c>
      <x:c r="T32" s="23" t="n">
        <x:v>620.6048990885416</x:v>
      </x:c>
      <x:c r="U32" s="23" t="n">
        <x:v>627.0743815104166</x:v>
      </x:c>
      <x:c r="V32" s="23" t="n">
        <x:v>619.45263671875</x:v>
      </x:c>
      <x:c r="W32" s="23" t="n">
        <x:v>615.6463623046875</x:v>
      </x:c>
      <x:c r="X32" s="23" t="n">
        <x:v>618.0313720703125</x:v>
      </x:c>
      <x:c r="Y32" s="23" t="n">
        <x:v>629.8235270182291</x:v>
      </x:c>
      <x:c r="Z32" s="23" t="n">
        <x:v>637.3801676432291</x:v>
      </x:c>
      <x:c r="AA32" s="23" t="n">
        <x:v>645.0292154947916</x:v>
      </x:c>
      <x:c r="AB32" s="23" t="n">
        <x:v>645.5645751953125</x:v>
      </x:c>
      <x:c r="AC32" s="23" t="n">
        <x:v>630.4658610026041</x:v>
      </x:c>
      <x:c r="AD32" s="23" t="n">
        <x:v>1461.641642252604</x:v>
      </x:c>
      <x:c r="AE32" s="23" t="n">
        <x:v>629.3607991536458</x:v>
      </x:c>
      <x:c r="AF32" s="23" t="n">
        <x:v>634.2389322916666</x:v>
      </x:c>
      <x:c r="AG32" s="23" t="n">
        <x:v>633.494873046875</x:v>
      </x:c>
      <x:c r="AH32" s="23" t="n">
        <x:v>1468.0457763671875</x:v>
      </x:c>
      <x:c r="AI32" s="23" t="n">
        <x:v>1465.037353515625</x:v>
      </x:c>
      <x:c r="AJ32" s="23" t="n">
        <x:v>684.7895690278708</x:v>
      </x:c>
      <x:c r="AK32" s="23" t="n">
        <x:v>47.348878906250015</x:v>
      </x:c>
      <x:c r="AL32" s="23" t="n">
        <x:v>18.209430008509266</x:v>
      </x:c>
      <x:c r="AM32" s="23" t="n">
        <x:v>15.397301633794237</x:v>
      </x:c>
      <x:c r="AN32" s="23" t="n">
        <x:v>0.06232646668316495</x:v>
      </x:c>
      <x:c r="AO32" s="23" t="n">
        <x:v>0</x:v>
      </x:c>
      <x:c r="AP32" s="23" t="n">
        <x:v>0</x:v>
      </x:c>
      <x:c r="AQ32" s="23" t="n">
        <x:v>690.231539403506</x:v>
      </x:c>
      <x:c r="AR32" s="23" t="n">
        <x:v>628.4922033667123</x:v>
      </x:c>
      <x:c r="AS32" s="23" t="n">
        <x:v>565.6901050354902</x:v>
      </x:c>
      <x:c r="AT32" s="23" t="n">
        <x:v>457.7684026903703</x:v>
      </x:c>
      <x:c r="AU32" s="23" t="n">
        <x:v>879.0706622982445</x:v>
      </x:c>
      <x:c r="AV32" s="23" t="n">
        <x:v>445.81553352196715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739.6321690046998</x:v>
      </x:c>
      <x:c r="BP32" s="23" t="n">
        <x:v>697.3660740531557</x:v>
      </x:c>
      <x:c r="BQ32" s="23" t="n">
        <x:v>679.4103326851578</x:v>
      </x:c>
      <x:c r="BR32" s="23" t="n">
        <x:v>668.5267482374181</x:v>
      </x:c>
      <x:c r="BS32" s="23" t="n">
        <x:v>684.3176751381166</x:v>
      </x:c>
      <x:c r="BT32" s="23" t="n">
        <x:v>645.661514427457</x:v>
      </x:c>
      <x:c r="BU32" s="23" t="n">
        <x:v>612.5263062224341</x:v>
      </x:c>
      <x:c r="BV32" s="23" t="n">
        <x:v>607.4182830947245</x:v>
      </x:c>
      <x:c r="BW32" s="23" t="n">
        <x:v>617.7012236602857</x:v>
      </x:c>
      <x:c r="BX32" s="23" t="n">
        <x:v>630.6658815160473</x:v>
      </x:c>
      <x:c r="BY32" s="23" t="n">
        <x:v>626.5061143014707</x:v>
      </x:c>
      <x:c r="BZ32" s="23" t="n">
        <x:v>610.8057669024668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230.99910191169465</x:v>
      </x:c>
      <x:c r="CN32" s="23" t="n">
        <x:v>975.898147827747</x:v>
      </x:c>
      <x:c r="CO32" s="23" t="n">
        <x:v>319.17880455756705</x:v>
      </x:c>
      <x:c r="CP32" s="23" t="n">
        <x:v>367.07165024023163</x:v>
      </x:c>
      <x:c r="CQ32" s="23" t="n">
        <x:v>426.64267912314654</x:v>
      </x:c>
      <x:c r="CR32" s="23" t="n">
        <x:v>479.67075571405877</x:v>
      </x:c>
      <x:c r="CS32" s="23" t="n">
        <x:v>517.904086839778</x:v>
      </x:c>
      <x:c r="CT32" s="23" t="n">
        <x:v>567.7165763058072</x:v>
      </x:c>
      <x:c r="CU32" s="23" t="n">
        <x:v>624.8618794666336</x:v>
      </x:c>
      <x:c r="CV32" s="23" t="n">
        <x:v>685.7980384177023</x:v>
      </x:c>
      <x:c r="CW32" s="23" t="n">
        <x:v>740.9317671249485</x:v>
      </x:c>
      <x:c r="CX32" s="23" t="n">
        <x:v>795.3229900053085</x:v>
      </x:c>
      <x:c r="CY32" s="23" t="n">
        <x:v>848.1973215563751</x:v>
      </x:c>
      <x:c r="CZ32" s="23" t="n">
        <x:v>903.4297269423464</x:v>
      </x:c>
      <x:c r="DA32" s="23" t="n">
        <x:v>941.9820000606801</x:v>
      </x:c>
      <x:c r="DB32" s="23" t="n">
        <x:v>989.1945481347705</x:v>
      </x:c>
      <x:c r="DC32" s="23" t="n">
        <x:v>1030.9706099795917</x:v>
      </x:c>
      <x:c r="DD32" s="23" t="n">
        <x:v>909.9787574541524</x:v>
      </x:c>
      <x:c r="DE32" s="23" t="n">
        <x:v>694.5394694010416</x:v>
      </x:c>
      <x:c r="DF32" s="23" t="n">
        <x:v>692.5778904047465</x:v>
      </x:c>
      <x:c r="DG32" s="23" t="n">
        <x:v>717.2664388020833</x:v>
      </x:c>
      <x:c r="DH32" s="23" t="n">
        <x:v>710.8749186197916</x:v>
      </x:c>
      <x:c r="DI32" s="23" t="n">
        <x:v>0</x:v>
      </x:c>
      <x:c r="DJ32" s="23" t="n">
        <x:v>21.487566718751168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715.219482421875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720.1298828125</x:v>
      </x:c>
      <x:c r="DW32" s="23" t="n">
        <x:v>720.7206217447916</x:v>
      </x:c>
      <x:c r="DX32" s="23" t="n">
        <x:v>722.5696614583333</x:v>
      </x:c>
      <x:c r="DY32" s="23" t="n">
        <x:v>723.8496445553625</x:v>
      </x:c>
      <x:c r="DZ32" s="23" t="n">
        <x:v>728.1678059895833</x:v>
      </x:c>
      <x:c r="EA32" s="23" t="n">
        <x:v>756.1204135937501</x:v>
      </x:c>
      <x:c r="EB32" s="23" t="n">
        <x:v>676.7666015625</x:v>
      </x:c>
      <x:c r="EC32" s="23" t="n">
        <x:v>852.107875269258</x:v>
      </x:c>
      <x:c r="ED32" s="23" t="n">
        <x:v>1372.9580891927083</x:v>
      </x:c>
      <x:c r="EE32" s="23" t="n">
        <x:v>1381.0420735677083</x:v>
      </x:c>
      <x:c r="EF32" s="23" t="n">
        <x:v>536.7820638020833</x:v>
      </x:c>
      <x:c r="EG32" s="23" t="n">
        <x:v>1382.970458984375</x:v>
      </x:c>
      <x:c r="EH32" s="23" t="n">
        <x:v>1385.6610921223958</x:v>
      </x:c>
      <x:c r="EI32" s="23" t="n">
        <x:v>551.8576253255208</x:v>
      </x:c>
      <x:c r="EJ32" s="23" t="n">
        <x:v>560.6428629557291</x:v>
      </x:c>
      <x:c r="EK32" s="23" t="n">
        <x:v>574.6934407552083</x:v>
      </x:c>
      <x:c r="EL32" s="23" t="n">
        <x:v>1409.319864908854</x:v>
      </x:c>
      <x:c r="EM32" s="23" t="n">
        <x:v>1404.6289876302083</x:v>
      </x:c>
      <x:c r="EN32" s="23" t="n">
        <x:v>568.5381266276041</x:v>
      </x:c>
      <x:c r="EO32" s="23" t="n">
        <x:v>565.7936197916666</x:v>
      </x:c>
      <x:c r="EP32" s="23" t="n">
        <x:f>SUM(B32:EO32)</x:f>
        <x:v>71951.48454934175</x:v>
      </x:c>
      <x:c r="EQ32" s="23" t="n">
        <x:f>SUMPRODUCT(B32:EO32,{0.3818,0.3982,0.44,0.4118,0.3931,0.4214,0.4488,0.4343,0.4196,0.4787,0.5006,0.4519,0.4118,0.4092,0.4292,0.4376,0.4406,0.4454,0.4568,0.5038,0.5399,0.4836,0.4336,0.4464,0.4798,0.4552,0.3985,0.412,0.4513,0.4555,0.415,0.4323,0.4412,0.3264,0.5272,0.9423,1.0031,0.9823,1.0168,0.9564,0.9101,0.9031,0.8544,0.8605,0.8664,0.7584,0.9474,1.3164,1.3061,1.2177,1.2217,1.1843,1.1679,1.1907,1.1878,1.15,1.1145,1.1263,1.136,1.1078,1.0517,1.0091,1.0036,1.001,0.8489,0.6402,0.6315,0.6485,0.6084,0.6022,0.6048,0.5934,0.5787,0.5681,0.5499,0.5376,0.7049,0.9475,0.9659,0.9438,0.9788,0.9851,0.9835,0.9977,1.0242,1.0535,1.106,1.1756,1.0423,0.7986,0.7805,0.8371,0.858,0.8798,0.8697,0.8678,0.9525,0.9947,0.9724,0.9833,0.9715,0.9481,0.9987,1.0766,1.1113,1.0834,1.1267,1.2308,1.254,1.2576,1.264,1.2313,1.2255,1.2632,1.2904,1.2845,1.2653,1.2676,1.2531,1.2416,1.2881,1.2917,1.2708,1.3151,1.183,0.9369,0.909,0.9623,0.9973,1.0131,0.7846,0.4367,0.3619,0.3955,0.4117,0.442,0.4247,0.3841,0.4075,0.3953,0.3673,0.4372,0.439,0.3847})</x:f>
        <x:v>46154.997390178745</x:v>
      </x:c>
    </x:row>
    <x:row r="33" ht="14" customHeight="1">
      <x:c r="A33" s="3">
        <x:v>45720</x:v>
      </x:c>
      <x:c r="B33" s="23" t="n">
        <x:v>575.178466796875</x:v>
      </x:c>
      <x:c r="C33" s="23" t="n">
        <x:v>572.1578369140625</x:v>
      </x:c>
      <x:c r="D33" s="23" t="n">
        <x:v>1382.1990559895833</x:v>
      </x:c>
      <x:c r="E33" s="23" t="n">
        <x:v>1399.5367024739583</x:v>
      </x:c>
      <x:c r="F33" s="23" t="n">
        <x:v>579.5021158854166</x:v>
      </x:c>
      <x:c r="G33" s="23" t="n">
        <x:v>577.4862874348958</x:v>
      </x:c>
      <x:c r="H33" s="23" t="n">
        <x:v>583.847900390625</x:v>
      </x:c>
      <x:c r="I33" s="23" t="n">
        <x:v>591.7063395182291</x:v>
      </x:c>
      <x:c r="J33" s="23" t="n">
        <x:v>591.0604248046875</x:v>
      </x:c>
      <x:c r="K33" s="23" t="n">
        <x:v>586.9998779296875</x:v>
      </x:c>
      <x:c r="L33" s="23" t="n">
        <x:v>587.9321695963541</x:v>
      </x:c>
      <x:c r="M33" s="23" t="n">
        <x:v>978.1052923570912</x:v>
      </x:c>
      <x:c r="N33" s="23" t="n">
        <x:v>1436.7953287760415</x:v>
      </x:c>
      <x:c r="O33" s="23" t="n">
        <x:v>1431.8165690104165</x:v>
      </x:c>
      <x:c r="P33" s="23" t="n">
        <x:v>1438.5199381510415</x:v>
      </x:c>
      <x:c r="Q33" s="23" t="n">
        <x:v>611.427490234375</x:v>
      </x:c>
      <x:c r="R33" s="23" t="n">
        <x:v>602.8790690104166</x:v>
      </x:c>
      <x:c r="S33" s="23" t="n">
        <x:v>593.2179361979166</x:v>
      </x:c>
      <x:c r="T33" s="23" t="n">
        <x:v>609.9311116536458</x:v>
      </x:c>
      <x:c r="U33" s="23" t="n">
        <x:v>625.255615234375</x:v>
      </x:c>
      <x:c r="V33" s="23" t="n">
        <x:v>629.8000081380208</x:v>
      </x:c>
      <x:c r="W33" s="23" t="n">
        <x:v>624.0190022786458</x:v>
      </x:c>
      <x:c r="X33" s="23" t="n">
        <x:v>619.4130045572916</x:v>
      </x:c>
      <x:c r="Y33" s="23" t="n">
        <x:v>626.8895670572916</x:v>
      </x:c>
      <x:c r="Z33" s="23" t="n">
        <x:v>633.1314290364583</x:v>
      </x:c>
      <x:c r="AA33" s="23" t="n">
        <x:v>635.1160888671875</x:v>
      </x:c>
      <x:c r="AB33" s="23" t="n">
        <x:v>630.7434488932291</x:v>
      </x:c>
      <x:c r="AC33" s="23" t="n">
        <x:v>620.3416341145833</x:v>
      </x:c>
      <x:c r="AD33" s="23" t="n">
        <x:v>637.3646647135416</x:v>
      </x:c>
      <x:c r="AE33" s="23" t="n">
        <x:v>641.9300537109375</x:v>
      </x:c>
      <x:c r="AF33" s="23" t="n">
        <x:v>637.3968505859375</x:v>
      </x:c>
      <x:c r="AG33" s="23" t="n">
        <x:v>634.972412109375</x:v>
      </x:c>
      <x:c r="AH33" s="23" t="n">
        <x:v>639.4976399739583</x:v>
      </x:c>
      <x:c r="AI33" s="23" t="n">
        <x:v>1463.097412109375</x:v>
      </x:c>
      <x:c r="AJ33" s="23" t="n">
        <x:v>698.0492621134815</x:v>
      </x:c>
      <x:c r="AK33" s="23" t="n">
        <x:v>60.206056640625015</x:v>
      </x:c>
      <x:c r="AL33" s="23" t="n">
        <x:v>21.224456248614388</x:v>
      </x:c>
      <x:c r="AM33" s="23" t="n">
        <x:v>480.5912462422817</x:v>
      </x:c>
      <x:c r="AN33" s="23" t="n">
        <x:v>12.21081494946126</x:v>
      </x:c>
      <x:c r="AO33" s="23" t="n">
        <x:v>0</x:v>
      </x:c>
      <x:c r="AP33" s="23" t="n">
        <x:v>735.5415557514393</x:v>
      </x:c>
      <x:c r="AQ33" s="23" t="n">
        <x:v>672.4929794035571</x:v>
      </x:c>
      <x:c r="AR33" s="23" t="n">
        <x:v>623.7889538445809</x:v>
      </x:c>
      <x:c r="AS33" s="23" t="n">
        <x:v>588.2655939523277</x:v>
      </x:c>
      <x:c r="AT33" s="23" t="n">
        <x:v>531.3327222330988</x:v>
      </x:c>
      <x:c r="AU33" s="23" t="n">
        <x:v>448.95078380333496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20.439212801226404</x:v>
      </x:c>
      <x:c r="BL33" s="23" t="n">
        <x:v>0</x:v>
      </x:c>
      <x:c r="BM33" s="23" t="n">
        <x:v>0</x:v>
      </x:c>
      <x:c r="BN33" s="23" t="n">
        <x:v>0</x:v>
      </x:c>
      <x:c r="BO33" s="23" t="n">
        <x:v>749.0056907026108</x:v>
      </x:c>
      <x:c r="BP33" s="23" t="n">
        <x:v>718.4914830079939</x:v>
      </x:c>
      <x:c r="BQ33" s="23" t="n">
        <x:v>700.7457597059886</x:v>
      </x:c>
      <x:c r="BR33" s="23" t="n">
        <x:v>694.4996794073732</x:v>
      </x:c>
      <x:c r="BS33" s="23" t="n">
        <x:v>672.6014473286718</x:v>
      </x:c>
      <x:c r="BT33" s="23" t="n">
        <x:v>649.501059776113</x:v>
      </x:c>
      <x:c r="BU33" s="23" t="n">
        <x:v>611.4052496905156</x:v>
      </x:c>
      <x:c r="BV33" s="23" t="n">
        <x:v>602.5016396064904</x:v>
      </x:c>
      <x:c r="BW33" s="23" t="n">
        <x:v>605.0905528377767</x:v>
      </x:c>
      <x:c r="BX33" s="23" t="n">
        <x:v>618.8483877925383</x:v>
      </x:c>
      <x:c r="BY33" s="23" t="n">
        <x:v>624.4643132604506</x:v>
      </x:c>
      <x:c r="BZ33" s="23" t="n">
        <x:v>650.4863247071521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9.052870893555184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251.52040169885169</x:v>
      </x:c>
      <x:c r="CN33" s="23" t="n">
        <x:v>1086.9712585045481</x:v>
      </x:c>
      <x:c r="CO33" s="23" t="n">
        <x:v>334.5115600129705</x:v>
      </x:c>
      <x:c r="CP33" s="23" t="n">
        <x:v>383.1819242404534</x:v>
      </x:c>
      <x:c r="CQ33" s="23" t="n">
        <x:v>431.50278734544463</x:v>
      </x:c>
      <x:c r="CR33" s="23" t="n">
        <x:v>482.3903502284614</x:v>
      </x:c>
      <x:c r="CS33" s="23" t="n">
        <x:v>531.0837894489538</x:v>
      </x:c>
      <x:c r="CT33" s="23" t="n">
        <x:v>582.0103681366827</x:v>
      </x:c>
      <x:c r="CU33" s="23" t="n">
        <x:v>637.8026570170989</x:v>
      </x:c>
      <x:c r="CV33" s="23" t="n">
        <x:v>690.0023253593481</x:v>
      </x:c>
      <x:c r="CW33" s="23" t="n">
        <x:v>750.1797998499999</x:v>
      </x:c>
      <x:c r="CX33" s="23" t="n">
        <x:v>802.5130964709087</x:v>
      </x:c>
      <x:c r="CY33" s="23" t="n">
        <x:v>848.6340770021894</x:v>
      </x:c>
      <x:c r="CZ33" s="23" t="n">
        <x:v>889.8176197208351</x:v>
      </x:c>
      <x:c r="DA33" s="23" t="n">
        <x:v>936.6713046098844</x:v>
      </x:c>
      <x:c r="DB33" s="23" t="n">
        <x:v>984.0650823552467</x:v>
      </x:c>
      <x:c r="DC33" s="23" t="n">
        <x:v>1029.9740056732503</x:v>
      </x:c>
      <x:c r="DD33" s="23" t="n">
        <x:v>910.0894986873489</x:v>
      </x:c>
      <x:c r="DE33" s="23" t="n">
        <x:v>709.7670084635416</x:v>
      </x:c>
      <x:c r="DF33" s="23" t="n">
        <x:v>692.1134658913363</x:v>
      </x:c>
      <x:c r="DG33" s="23" t="n">
        <x:v>721.1941731770833</x:v>
      </x:c>
      <x:c r="DH33" s="23" t="n">
        <x:v>0</x:v>
      </x:c>
      <x:c r="DI33" s="23" t="n">
        <x:v>709.5842415364598</x:v>
      </x:c>
      <x:c r="DJ33" s="23" t="n">
        <x:v>718.762451171875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725.343505859375</x:v>
      </x:c>
      <x:c r="DW33" s="23" t="n">
        <x:v>723.08056640625</x:v>
      </x:c>
      <x:c r="DX33" s="23" t="n">
        <x:v>732.2704392923738</x:v>
      </x:c>
      <x:c r="DY33" s="23" t="n">
        <x:v>726.884521484375</x:v>
      </x:c>
      <x:c r="DZ33" s="23" t="n">
        <x:v>731.615966796875</x:v>
      </x:c>
      <x:c r="EA33" s="23" t="n">
        <x:v>735.4179327604166</x:v>
      </x:c>
      <x:c r="EB33" s="23" t="n">
        <x:v>645.1071924869792</x:v>
      </x:c>
      <x:c r="EC33" s="23" t="n">
        <x:v>544.6209335575811</x:v>
      </x:c>
      <x:c r="ED33" s="23" t="n">
        <x:v>566.5173570655434</x:v>
      </x:c>
      <x:c r="EE33" s="23" t="n">
        <x:v>556.6824951171875</x:v>
      </x:c>
      <x:c r="EF33" s="23" t="n">
        <x:v>822.0959545664009</x:v>
      </x:c>
      <x:c r="EG33" s="23" t="n">
        <x:v>539.5681966145833</x:v>
      </x:c>
      <x:c r="EH33" s="23" t="n">
        <x:v>549.48876953125</x:v>
      </x:c>
      <x:c r="EI33" s="23" t="n">
        <x:v>544.0795084635416</x:v>
      </x:c>
      <x:c r="EJ33" s="23" t="n">
        <x:v>1393.654337565104</x:v>
      </x:c>
      <x:c r="EK33" s="23" t="n">
        <x:v>1401.134806315104</x:v>
      </x:c>
      <x:c r="EL33" s="23" t="n">
        <x:v>1399.7813720703125</x:v>
      </x:c>
      <x:c r="EM33" s="23" t="n">
        <x:v>1404.158487955729</x:v>
      </x:c>
      <x:c r="EN33" s="23" t="n">
        <x:v>1386.8929443359375</x:v>
      </x:c>
      <x:c r="EO33" s="23" t="n">
        <x:v>1376.0582275390625</x:v>
      </x:c>
      <x:c r="EP33" s="23" t="n">
        <x:f>SUM(B33:EO33)</x:f>
        <x:v>72447.85360359354</x:v>
      </x:c>
      <x:c r="EQ33" s="23" t="n">
        <x:f>SUMPRODUCT(B33:EO33,{0.4476,0.4552,0.3939,0.4276,0.443,0.421,0.4571,0.4489,0.4088,0.456,0.4799,0.4392,0.4086,0.4112,0.426,0.4173,0.4105,0.4243,0.4566,0.5098,0.5296,0.4545,0.421,0.4633,0.481,0.4473,0.4154,0.458,0.4874,0.466,0.4456,0.4658,0.4646,0.3895,0.5937,0.9605,0.9945,0.9623,0.9971,0.9552,0.902,0.8747,0.8428,0.8378,0.815,0.7394,0.9592,1.3359,1.3441,1.2346,1.1917,1.1513,1.1237,1.1153,1.1108,1.1049,1.0963,1.0861,1.0821,1.0568,0.9789,0.9452,0.9639,0.9304,0.7802,0.6229,0.6399,0.6599,0.6281,0.6432,0.6019,0.531,0.573,0.6066,0.5591,0.5098,0.6657,0.9046,0.8886,0.8477,0.8999,0.9323,0.9367,0.9508,1.0081,1.0611,1.0822,1.0663,0.9457,0.7737,0.7033,0.7345,0.8028,0.8392,0.8564,0.8756,0.903,0.9321,0.9496,0.9546,1.0076,1.0666,1.0312,1.0321,1.0702,1.035,1.1128,1.2628,1.2459,1.2341,1.285,1.2789,1.2636,1.2738,1.2842,1.2629,1.2356,1.2565,1.2606,1.2461,1.2725,1.2737,1.2592,1.2863,1.1846,0.9869,0.9162,0.9153,0.9542,1.0201,0.7905,0.3995,0.3381,0.3964,0.4041,0.4029,0.3998,0.4214,0.4886,0.4853,0.4125,0.3918,0.4194,0.4378})</x:f>
        <x:v>46834.73002868707</x:v>
      </x:c>
    </x:row>
    <x:row r="34" ht="14" customHeight="1">
      <x:c r="A34" s="3">
        <x:v>45721</x:v>
      </x:c>
      <x:c r="B34" s="23" t="n">
        <x:v>1394.434611002604</x:v>
      </x:c>
      <x:c r="C34" s="23" t="n">
        <x:v>1395.8880615234375</x:v>
      </x:c>
      <x:c r="D34" s="23" t="n">
        <x:v>1011.5080529015573</x:v>
      </x:c>
      <x:c r="E34" s="23" t="n">
        <x:v>1388.8290201822915</x:v>
      </x:c>
      <x:c r="F34" s="23" t="n">
        <x:v>1404.964111328125</x:v>
      </x:c>
      <x:c r="G34" s="23" t="n">
        <x:v>590.5680745442708</x:v>
      </x:c>
      <x:c r="H34" s="23" t="n">
        <x:v>598.3383382161458</x:v>
      </x:c>
      <x:c r="I34" s="23" t="n">
        <x:v>1431.0697021484375</x:v>
      </x:c>
      <x:c r="J34" s="23" t="n">
        <x:v>597.0662434895833</x:v>
      </x:c>
      <x:c r="K34" s="23" t="n">
        <x:v>594.314453125</x:v>
      </x:c>
      <x:c r="L34" s="23" t="n">
        <x:v>592.9899495442708</x:v>
      </x:c>
      <x:c r="M34" s="23" t="n">
        <x:v>603.9893798828125</x:v>
      </x:c>
      <x:c r="N34" s="23" t="n">
        <x:v>600.19384765625</x:v>
      </x:c>
      <x:c r="O34" s="23" t="n">
        <x:v>600.960205078125</x:v>
      </x:c>
      <x:c r="P34" s="23" t="n">
        <x:v>613.0885009765625</x:v>
      </x:c>
      <x:c r="Q34" s="23" t="n">
        <x:v>609.0437418619791</x:v>
      </x:c>
      <x:c r="R34" s="23" t="n">
        <x:v>613.604248046875</x:v>
      </x:c>
      <x:c r="S34" s="23" t="n">
        <x:v>622.826416015625</x:v>
      </x:c>
      <x:c r="T34" s="23" t="n">
        <x:v>618.1062418619791</x:v>
      </x:c>
      <x:c r="U34" s="23" t="n">
        <x:v>617.34326171875</x:v>
      </x:c>
      <x:c r="V34" s="23" t="n">
        <x:v>635.8469645182291</x:v>
      </x:c>
      <x:c r="W34" s="23" t="n">
        <x:v>622.6990966796875</x:v>
      </x:c>
      <x:c r="X34" s="23" t="n">
        <x:v>597.5021565755208</x:v>
      </x:c>
      <x:c r="Y34" s="23" t="n">
        <x:v>622.5920003255208</x:v>
      </x:c>
      <x:c r="Z34" s="23" t="n">
        <x:v>640.7896728515625</x:v>
      </x:c>
      <x:c r="AA34" s="23" t="n">
        <x:v>638.802490234375</x:v>
      </x:c>
      <x:c r="AB34" s="23" t="n">
        <x:v>621.8621826171875</x:v>
      </x:c>
      <x:c r="AC34" s="23" t="n">
        <x:v>631.55224609375</x:v>
      </x:c>
      <x:c r="AD34" s="23" t="n">
        <x:v>650.5712890625</x:v>
      </x:c>
      <x:c r="AE34" s="23" t="n">
        <x:v>649.5214436848958</x:v>
      </x:c>
      <x:c r="AF34" s="23" t="n">
        <x:v>637.9471842447916</x:v>
      </x:c>
      <x:c r="AG34" s="23" t="n">
        <x:v>643.1029459635416</x:v>
      </x:c>
      <x:c r="AH34" s="23" t="n">
        <x:v>638.6656087239583</x:v>
      </x:c>
      <x:c r="AI34" s="23" t="n">
        <x:v>1449.9339599609375</x:v>
      </x:c>
      <x:c r="AJ34" s="23" t="n">
        <x:v>667.2223052089182</x:v>
      </x:c>
      <x:c r="AK34" s="23" t="n">
        <x:v>48.07576692708335</x:v>
      </x:c>
      <x:c r="AL34" s="23" t="n">
        <x:v>24.007652587654015</x:v>
      </x:c>
      <x:c r="AM34" s="23" t="n">
        <x:v>33.99445776299626</x:v>
      </x:c>
      <x:c r="AN34" s="23" t="n">
        <x:v>6.183396684030716</x:v>
      </x:c>
      <x:c r="AO34" s="23" t="n">
        <x:v>0</x:v>
      </x:c>
      <x:c r="AP34" s="23" t="n">
        <x:v>730.0427251335636</x:v>
      </x:c>
      <x:c r="AQ34" s="23" t="n">
        <x:v>0</x:v>
      </x:c>
      <x:c r="AR34" s="23" t="n">
        <x:v>618.8270510431583</x:v>
      </x:c>
      <x:c r="AS34" s="23" t="n">
        <x:v>580.5797536762238</x:v>
      </x:c>
      <x:c r="AT34" s="23" t="n">
        <x:v>530.3015510392779</x:v>
      </x:c>
      <x:c r="AU34" s="23" t="n">
        <x:v>1280.5440487098385</x:v>
      </x:c>
      <x:c r="AV34" s="23" t="n">
        <x:v>503.3128436090774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12.123403138311156</x:v>
      </x:c>
      <x:c r="BL34" s="23" t="n">
        <x:v>0</x:v>
      </x:c>
      <x:c r="BM34" s="23" t="n">
        <x:v>0</x:v>
      </x:c>
      <x:c r="BN34" s="23" t="n">
        <x:v>0</x:v>
      </x:c>
      <x:c r="BO34" s="23" t="n">
        <x:v>736.025525123591</x:v>
      </x:c>
      <x:c r="BP34" s="23" t="n">
        <x:v>734.8824894282286</x:v>
      </x:c>
      <x:c r="BQ34" s="23" t="n">
        <x:v>704.6038563501365</x:v>
      </x:c>
      <x:c r="BR34" s="23" t="n">
        <x:v>695.5002697830271</x:v>
      </x:c>
      <x:c r="BS34" s="23" t="n">
        <x:v>689.0354901607113</x:v>
      </x:c>
      <x:c r="BT34" s="23" t="n">
        <x:v>672.9477221004038</x:v>
      </x:c>
      <x:c r="BU34" s="23" t="n">
        <x:v>627.6818674524139</x:v>
      </x:c>
      <x:c r="BV34" s="23" t="n">
        <x:v>614.8305290617246</x:v>
      </x:c>
      <x:c r="BW34" s="23" t="n">
        <x:v>618.2369641792827</x:v>
      </x:c>
      <x:c r="BX34" s="23" t="n">
        <x:v>622.3996004937053</x:v>
      </x:c>
      <x:c r="BY34" s="23" t="n">
        <x:v>640.3722693419642</x:v>
      </x:c>
      <x:c r="BZ34" s="23" t="n">
        <x:v>658.8432418078784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248.5412852388381</x:v>
      </x:c>
      <x:c r="CN34" s="23" t="n">
        <x:v>1109.8350729046465</x:v>
      </x:c>
      <x:c r="CO34" s="23" t="n">
        <x:v>341.40702216697264</x:v>
      </x:c>
      <x:c r="CP34" s="23" t="n">
        <x:v>382.1051477452473</x:v>
      </x:c>
      <x:c r="CQ34" s="23" t="n">
        <x:v>410.5871221864004</x:v>
      </x:c>
      <x:c r="CR34" s="23" t="n">
        <x:v>491.0172350868263</x:v>
      </x:c>
      <x:c r="CS34" s="23" t="n">
        <x:v>531.1988571020821</x:v>
      </x:c>
      <x:c r="CT34" s="23" t="n">
        <x:v>587.434727413233</x:v>
      </x:c>
      <x:c r="CU34" s="23" t="n">
        <x:v>637.1421631269764</x:v>
      </x:c>
      <x:c r="CV34" s="23" t="n">
        <x:v>680.7550076844361</x:v>
      </x:c>
      <x:c r="CW34" s="23" t="n">
        <x:v>704.2879685189712</x:v>
      </x:c>
      <x:c r="CX34" s="23" t="n">
        <x:v>794.8129610365052</x:v>
      </x:c>
      <x:c r="CY34" s="23" t="n">
        <x:v>835.1042521621185</x:v>
      </x:c>
      <x:c r="CZ34" s="23" t="n">
        <x:v>884.6441814509474</x:v>
      </x:c>
      <x:c r="DA34" s="23" t="n">
        <x:v>936.9632140764832</x:v>
      </x:c>
      <x:c r="DB34" s="23" t="n">
        <x:v>985.4851824178313</x:v>
      </x:c>
      <x:c r="DC34" s="23" t="n">
        <x:v>1017.9050553264824</x:v>
      </x:c>
      <x:c r="DD34" s="23" t="n">
        <x:v>889.9818346320077</x:v>
      </x:c>
      <x:c r="DE34" s="23" t="n">
        <x:v>701.0872395833333</x:v>
      </x:c>
      <x:c r="DF34" s="23" t="n">
        <x:v>679.5507060786666</x:v>
      </x:c>
      <x:c r="DG34" s="23" t="n">
        <x:v>717.4300944010416</x:v>
      </x:c>
      <x:c r="DH34" s="23" t="n">
        <x:v>0</x:v>
      </x:c>
      <x:c r="DI34" s="23" t="n">
        <x:v>0</x:v>
      </x:c>
      <x:c r="DJ34" s="23" t="n">
        <x:v>709.324462890625</x:v>
      </x:c>
      <x:c r="DK34" s="23" t="n">
        <x:v>0</x:v>
      </x:c>
      <x:c r="DL34" s="23" t="n">
        <x:v>0</x:v>
      </x:c>
      <x:c r="DM34" s="23" t="n">
        <x:v>0</x:v>
      </x:c>
      <x:c r="DN34" s="23" t="n">
        <x:v>718.2893880208333</x:v>
      </x:c>
      <x:c r="DO34" s="23" t="n">
        <x:v>0</x:v>
      </x:c>
      <x:c r="DP34" s="23" t="n">
        <x:v>0</x:v>
      </x:c>
      <x:c r="DQ34" s="23" t="n">
        <x:v>41.95310872395809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729.243408203125</x:v>
      </x:c>
      <x:c r="DW34" s="23" t="n">
        <x:v>734.3525390625</x:v>
      </x:c>
      <x:c r="DX34" s="23" t="n">
        <x:v>733.6863313400205</x:v>
      </x:c>
      <x:c r="DY34" s="23" t="n">
        <x:v>732.4349772135416</x:v>
      </x:c>
      <x:c r="DZ34" s="23" t="n">
        <x:v>742.884033203125</x:v>
      </x:c>
      <x:c r="EA34" s="23" t="n">
        <x:v>753.9318487760416</x:v>
      </x:c>
      <x:c r="EB34" s="23" t="n">
        <x:v>675.2155180989585</x:v>
      </x:c>
      <x:c r="EC34" s="23" t="n">
        <x:v>550.4167887369791</x:v>
      </x:c>
      <x:c r="ED34" s="23" t="n">
        <x:v>1348.441935221354</x:v>
      </x:c>
      <x:c r="EE34" s="23" t="n">
        <x:v>1377.7356770833333</x:v>
      </x:c>
      <x:c r="EF34" s="23" t="n">
        <x:v>553.86865234375</x:v>
      </x:c>
      <x:c r="EG34" s="23" t="n">
        <x:v>551.2728271484375</x:v>
      </x:c>
      <x:c r="EH34" s="23" t="n">
        <x:v>1385.2784830729165</x:v>
      </x:c>
      <x:c r="EI34" s="23" t="n">
        <x:v>554.4943033854166</x:v>
      </x:c>
      <x:c r="EJ34" s="23" t="n">
        <x:v>561.3016357421875</x:v>
      </x:c>
      <x:c r="EK34" s="23" t="n">
        <x:v>870.627340719843</x:v>
      </x:c>
      <x:c r="EL34" s="23" t="n">
        <x:v>1394.1981608072915</x:v>
      </x:c>
      <x:c r="EM34" s="23" t="n">
        <x:v>1412.8304443359375</x:v>
      </x:c>
      <x:c r="EN34" s="23" t="n">
        <x:v>1416.227091471354</x:v>
      </x:c>
      <x:c r="EO34" s="23" t="n">
        <x:v>562.0773111979166</x:v>
      </x:c>
      <x:c r="EP34" s="23" t="n">
        <x:f>SUM(B34:EO34)</x:f>
        <x:v>72908.45308058386</x:v>
      </x:c>
      <x:c r="EQ34" s="23" t="n">
        <x:f>SUMPRODUCT(B34:EO34,{0.3979,0.3644,0.3725,0.4031,0.4511,0.4862,0.4648,0.4046,0.3843,0.466,0.4764,0.4052,0.4094,0.4277,0.4133,0.395,0.4123,0.4378,0.4124,0.4196,0.4493,0.4102,0.4026,0.4568,0.4927,0.4659,0.414,0.4175,0.4401,0.4385,0.4126,0.4399,0.4731,0.4271,0.6206,0.9636,1.0146,0.9588,0.9503,0.9468,0.8995,0.8434,0.8624,0.9017,0.8649,0.7499,0.9323,1.287,1.2907,1.1938,1.164,1.1199,1.1102,1.1295,1.1062,1.0624,1.0351,1.039,1.0366,1.026,1.0283,0.9663,0.9011,0.9506,0.8271,0.5779,0.5538,0.5743,0.5385,0.5301,0.5063,0.4908,0.5545,0.5625,0.4912,0.4817,0.6695,0.9186,0.9443,0.929,0.9711,0.9882,0.9917,1.0062,1.0329,1.0325,1.0473,1.1258,0.9907,0.7107,0.6634,0.7518,0.8136,0.7921,0.8118,0.8913,0.9264,0.9214,0.936,1.0122,1.0226,0.9741,1.0049,1.0706,1.0991,1.0801,1.1602,1.2879,1.2635,1.234,1.2717,1.2986,1.2907,1.2694,1.268,1.2524,1.249,1.3124,1.3086,1.2583,1.3097,1.3192,1.2861,1.3305,1.1999,0.9449,0.8976,0.925,0.956,1.0117,0.7749,0.3957,0.3784,0.4414,0.4105,0.3917,0.3733,0.38,0.4541,0.4437,0.3747,0.4252,0.4785,0.4623})</x:f>
        <x:v>46108.97824903304</x:v>
      </x:c>
    </x:row>
    <x:row r="35" ht="14" customHeight="1">
      <x:c r="A35" s="3">
        <x:v>45722</x:v>
      </x:c>
      <x:c r="B35" s="23" t="n">
        <x:v>1394.009806315104</x:v>
      </x:c>
      <x:c r="C35" s="23" t="n">
        <x:v>1381.8776448567708</x:v>
      </x:c>
      <x:c r="D35" s="23" t="n">
        <x:v>549.0887451171875</x:v>
      </x:c>
      <x:c r="E35" s="23" t="n">
        <x:v>570.529296875</x:v>
      </x:c>
      <x:c r="F35" s="23" t="n">
        <x:v>593.2852376302083</x:v>
      </x:c>
      <x:c r="G35" s="23" t="n">
        <x:v>599.4536539713541</x:v>
      </x:c>
      <x:c r="H35" s="23" t="n">
        <x:v>1436.0738525390625</x:v>
      </x:c>
      <x:c r="I35" s="23" t="n">
        <x:v>1427.1935628255208</x:v>
      </x:c>
      <x:c r="J35" s="23" t="n">
        <x:v>1415.6281331380208</x:v>
      </x:c>
      <x:c r="K35" s="23" t="n">
        <x:v>1421.029825846354</x:v>
      </x:c>
      <x:c r="L35" s="23" t="n">
        <x:v>586.4317220052083</x:v>
      </x:c>
      <x:c r="M35" s="23" t="n">
        <x:v>572.9337158203125</x:v>
      </x:c>
      <x:c r="N35" s="23" t="n">
        <x:v>572.2072347005208</x:v>
      </x:c>
      <x:c r="O35" s="23" t="n">
        <x:v>911.0835350700872</x:v>
      </x:c>
      <x:c r="P35" s="23" t="n">
        <x:v>594.8863525390625</x:v>
      </x:c>
      <x:c r="Q35" s="23" t="n">
        <x:v>585.8560384114583</x:v>
      </x:c>
      <x:c r="R35" s="23" t="n">
        <x:v>585.4307454427083</x:v>
      </x:c>
      <x:c r="S35" s="23" t="n">
        <x:v>607.989013671875</x:v>
      </x:c>
      <x:c r="T35" s="23" t="n">
        <x:v>595.7340494791666</x:v>
      </x:c>
      <x:c r="U35" s="23" t="n">
        <x:v>578.6996663411458</x:v>
      </x:c>
      <x:c r="V35" s="23" t="n">
        <x:v>599.2965087890625</x:v>
      </x:c>
      <x:c r="W35" s="23" t="n">
        <x:v>617.3437093098958</x:v>
      </x:c>
      <x:c r="X35" s="23" t="n">
        <x:v>624.997802734375</x:v>
      </x:c>
      <x:c r="Y35" s="23" t="n">
        <x:v>628.629150390625</x:v>
      </x:c>
      <x:c r="Z35" s="23" t="n">
        <x:v>643.9171142578125</x:v>
      </x:c>
      <x:c r="AA35" s="23" t="n">
        <x:v>637.4141031901041</x:v>
      </x:c>
      <x:c r="AB35" s="23" t="n">
        <x:v>620.4453938802083</x:v>
      </x:c>
      <x:c r="AC35" s="23" t="n">
        <x:v>625.3876546223958</x:v>
      </x:c>
      <x:c r="AD35" s="23" t="n">
        <x:v>635.6499837239583</x:v>
      </x:c>
      <x:c r="AE35" s="23" t="n">
        <x:v>626.38720703125</x:v>
      </x:c>
      <x:c r="AF35" s="23" t="n">
        <x:v>624.3729654947916</x:v>
      </x:c>
      <x:c r="AG35" s="23" t="n">
        <x:v>628.3805338541666</x:v>
      </x:c>
      <x:c r="AH35" s="23" t="n">
        <x:v>645.3290201822916</x:v>
      </x:c>
      <x:c r="AI35" s="23" t="n">
        <x:v>638.6761881510416</x:v>
      </x:c>
      <x:c r="AJ35" s="23" t="n">
        <x:v>683.5242405053125</x:v>
      </x:c>
      <x:c r="AK35" s="23" t="n">
        <x:v>40.788208984375004</x:v>
      </x:c>
      <x:c r="AL35" s="23" t="n">
        <x:v>23.498851214884173</x:v>
      </x:c>
      <x:c r="AM35" s="23" t="n">
        <x:v>32.07791010242469</x:v>
      </x:c>
      <x:c r="AN35" s="23" t="n">
        <x:v>0</x:v>
      </x:c>
      <x:c r="AO35" s="23" t="n">
        <x:v>0</x:v>
      </x:c>
      <x:c r="AP35" s="23" t="n">
        <x:v>0</x:v>
      </x:c>
      <x:c r="AQ35" s="23" t="n">
        <x:v>673.9431824649483</x:v>
      </x:c>
      <x:c r="AR35" s="23" t="n">
        <x:v>627.4510689919967</x:v>
      </x:c>
      <x:c r="AS35" s="23" t="n">
        <x:v>581.6187927626995</x:v>
      </x:c>
      <x:c r="AT35" s="23" t="n">
        <x:v>529.1806680318552</x:v>
      </x:c>
      <x:c r="AU35" s="23" t="n">
        <x:v>1278.8458051305056</x:v>
      </x:c>
      <x:c r="AV35" s="23" t="n">
        <x:v>425.69001789026163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712.4981705389841</x:v>
      </x:c>
      <x:c r="BP35" s="23" t="n">
        <x:v>697.7417143223171</x:v>
      </x:c>
      <x:c r="BQ35" s="23" t="n">
        <x:v>678.5459542920362</x:v>
      </x:c>
      <x:c r="BR35" s="23" t="n">
        <x:v>676.1032598244833</x:v>
      </x:c>
      <x:c r="BS35" s="23" t="n">
        <x:v>672.5449590398878</x:v>
      </x:c>
      <x:c r="BT35" s="23" t="n">
        <x:v>641.3244632407788</x:v>
      </x:c>
      <x:c r="BU35" s="23" t="n">
        <x:v>601.6813006280237</x:v>
      </x:c>
      <x:c r="BV35" s="23" t="n">
        <x:v>596.5391415439894</x:v>
      </x:c>
      <x:c r="BW35" s="23" t="n">
        <x:v>604.7531581256153</x:v>
      </x:c>
      <x:c r="BX35" s="23" t="n">
        <x:v>614.2885012532142</x:v>
      </x:c>
      <x:c r="BY35" s="23" t="n">
        <x:v>617.5321134670313</x:v>
      </x:c>
      <x:c r="BZ35" s="23" t="n">
        <x:v>498.73700212456754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236.01765815329554</x:v>
      </x:c>
      <x:c r="CN35" s="23" t="n">
        <x:v>891.9699533041235</x:v>
      </x:c>
      <x:c r="CO35" s="23" t="n">
        <x:v>307.08619841515366</x:v>
      </x:c>
      <x:c r="CP35" s="23" t="n">
        <x:v>355.47249647380477</x:v>
      </x:c>
      <x:c r="CQ35" s="23" t="n">
        <x:v>402.86462620652793</x:v>
      </x:c>
      <x:c r="CR35" s="23" t="n">
        <x:v>443.26686702274793</x:v>
      </x:c>
      <x:c r="CS35" s="23" t="n">
        <x:v>504.1744011981189</x:v>
      </x:c>
      <x:c r="CT35" s="23" t="n">
        <x:v>558.8649615860536</x:v>
      </x:c>
      <x:c r="CU35" s="23" t="n">
        <x:v>614.0786432272084</x:v>
      </x:c>
      <x:c r="CV35" s="23" t="n">
        <x:v>669.1155949274619</x:v>
      </x:c>
      <x:c r="CW35" s="23" t="n">
        <x:v>725.6220181982012</x:v>
      </x:c>
      <x:c r="CX35" s="23" t="n">
        <x:v>776.9297093440946</x:v>
      </x:c>
      <x:c r="CY35" s="23" t="n">
        <x:v>836.5384582733041</x:v>
      </x:c>
      <x:c r="CZ35" s="23" t="n">
        <x:v>889.1319560492109</x:v>
      </x:c>
      <x:c r="DA35" s="23" t="n">
        <x:v>939.8846320041446</x:v>
      </x:c>
      <x:c r="DB35" s="23" t="n">
        <x:v>969.0323154513763</x:v>
      </x:c>
      <x:c r="DC35" s="23" t="n">
        <x:v>1027.018676846968</x:v>
      </x:c>
      <x:c r="DD35" s="23" t="n">
        <x:v>901.5450257902768</x:v>
      </x:c>
      <x:c r="DE35" s="23" t="n">
        <x:v>0</x:v>
      </x:c>
      <x:c r="DF35" s="23" t="n">
        <x:v>679.7964518759914</x:v>
      </x:c>
      <x:c r="DG35" s="23" t="n">
        <x:v>717.4375</x:v>
      </x:c>
      <x:c r="DH35" s="23" t="n">
        <x:v>0</x:v>
      </x:c>
      <x:c r="DI35" s="23" t="n">
        <x:v>0</x:v>
      </x:c>
      <x:c r="DJ35" s="23" t="n">
        <x:v>720.774169921875</x:v>
      </x:c>
      <x:c r="DK35" s="23" t="n">
        <x:v>9.300385390622068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717.676025390625</x:v>
      </x:c>
      <x:c r="DQ35" s="23" t="n">
        <x:v>719.8040364583333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728.3780924479166</x:v>
      </x:c>
      <x:c r="DW35" s="23" t="n">
        <x:v>732.883056640625</x:v>
      </x:c>
      <x:c r="DX35" s="23" t="n">
        <x:v>739.349691992991</x:v>
      </x:c>
      <x:c r="DY35" s="23" t="n">
        <x:v>727.3438313802083</x:v>
      </x:c>
      <x:c r="DZ35" s="23" t="n">
        <x:v>730.8091634114583</x:v>
      </x:c>
      <x:c r="EA35" s="23" t="n">
        <x:v>740.485396953125</x:v>
      </x:c>
      <x:c r="EB35" s="23" t="n">
        <x:v>661.3368559895835</x:v>
      </x:c>
      <x:c r="EC35" s="23" t="n">
        <x:v>533.3284098307291</x:v>
      </x:c>
      <x:c r="ED35" s="23" t="n">
        <x:v>1367.53955078125</x:v>
      </x:c>
      <x:c r="EE35" s="23" t="n">
        <x:v>546.9338785807291</x:v>
      </x:c>
      <x:c r="EF35" s="23" t="n">
        <x:v>541.2744140625</x:v>
      </x:c>
      <x:c r="EG35" s="23" t="n">
        <x:v>541.1865234375</x:v>
      </x:c>
      <x:c r="EH35" s="23" t="n">
        <x:v>861.8626109021347</x:v>
      </x:c>
      <x:c r="EI35" s="23" t="n">
        <x:v>559.0252278645833</x:v>
      </x:c>
      <x:c r="EJ35" s="23" t="n">
        <x:v>559.4448649088541</x:v>
      </x:c>
      <x:c r="EK35" s="23" t="n">
        <x:v>1389.501953125</x:v>
      </x:c>
      <x:c r="EL35" s="23" t="n">
        <x:v>1376.4634602864583</x:v>
      </x:c>
      <x:c r="EM35" s="23" t="n">
        <x:v>1389.700927734375</x:v>
      </x:c>
      <x:c r="EN35" s="23" t="n">
        <x:v>1290.7330729166665</x:v>
      </x:c>
      <x:c r="EO35" s="23" t="n">
        <x:v>1250.5580240885415</x:v>
      </x:c>
      <x:c r="EP35" s="23" t="n">
        <x:f>SUM(B35:EO35)</x:f>
        <x:v>71166.09942153303</x:v>
      </x:c>
      <x:c r="EQ35" s="23" t="n">
        <x:f>SUMPRODUCT(B35:EO35,{0.4214,0.3855,0.384,0.4284,0.4419,0.4286,0.4587,0.4591,0.4215,0.4178,0.4379,0.4509,0.4367,0.4158,0.415,0.442,0.4441,0.418,0.416,0.452,0.4838,0.4543,0.4279,0.4462,0.4841,0.471,0.4213,0.4201,0.4527,0.4777,0.4701,0.4705,0.4629,0.4284,0.61,0.9176,0.9907,0.9738,0.9691,0.9308,0.9116,0.9061,0.8511,0.7879,0.739,0.7266,0.9397,1.2283,1.2204,1.1667,1.1595,1.0601,1.0651,1.1539,1.0985,1.0485,1.0578,1.025,0.9973,0.9819,0.9284,0.876,0.8891,0.9602,0.8087,0.5317,0.5224,0.583,0.5806,0.5815,0.5762,0.5525,0.5186,0.491,0.4606,0.4426,0.6411,0.9322,0.9626,0.949,0.9907,0.9711,0.9617,0.9834,0.9809,0.9919,1.0566,1.1422,1.0257,0.7949,0.7731,0.8044,0.8064,0.8594,0.9053,0.9001,0.8662,0.8866,0.9466,0.9575,0.9787,1.0172,1.0207,1.0585,1.1139,1.1053,1.1523,1.249,1.266,1.2834,1.3212,1.31,1.2771,1.2626,1.2826,1.3105,1.3149,1.2791,1.2235,1.205,1.2704,1.3212,1.3335,1.3434,1.1967,0.9746,0.9392,0.9482,0.9376,0.9455,0.7084,0.3637,0.3529,0.4292,0.4298,0.435,0.449,0.4469,0.4148,0.4086,0.4217,0.3907,0.3462,0.3327})</x:f>
        <x:v>45035.085711473635</x:v>
      </x:c>
    </x:row>
    <x:row r="36" ht="14" customHeight="1">
      <x:c r="A36" s="3">
        <x:v>45723</x:v>
      </x:c>
      <x:c r="B36" s="23" t="n">
        <x:v>1238.183349609375</x:v>
      </x:c>
      <x:c r="C36" s="23" t="n">
        <x:v>405.70353190104163</x:v>
      </x:c>
      <x:c r="D36" s="23" t="n">
        <x:v>408.6307373046875</x:v>
      </x:c>
      <x:c r="E36" s="23" t="n">
        <x:v>409.7999267578125</x:v>
      </x:c>
      <x:c r="F36" s="23" t="n">
        <x:v>412.6814778645833</x:v>
      </x:c>
      <x:c r="G36" s="23" t="n">
        <x:v>417.623779296875</x:v>
      </x:c>
      <x:c r="H36" s="23" t="n">
        <x:v>421.94189453125</x:v>
      </x:c>
      <x:c r="I36" s="23" t="n">
        <x:v>420.2299397786458</x:v>
      </x:c>
      <x:c r="J36" s="23" t="n">
        <x:v>412.1568603515625</x:v>
      </x:c>
      <x:c r="K36" s="23" t="n">
        <x:v>421.564208984375</x:v>
      </x:c>
      <x:c r="L36" s="23" t="n">
        <x:v>430.68314615885413</x:v>
      </x:c>
      <x:c r="M36" s="23" t="n">
        <x:v>431.2213134765625</x:v>
      </x:c>
      <x:c r="N36" s="23" t="n">
        <x:v>431.3264973958333</x:v>
      </x:c>
      <x:c r="O36" s="23" t="n">
        <x:v>426.860595703125</x:v>
      </x:c>
      <x:c r="P36" s="23" t="n">
        <x:v>433.6170247395833</x:v>
      </x:c>
      <x:c r="Q36" s="23" t="n">
        <x:v>448.67919921875</x:v>
      </x:c>
      <x:c r="R36" s="23" t="n">
        <x:v>435.6956380208333</x:v>
      </x:c>
      <x:c r="S36" s="23" t="n">
        <x:v>1256.605265299479</x:v>
      </x:c>
      <x:c r="T36" s="23" t="n">
        <x:v>1137.5996040382286</x:v>
      </x:c>
      <x:c r="U36" s="23" t="n">
        <x:v>451.7109375</x:v>
      </x:c>
      <x:c r="V36" s="23" t="n">
        <x:v>467.3072102864583</x:v>
      </x:c>
      <x:c r="W36" s="23" t="n">
        <x:v>448.80814615885413</x:v>
      </x:c>
      <x:c r="X36" s="23" t="n">
        <x:v>452.8114013671875</x:v>
      </x:c>
      <x:c r="Y36" s="23" t="n">
        <x:v>477.863525390625</x:v>
      </x:c>
      <x:c r="Z36" s="23" t="n">
        <x:v>485.6609700520833</x:v>
      </x:c>
      <x:c r="AA36" s="23" t="n">
        <x:v>484.50809733072913</x:v>
      </x:c>
      <x:c r="AB36" s="23" t="n">
        <x:v>475.56982421875</x:v>
      </x:c>
      <x:c r="AC36" s="23" t="n">
        <x:v>487.5286865234375</x:v>
      </x:c>
      <x:c r="AD36" s="23" t="n">
        <x:v>501.71826171875</x:v>
      </x:c>
      <x:c r="AE36" s="23" t="n">
        <x:v>0</x:v>
      </x:c>
      <x:c r="AF36" s="23" t="n">
        <x:v>482.65478515625</x:v>
      </x:c>
      <x:c r="AG36" s="23" t="n">
        <x:v>477.92911783854163</x:v>
      </x:c>
      <x:c r="AH36" s="23" t="n">
        <x:v>495.5323079427083</x:v>
      </x:c>
      <x:c r="AI36" s="23" t="n">
        <x:v>0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0</x:v>
      </x:c>
      <x:c r="CS36" s="23" t="n">
        <x:v>45.721830497829764</x:v>
      </x:c>
      <x:c r="CT36" s="23" t="n">
        <x:v>100.62781065415295</x:v>
      </x:c>
      <x:c r="CU36" s="23" t="n">
        <x:v>143.79714687294964</x:v>
      </x:c>
      <x:c r="CV36" s="23" t="n">
        <x:v>204.01901110285206</x:v>
      </x:c>
      <x:c r="CW36" s="23" t="n">
        <x:v>295.5994246013845</x:v>
      </x:c>
      <x:c r="CX36" s="23" t="n">
        <x:v>312.9284123538025</x:v>
      </x:c>
      <x:c r="CY36" s="23" t="n">
        <x:v>265.22736037790787</x:v>
      </x:c>
      <x:c r="CZ36" s="23" t="n">
        <x:v>313.63597314566425</x:v>
      </x:c>
      <x:c r="DA36" s="23" t="n">
        <x:v>362.8705528716988</x:v>
      </x:c>
      <x:c r="DB36" s="23" t="n">
        <x:v>403.19465104239725</x:v>
      </x:c>
      <x:c r="DC36" s="23" t="n">
        <x:v>423.09905512098095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433.5888433986141</x:v>
      </x:c>
      <x:c r="DX36" s="23" t="n">
        <x:v>474.3451741536458</x:v>
      </x:c>
      <x:c r="DY36" s="23" t="n">
        <x:v>462.74711100260413</x:v>
      </x:c>
      <x:c r="DZ36" s="23" t="n">
        <x:v>452.3332112630208</x:v>
      </x:c>
      <x:c r="EA36" s="23" t="n">
        <x:v>465.9097540494791</x:v>
      </x:c>
      <x:c r="EB36" s="23" t="n">
        <x:v>459.4049305338543</x:v>
      </x:c>
      <x:c r="EC36" s="23" t="n">
        <x:v>383.2144368489583</x:v>
      </x:c>
      <x:c r="ED36" s="23" t="n">
        <x:v>1217.300089518229</x:v>
      </x:c>
      <x:c r="EE36" s="23" t="n">
        <x:v>1215.5938720703125</x:v>
      </x:c>
      <x:c r="EF36" s="23" t="n">
        <x:v>386.14990234375</x:v>
      </x:c>
      <x:c r="EG36" s="23" t="n">
        <x:v>1223.8268229166665</x:v>
      </x:c>
      <x:c r="EH36" s="23" t="n">
        <x:v>389.94189453125</x:v>
      </x:c>
      <x:c r="EI36" s="23" t="n">
        <x:v>389.6759847005208</x:v>
      </x:c>
      <x:c r="EJ36" s="23" t="n">
        <x:v>408.38330078125</x:v>
      </x:c>
      <x:c r="EK36" s="23" t="n">
        <x:v>408.43424479166663</x:v>
      </x:c>
      <x:c r="EL36" s="23" t="n">
        <x:v>1240.2933756510415</x:v>
      </x:c>
      <x:c r="EM36" s="23" t="n">
        <x:v>1240.2933756510415</x:v>
      </x:c>
      <x:c r="EN36" s="23" t="n">
        <x:v>726.1115122693222</x:v>
      </x:c>
      <x:c r="EO36" s="23" t="n">
        <x:v>1244.8165283203125</x:v>
      </x:c>
      <x:c r="EP36" s="23" t="n">
        <x:f>SUM(B36:EO36)</x:f>
        <x:v>32683.492855353</x:v>
      </x:c>
      <x:c r="EQ36" s="23" t="n">
        <x:f>SUMPRODUCT(B36:EO36,{0.3619,0.3595,0.3359,0.3651,0.3538,0.3087,0.3322,0.3439,0.3159,0.3092,0.3391,0.3707,0.3581,0.3586,0.3596,0.3044,0.3322,0.3995,0.3273,0.3141,0.3859,0.3655,0.336,0.3406,0.3374,0.3716,0.4068,0.3529,0.3178,0.3458,0.3763,0.3853,0.3421,0.2691,0.4498,0.76,0.776,0.7524,0.8016,0.7748,0.7401,0.7494,0.7727,0.7514,0.6611,0.5588,0.6538,0.8698,0.9067,0.8563,0.825,0.8298,0.8774,0.8997,0.8166,0.781,0.8217,0.817,0.7753,0.7397,0.7323,0.693,0.6598,0.6993,0.5374,0.2738,0.291,0.2809,0.156,0.1545,0.2224,0.2633,0.2458,0.2537,0.2874,0.2918,0.4264,0.6392,0.6966,0.702,0.743,0.7932,0.7844,0.7367,0.7378,0.7575,0.7918,0.8369,0.6781,0.4525,0.5278,0.5875,0.5298,0.5678,0.6192,0.6156,0.5891,0.5977,0.6402,0.6642,0.6744,0.7099,0.7892,0.7777,0.7027,0.7439,0.8902,1.0492,1.1191,1.093,1.0671,1.1496,1.1883,1.1437,1.1252,1.123,1.1225,1.132,1.1429,1.1442,1.1332,1.1336,1.1591,1.1707,0.995,0.7577,0.7707,0.7792,0.7426,0.8342,0.6712,0.329,0.2941,0.3064,0.2457,0.2665,0.2915,0.2981,0.3448,0.3553,0.3192,0.3096,0.3258,0.3451})</x:f>
        <x:v>13185.741617027625</x:v>
      </x:c>
    </x:row>
    <x:row r="37" ht="14" customHeight="1">
      <x:c r="A37" s="3">
        <x:v>45724</x:v>
      </x:c>
      <x:c r="B37" s="23" t="n">
        <x:v>1236.2982991536458</x:v>
      </x:c>
      <x:c r="C37" s="23" t="n">
        <x:v>527.6545883643812</x:v>
      </x:c>
      <x:c r="D37" s="23" t="n">
        <x:v>396.5131429036458</x:v>
      </x:c>
      <x:c r="E37" s="23" t="n">
        <x:v>411.735107421875</x:v>
      </x:c>
      <x:c r="F37" s="23" t="n">
        <x:v>429.1351318359375</x:v>
      </x:c>
      <x:c r="G37" s="23" t="n">
        <x:v>427.86600748697913</x:v>
      </x:c>
      <x:c r="H37" s="23" t="n">
        <x:v>434.348876953125</x:v>
      </x:c>
      <x:c r="I37" s="23" t="n">
        <x:v>435.7910970052083</x:v>
      </x:c>
      <x:c r="J37" s="23" t="n">
        <x:v>428.14689127604163</x:v>
      </x:c>
      <x:c r="K37" s="23" t="n">
        <x:v>418.04972330729163</x:v>
      </x:c>
      <x:c r="L37" s="23" t="n">
        <x:v>425.87162272135413</x:v>
      </x:c>
      <x:c r="M37" s="23" t="n">
        <x:v>448.61075846354163</x:v>
      </x:c>
      <x:c r="N37" s="23" t="n">
        <x:v>448.8949788411458</x:v>
      </x:c>
      <x:c r="O37" s="23" t="n">
        <x:v>442.04386393229163</x:v>
      </x:c>
      <x:c r="P37" s="23" t="n">
        <x:v>438.86722819010413</x:v>
      </x:c>
      <x:c r="Q37" s="23" t="n">
        <x:v>436.8123779296875</x:v>
      </x:c>
      <x:c r="R37" s="23" t="n">
        <x:v>433.74755859375</x:v>
      </x:c>
      <x:c r="S37" s="23" t="n">
        <x:v>448.0514729817708</x:v>
      </x:c>
      <x:c r="T37" s="23" t="n">
        <x:v>452.56742350260413</x:v>
      </x:c>
      <x:c r="U37" s="23" t="n">
        <x:v>468.8782552083333</x:v>
      </x:c>
      <x:c r="V37" s="23" t="n">
        <x:v>476.5447998046875</x:v>
      </x:c>
      <x:c r="W37" s="23" t="n">
        <x:v>470.2006429036458</x:v>
      </x:c>
      <x:c r="X37" s="23" t="n">
        <x:v>463.32877604166663</x:v>
      </x:c>
      <x:c r="Y37" s="23" t="n">
        <x:v>478.6547444661458</x:v>
      </x:c>
      <x:c r="Z37" s="23" t="n">
        <x:v>0</x:v>
      </x:c>
      <x:c r="AA37" s="23" t="n">
        <x:v>467.50345865885413</x:v>
      </x:c>
      <x:c r="AB37" s="23" t="n">
        <x:v>462.0027669270833</x:v>
      </x:c>
      <x:c r="AC37" s="23" t="n">
        <x:v>463.808837890625</x:v>
      </x:c>
      <x:c r="AD37" s="23" t="n">
        <x:v>474.67484537760413</x:v>
      </x:c>
      <x:c r="AE37" s="23" t="n">
        <x:v>479.21341959635413</x:v>
      </x:c>
      <x:c r="AF37" s="23" t="n">
        <x:v>484.0617268880208</x:v>
      </x:c>
      <x:c r="AG37" s="23" t="n">
        <x:v>490.025146484375</x:v>
      </x:c>
      <x:c r="AH37" s="23" t="n">
        <x:v>480.883056640625</x:v>
      </x:c>
      <x:c r="AI37" s="23" t="n">
        <x:v>474.9351806640625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21.54208630839745</x:v>
      </x:c>
      <x:c r="CS37" s="23" t="n">
        <x:v>66.8721235391102</x:v>
      </x:c>
      <x:c r="CT37" s="23" t="n">
        <x:v>119.33262784383851</x:v>
      </x:c>
      <x:c r="CU37" s="23" t="n">
        <x:v>153.24215771875384</x:v>
      </x:c>
      <x:c r="CV37" s="23" t="n">
        <x:v>208.25779746778557</x:v>
      </x:c>
      <x:c r="CW37" s="23" t="n">
        <x:v>265.18209971523675</x:v>
      </x:c>
      <x:c r="CX37" s="23" t="n">
        <x:v>275.6739948226864</x:v>
      </x:c>
      <x:c r="CY37" s="23" t="n">
        <x:v>271.02717591483946</x:v>
      </x:c>
      <x:c r="CZ37" s="23" t="n">
        <x:v>321.30733632469537</x:v>
      </x:c>
      <x:c r="DA37" s="23" t="n">
        <x:v>373.8948322093738</x:v>
      </x:c>
      <x:c r="DB37" s="23" t="n">
        <x:v>401.1789661224103</x:v>
      </x:c>
      <x:c r="DC37" s="23" t="n">
        <x:v>444.55700355594456</x:v>
      </x:c>
      <x:c r="DD37" s="23" t="n">
        <x:v>24.729219392959976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456.1993408203125</x:v>
      </x:c>
      <x:c r="DX37" s="23" t="n">
        <x:v>456.6388753255208</x:v>
      </x:c>
      <x:c r="DY37" s="23" t="n">
        <x:v>463.32865397135413</x:v>
      </x:c>
      <x:c r="DZ37" s="23" t="n">
        <x:v>472.957763671875</x:v>
      </x:c>
      <x:c r="EA37" s="23" t="n">
        <x:v>455.1902719401042</x:v>
      </x:c>
      <x:c r="EB37" s="23" t="n">
        <x:v>463.1280110677083</x:v>
      </x:c>
      <x:c r="EC37" s="23" t="n">
        <x:v>407.27482096354163</x:v>
      </x:c>
      <x:c r="ED37" s="23" t="n">
        <x:v>1215.5812174479165</x:v>
      </x:c>
      <x:c r="EE37" s="23" t="n">
        <x:v>1226.11328125</x:v>
      </x:c>
      <x:c r="EF37" s="23" t="n">
        <x:v>1229.49462890625</x:v>
      </x:c>
      <x:c r="EG37" s="23" t="n">
        <x:v>1229.93359375</x:v>
      </x:c>
      <x:c r="EH37" s="23" t="n">
        <x:v>543.4865722053432</x:v>
      </x:c>
      <x:c r="EI37" s="23" t="n">
        <x:v>400.24308268229163</x:v>
      </x:c>
      <x:c r="EJ37" s="23" t="n">
        <x:v>401.20682779947913</x:v>
      </x:c>
      <x:c r="EK37" s="23" t="n">
        <x:v>1231.9857177734375</x:v>
      </x:c>
      <x:c r="EL37" s="23" t="n">
        <x:v>1227.3551025390625</x:v>
      </x:c>
      <x:c r="EM37" s="23" t="n">
        <x:v>1226.896525065104</x:v>
      </x:c>
      <x:c r="EN37" s="23" t="n">
        <x:v>433.5970052083333</x:v>
      </x:c>
      <x:c r="EO37" s="23" t="n">
        <x:v>0</x:v>
      </x:c>
      <x:c r="EP37" s="23" t="n">
        <x:f>SUM(B37:EO37)</x:f>
        <x:v>32243.130521740135</x:v>
      </x:c>
      <x:c r="EQ37" s="23" t="n">
        <x:f>SUMPRODUCT(B37:EO37,{0.3458,0.3234,0.3026,0.313,0.3111,0.3102,0.3577,0.3424,0.2803,0.3033,0.338,0.3336,0.321,0.3499,0.3908,0.3596,0.2922,0.2622,0.3136,0.3465,0.3385,0.3573,0.3786,0.3848,0.3865,0.3819,0.3819,0.3963,0.3719,0.3368,0.3739,0.4009,0.3628,0.3188,0.4906,0.7588,0.7711,0.7524,0.7926,0.7593,0.7573,0.7761,0.6938,0.6461,0.635,0.5617,0.7041,0.9598,0.9105,0.7711,0.7447,0.8242,0.8658,0.8217,0.7718,0.7915,0.8353,0.7896,0.7381,0.7281,0.7212,0.6884,0.6517,0.6329,0.4753,0.2739,0.2981,0.3382,0.2928,0.2707,0.2933,0.295,0.21,0.2103,0.2897,0.2916,0.3969,0.592,0.6502,0.6171,0.6039,0.6734,0.7233,0.7135,0.6955,0.6761,0.6964,0.7734,0.6568,0.429,0.4369,0.4957,0.4956,0.519,0.5641,0.5976,0.6024,0.6569,0.7361,0.728,0.6817,0.6522,0.6572,0.7037,0.7364,0.7113,0.8527,1.0971,1.1377,1.1117,1.116,1.1066,1.0964,1.1004,1.1128,1.1027,1.0759,1.0767,1.1243,1.1496,1.0677,1.0473,1.1328,1.1729,1.0011,0.7518,0.7368,0.7765,0.8015,0.8795,0.7043,0.3804,0.3428,0.3374,0.2743,0.3246,0.3436,0.2989,0.3079,0.3105,0.2814,0.2763,0.343,0.4274})</x:f>
        <x:v>12957.979725234176</x:v>
      </x:c>
    </x:row>
    <x:row r="38" ht="14" customHeight="1">
      <x:c r="A38" s="3">
        <x:v>45725</x:v>
      </x:c>
      <x:c r="B38" s="23" t="n">
        <x:v>574.7095540364583</x:v>
      </x:c>
      <x:c r="C38" s="23" t="n">
        <x:v>798.1613650249276</x:v>
      </x:c>
      <x:c r="D38" s="23" t="n">
        <x:v>570.6532389322916</x:v>
      </x:c>
      <x:c r="E38" s="23" t="n">
        <x:v>573.3738199869791</x:v>
      </x:c>
      <x:c r="F38" s="23" t="n">
        <x:v>1411.184122721354</x:v>
      </x:c>
      <x:c r="G38" s="23" t="n">
        <x:v>1417.0799153645833</x:v>
      </x:c>
      <x:c r="H38" s="23" t="n">
        <x:v>1412.498575846354</x:v>
      </x:c>
      <x:c r="I38" s="23" t="n">
        <x:v>583.8509521484375</x:v>
      </x:c>
      <x:c r="J38" s="23" t="n">
        <x:v>582.6800537109375</x:v>
      </x:c>
      <x:c r="K38" s="23" t="n">
        <x:v>582.5843098958333</x:v>
      </x:c>
      <x:c r="L38" s="23" t="n">
        <x:v>569.7410074869791</x:v>
      </x:c>
      <x:c r="M38" s="23" t="n">
        <x:v>1402.225626627604</x:v>
      </x:c>
      <x:c r="N38" s="23" t="n">
        <x:v>1403.3186848958333</x:v>
      </x:c>
      <x:c r="O38" s="23" t="n">
        <x:v>1424.107218424479</x:v>
      </x:c>
      <x:c r="P38" s="23" t="n">
        <x:v>606.2530924479166</x:v>
      </x:c>
      <x:c r="Q38" s="23" t="n">
        <x:v>600.5017496744791</x:v>
      </x:c>
      <x:c r="R38" s="23" t="n">
        <x:v>595.5502522786458</x:v>
      </x:c>
      <x:c r="S38" s="23" t="n">
        <x:v>592.0185546875</x:v>
      </x:c>
      <x:c r="T38" s="23" t="n">
        <x:v>614.5184733072916</x:v>
      </x:c>
      <x:c r="U38" s="23" t="n">
        <x:v>623.7734781901041</x:v>
      </x:c>
      <x:c r="V38" s="23" t="n">
        <x:v>603.1111246744791</x:v>
      </x:c>
      <x:c r="W38" s="23" t="n">
        <x:v>596.5755615234375</x:v>
      </x:c>
      <x:c r="X38" s="23" t="n">
        <x:v>604.1277669270833</x:v>
      </x:c>
      <x:c r="Y38" s="23" t="n">
        <x:v>608.6195475260416</x:v>
      </x:c>
      <x:c r="Z38" s="23" t="n">
        <x:v>617.4540201822916</x:v>
      </x:c>
      <x:c r="AA38" s="23" t="n">
        <x:v>618.7045491536458</x:v>
      </x:c>
      <x:c r="AB38" s="23" t="n">
        <x:v>627.6370849609375</x:v>
      </x:c>
      <x:c r="AC38" s="23" t="n">
        <x:v>632.6735432942708</x:v>
      </x:c>
      <x:c r="AD38" s="23" t="n">
        <x:v>636.9639892578125</x:v>
      </x:c>
      <x:c r="AE38" s="23" t="n">
        <x:v>616.0130615234375</x:v>
      </x:c>
      <x:c r="AF38" s="23" t="n">
        <x:v>635.4952392578125</x:v>
      </x:c>
      <x:c r="AG38" s="23" t="n">
        <x:v>637.5328369140625</x:v>
      </x:c>
      <x:c r="AH38" s="23" t="n">
        <x:v>636.5110677083333</x:v>
      </x:c>
      <x:c r="AI38" s="23" t="n">
        <x:v>626.0852457682291</x:v>
      </x:c>
      <x:c r="AJ38" s="23" t="n">
        <x:v>669.284501031002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597.6133208920212</x:v>
      </x:c>
      <x:c r="AQ38" s="23" t="n">
        <x:v>551.4067808091146</x:v>
      </x:c>
      <x:c r="AR38" s="23" t="n">
        <x:v>0</x:v>
      </x:c>
      <x:c r="AS38" s="23" t="n">
        <x:v>557.2460445334755</x:v>
      </x:c>
      <x:c r="AT38" s="23" t="n">
        <x:v>390.06890467475625</x:v>
      </x:c>
      <x:c r="AU38" s="23" t="n">
        <x:v>332.3847916311162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684.4660988062602</x:v>
      </x:c>
      <x:c r="BP38" s="23" t="n">
        <x:v>701.3983596290992</x:v>
      </x:c>
      <x:c r="BQ38" s="23" t="n">
        <x:v>681.1099077149144</x:v>
      </x:c>
      <x:c r="BR38" s="23" t="n">
        <x:v>637.0330000113382</x:v>
      </x:c>
      <x:c r="BS38" s="23" t="n">
        <x:v>661.4888326637663</x:v>
      </x:c>
      <x:c r="BT38" s="23" t="n">
        <x:v>655.3535883870828</x:v>
      </x:c>
      <x:c r="BU38" s="23" t="n">
        <x:v>612.5105988743414</x:v>
      </x:c>
      <x:c r="BV38" s="23" t="n">
        <x:v>614.4395771017462</x:v>
      </x:c>
      <x:c r="BW38" s="23" t="n">
        <x:v>627.0664912035832</x:v>
      </x:c>
      <x:c r="BX38" s="23" t="n">
        <x:v>649.9145930278316</x:v>
      </x:c>
      <x:c r="BY38" s="23" t="n">
        <x:v>659.926307009491</x:v>
      </x:c>
      <x:c r="BZ38" s="23" t="n">
        <x:v>119.4832438750566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225.77263592135887</x:v>
      </x:c>
      <x:c r="CN38" s="23" t="n">
        <x:v>1103.0858996118986</x:v>
      </x:c>
      <x:c r="CO38" s="23" t="n">
        <x:v>312.80063330452435</x:v>
      </x:c>
      <x:c r="CP38" s="23" t="n">
        <x:v>361.48544794367865</x:v>
      </x:c>
      <x:c r="CQ38" s="23" t="n">
        <x:v>412.6558254777516</x:v>
      </x:c>
      <x:c r="CR38" s="23" t="n">
        <x:v>459.4253419645835</x:v>
      </x:c>
      <x:c r="CS38" s="23" t="n">
        <x:v>501.6381333122968</x:v>
      </x:c>
      <x:c r="CT38" s="23" t="n">
        <x:v>562.372297513891</x:v>
      </x:c>
      <x:c r="CU38" s="23" t="n">
        <x:v>612.0307618730318</x:v>
      </x:c>
      <x:c r="CV38" s="23" t="n">
        <x:v>652.4561910661077</x:v>
      </x:c>
      <x:c r="CW38" s="23" t="n">
        <x:v>698.7436343204273</x:v>
      </x:c>
      <x:c r="CX38" s="23" t="n">
        <x:v>762.7505586027702</x:v>
      </x:c>
      <x:c r="CY38" s="23" t="n">
        <x:v>814.24885242598</x:v>
      </x:c>
      <x:c r="CZ38" s="23" t="n">
        <x:v>875.4181439529561</x:v>
      </x:c>
      <x:c r="DA38" s="23" t="n">
        <x:v>921.4284199174301</x:v>
      </x:c>
      <x:c r="DB38" s="23" t="n">
        <x:v>964.0317948861652</x:v>
      </x:c>
      <x:c r="DC38" s="23" t="n">
        <x:v>1001.6303670755716</x:v>
      </x:c>
      <x:c r="DD38" s="23" t="n">
        <x:v>938.6845703125</x:v>
      </x:c>
      <x:c r="DE38" s="23" t="n">
        <x:v>28.387380690076647</x:v>
      </x:c>
      <x:c r="DF38" s="23" t="n">
        <x:v>0</x:v>
      </x:c>
      <x:c r="DG38" s="23" t="n">
        <x:v>723.27392578125</x:v>
      </x:c>
      <x:c r="DH38" s="23" t="n">
        <x:v>0</x:v>
      </x:c>
      <x:c r="DI38" s="23" t="n">
        <x:v>0</x:v>
      </x:c>
      <x:c r="DJ38" s="23" t="n">
        <x:v>0</x:v>
      </x:c>
      <x:c r="DK38" s="23" t="n">
        <x:v>0</x:v>
      </x:c>
      <x:c r="DL38" s="23" t="n">
        <x:v>718.4033203125</x:v>
      </x:c>
      <x:c r="DM38" s="23" t="n">
        <x:v>0</x:v>
      </x:c>
      <x:c r="DN38" s="23" t="n">
        <x:v>0</x:v>
      </x:c>
      <x:c r="DO38" s="23" t="n">
        <x:v>735.4214680989583</x:v>
      </x:c>
      <x:c r="DP38" s="23" t="n">
        <x:v>732.9916178385416</x:v>
      </x:c>
      <x:c r="DQ38" s="23" t="n">
        <x:v>0</x:v>
      </x:c>
      <x:c r="DR38" s="23" t="n">
        <x:v>0</x:v>
      </x:c>
      <x:c r="DS38" s="23" t="n">
        <x:v>721.026611328125</x:v>
      </x:c>
      <x:c r="DT38" s="23" t="n">
        <x:v>0</x:v>
      </x:c>
      <x:c r="DU38" s="23" t="n">
        <x:v>0</x:v>
      </x:c>
      <x:c r="DV38" s="23" t="n">
        <x:v>724.6809895833333</x:v>
      </x:c>
      <x:c r="DW38" s="23" t="n">
        <x:v>698.24267578125</x:v>
      </x:c>
      <x:c r="DX38" s="23" t="n">
        <x:v>733.85009765625</x:v>
      </x:c>
      <x:c r="DY38" s="23" t="n">
        <x:v>737.8697102864583</x:v>
      </x:c>
      <x:c r="DZ38" s="23" t="n">
        <x:v>723.0430501302083</x:v>
      </x:c>
      <x:c r="EA38" s="23" t="n">
        <x:v>716.5411563802083</x:v>
      </x:c>
      <x:c r="EB38" s="23" t="n">
        <x:v>671.1410725911458</x:v>
      </x:c>
      <x:c r="EC38" s="23" t="n">
        <x:v>1384.6553548177083</x:v>
      </x:c>
      <x:c r="ED38" s="23" t="n">
        <x:v>1355.3804931640625</x:v>
      </x:c>
      <x:c r="EE38" s="23" t="n">
        <x:v>550.1165771484375</x:v>
      </x:c>
      <x:c r="EF38" s="23" t="n">
        <x:v>1377.6913655598958</x:v>
      </x:c>
      <x:c r="EG38" s="23" t="n">
        <x:v>1338.4239501953125</x:v>
      </x:c>
      <x:c r="EH38" s="23" t="n">
        <x:v>1335.6334635416665</x:v>
      </x:c>
      <x:c r="EI38" s="23" t="n">
        <x:v>553.8306070963541</x:v>
      </x:c>
      <x:c r="EJ38" s="23" t="n">
        <x:v>1404.1644287109375</x:v>
      </x:c>
      <x:c r="EK38" s="23" t="n">
        <x:v>867.33026142136</x:v>
      </x:c>
      <x:c r="EL38" s="23" t="n">
        <x:v>571.3465576171875</x:v>
      </x:c>
      <x:c r="EM38" s="23" t="n">
        <x:v>573.307861328125</x:v>
      </x:c>
      <x:c r="EN38" s="23" t="n">
        <x:v>570.660400390625</x:v>
      </x:c>
      <x:c r="EO38" s="23" t="n">
        <x:v>555.745361328125</x:v>
      </x:c>
      <x:c r="EP38" s="23" t="n">
        <x:f>SUM(B38:EO38)</x:f>
        <x:v>69322.30289449789</x:v>
      </x:c>
      <x:c r="EQ38" s="23" t="n">
        <x:f>SUMPRODUCT(B38:EO38,{0.4215,0.3936,0.3921,0.4043,0.4349,0.4652,0.4591,0.4279,0.407,0.4213,0.4122,0.4071,0.4846,0.5057,0.4438,0.4156,0.4374,0.4627,0.442,0.4518,0.4872,0.4654,0.4434,0.4337,0.3947,0.3878,0.4387,0.5021,0.5009,0.452,0.4481,0.4793,0.467,0.3869,0.5761,0.919,0.9461,0.9317,0.982,0.9198,0.8667,0.8745,0.8693,0.8617,0.8103,0.7005,0.8976,1.2686,1.2845,1.1961,1.194,1.2024,1.1382,1.0504,1.063,1.0792,1.0511,1.0292,1.0303,1.028,0.9806,0.9215,0.9233,0.9968,0.8428,0.561,0.5616,0.6001,0.5594,0.5675,0.5542,0.4868,0.423,0.4195,0.428,0.3834,0.5472,0.8291,0.8574,0.8633,0.9419,0.9472,0.9338,0.9627,1.0256,1.0327,1.0217,1.0888,0.9911,0.765,0.7159,0.7646,0.8047,0.813,0.8086,0.8107,0.8301,0.8815,0.9304,0.9259,0.9484,1.0003,1.0056,1.0155,1.0458,1.0689,1.1538,1.2574,1.2577,1.2623,1.3117,1.3356,1.3243,1.2895,1.2539,1.26,1.2825,1.2533,1.2236,1.2288,1.2566,1.2908,1.322,1.3178,1.136,0.8899,0.8672,0.9268,0.9817,1.0299,0.7779,0.3898,0.3641,0.4224,0.4048,0.4233,0.4072,0.3676,0.3997,0.4149,0.4031,0.4374,0.4268,0.3822})</x:f>
        <x:v>43210.77724956615</x:v>
      </x:c>
    </x:row>
    <x:row r="39" ht="14" customHeight="1">
      <x:c r="A39" s="3">
        <x:v>45726</x:v>
      </x:c>
      <x:c r="B39" s="23" t="n">
        <x:v>1397.585205078125</x:v>
      </x:c>
      <x:c r="C39" s="23" t="n">
        <x:v>558.0687662760416</x:v>
      </x:c>
      <x:c r="D39" s="23" t="n">
        <x:v>564.03857421875</x:v>
      </x:c>
      <x:c r="E39" s="23" t="n">
        <x:v>577.5383707682291</x:v>
      </x:c>
      <x:c r="F39" s="23" t="n">
        <x:v>1408.0565999348958</x:v>
      </x:c>
      <x:c r="G39" s="23" t="n">
        <x:v>554.5130208333333</x:v>
      </x:c>
      <x:c r="H39" s="23" t="n">
        <x:v>582.7762044270833</x:v>
      </x:c>
      <x:c r="I39" s="23" t="n">
        <x:v>588.1019287109375</x:v>
      </x:c>
      <x:c r="J39" s="23" t="n">
        <x:v>587.7250162760416</x:v>
      </x:c>
      <x:c r="K39" s="23" t="n">
        <x:v>587.6080322265625</x:v>
      </x:c>
      <x:c r="L39" s="23" t="n">
        <x:v>586.9745686848958</x:v>
      </x:c>
      <x:c r="M39" s="23" t="n">
        <x:v>594.2839762369791</x:v>
      </x:c>
      <x:c r="N39" s="23" t="n">
        <x:v>1435.2054443359375</x:v>
      </x:c>
      <x:c r="O39" s="23" t="n">
        <x:v>592.4246419270833</x:v>
      </x:c>
      <x:c r="P39" s="23" t="n">
        <x:v>581.2325032552083</x:v>
      </x:c>
      <x:c r="Q39" s="23" t="n">
        <x:v>1411.2396647135415</x:v>
      </x:c>
      <x:c r="R39" s="23" t="n">
        <x:v>1417.5943603515625</x:v>
      </x:c>
      <x:c r="S39" s="23" t="n">
        <x:v>588.86962890625</x:v>
      </x:c>
      <x:c r="T39" s="23" t="n">
        <x:v>606.119873046875</x:v>
      </x:c>
      <x:c r="U39" s="23" t="n">
        <x:v>610.5182698567708</x:v>
      </x:c>
      <x:c r="V39" s="23" t="n">
        <x:v>611.2321370442708</x:v>
      </x:c>
      <x:c r="W39" s="23" t="n">
        <x:v>604.8877766927083</x:v>
      </x:c>
      <x:c r="X39" s="23" t="n">
        <x:v>606.6527913411458</x:v>
      </x:c>
      <x:c r="Y39" s="23" t="n">
        <x:v>619.4764811197916</x:v>
      </x:c>
      <x:c r="Z39" s="23" t="n">
        <x:v>618.6283365885416</x:v>
      </x:c>
      <x:c r="AA39" s="23" t="n">
        <x:v>605.6466064453125</x:v>
      </x:c>
      <x:c r="AB39" s="23" t="n">
        <x:v>1026.135734104938</x:v>
      </x:c>
      <x:c r="AC39" s="23" t="n">
        <x:v>609.5299072265625</x:v>
      </x:c>
      <x:c r="AD39" s="23" t="n">
        <x:v>614.667236328125</x:v>
      </x:c>
      <x:c r="AE39" s="23" t="n">
        <x:v>621.2932942708333</x:v>
      </x:c>
      <x:c r="AF39" s="23" t="n">
        <x:v>608.0944417317708</x:v>
      </x:c>
      <x:c r="AG39" s="23" t="n">
        <x:v>613.4141031901041</x:v>
      </x:c>
      <x:c r="AH39" s="23" t="n">
        <x:v>607.500244140625</x:v>
      </x:c>
      <x:c r="AI39" s="23" t="n">
        <x:v>1428.8436279296875</x:v>
      </x:c>
      <x:c r="AJ39" s="23" t="n">
        <x:v>655.1029239337795</x:v>
      </x:c>
      <x:c r="AK39" s="23" t="n">
        <x:v>30.601115885416675</x:v>
      </x:c>
      <x:c r="AL39" s="23" t="n">
        <x:v>18.247884114583332</x:v>
      </x:c>
      <x:c r="AM39" s="23" t="n">
        <x:v>6.504410037704625</x:v>
      </x:c>
      <x:c r="AN39" s="23" t="n">
        <x:v>0</x:v>
      </x:c>
      <x:c r="AO39" s="23" t="n">
        <x:v>0</x:v>
      </x:c>
      <x:c r="AP39" s="23" t="n">
        <x:v>0</x:v>
      </x:c>
      <x:c r="AQ39" s="23" t="n">
        <x:v>495.39469098559</x:v>
      </x:c>
      <x:c r="AR39" s="23" t="n">
        <x:v>541.6375001620277</x:v>
      </x:c>
      <x:c r="AS39" s="23" t="n">
        <x:v>487.36503265787314</x:v>
      </x:c>
      <x:c r="AT39" s="23" t="n">
        <x:v>429.50335725234254</x:v>
      </x:c>
      <x:c r="AU39" s="23" t="n">
        <x:v>354.9800315006963</x:v>
      </x:c>
      <x:c r="AV39" s="23" t="n">
        <x:v>436.4019877109082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684.5699030870638</x:v>
      </x:c>
      <x:c r="BP39" s="23" t="n">
        <x:v>692.685856203044</x:v>
      </x:c>
      <x:c r="BQ39" s="23" t="n">
        <x:v>692.1662268025063</x:v>
      </x:c>
      <x:c r="BR39" s="23" t="n">
        <x:v>655.5223152432386</x:v>
      </x:c>
      <x:c r="BS39" s="23" t="n">
        <x:v>642.3220312139039</x:v>
      </x:c>
      <x:c r="BT39" s="23" t="n">
        <x:v>612.9060934240156</x:v>
      </x:c>
      <x:c r="BU39" s="23" t="n">
        <x:v>579.2451728375645</x:v>
      </x:c>
      <x:c r="BV39" s="23" t="n">
        <x:v>528.0122534897519</x:v>
      </x:c>
      <x:c r="BW39" s="23" t="n">
        <x:v>557.5577089245846</x:v>
      </x:c>
      <x:c r="BX39" s="23" t="n">
        <x:v>564.7660199236711</x:v>
      </x:c>
      <x:c r="BY39" s="23" t="n">
        <x:v>526.2685375516377</x:v>
      </x:c>
      <x:c r="BZ39" s="23" t="n">
        <x:v>143.6360761809539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220.80649381466566</x:v>
      </x:c>
      <x:c r="CN39" s="23" t="n">
        <x:v>902.837648643062</x:v>
      </x:c>
      <x:c r="CO39" s="23" t="n">
        <x:v>310.03585755955237</x:v>
      </x:c>
      <x:c r="CP39" s="23" t="n">
        <x:v>352.6625215016493</x:v>
      </x:c>
      <x:c r="CQ39" s="23" t="n">
        <x:v>402.9725047903365</x:v>
      </x:c>
      <x:c r="CR39" s="23" t="n">
        <x:v>452.77578758540267</x:v>
      </x:c>
      <x:c r="CS39" s="23" t="n">
        <x:v>494.93110942148</x:v>
      </x:c>
      <x:c r="CT39" s="23" t="n">
        <x:v>547.7260079356674</x:v>
      </x:c>
      <x:c r="CU39" s="23" t="n">
        <x:v>601.6025688341379</x:v>
      </x:c>
      <x:c r="CV39" s="23" t="n">
        <x:v>658.0194654125955</x:v>
      </x:c>
      <x:c r="CW39" s="23" t="n">
        <x:v>710.567751448205</x:v>
      </x:c>
      <x:c r="CX39" s="23" t="n">
        <x:v>766.0755818729094</x:v>
      </x:c>
      <x:c r="CY39" s="23" t="n">
        <x:v>819.69494588898</x:v>
      </x:c>
      <x:c r="CZ39" s="23" t="n">
        <x:v>871.7292556482072</x:v>
      </x:c>
      <x:c r="DA39" s="23" t="n">
        <x:v>918.6211849309545</x:v>
      </x:c>
      <x:c r="DB39" s="23" t="n">
        <x:v>963.2615023614671</x:v>
      </x:c>
      <x:c r="DC39" s="23" t="n">
        <x:v>1009.9038425781289</x:v>
      </x:c>
      <x:c r="DD39" s="23" t="n">
        <x:v>910.7177734375</x:v>
      </x:c>
      <x:c r="DE39" s="23" t="n">
        <x:v>687.4571126302083</x:v>
      </x:c>
      <x:c r="DF39" s="23" t="n">
        <x:v>669.1549869185039</x:v>
      </x:c>
      <x:c r="DG39" s="23" t="n">
        <x:v>719.2058919270833</x:v>
      </x:c>
      <x:c r="DH39" s="23" t="n">
        <x:v>714.3062337239583</x:v>
      </x:c>
      <x:c r="DI39" s="23" t="n">
        <x:v>711.611240234374</x:v>
      </x:c>
      <x:c r="DJ39" s="23" t="n">
        <x:v>0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729.2320963541666</x:v>
      </x:c>
      <x:c r="DW39" s="23" t="n">
        <x:v>727.3173014322916</x:v>
      </x:c>
      <x:c r="DX39" s="23" t="n">
        <x:v>726.5700741865995</x:v>
      </x:c>
      <x:c r="DY39" s="23" t="n">
        <x:v>723.8209635416666</x:v>
      </x:c>
      <x:c r="DZ39" s="23" t="n">
        <x:v>740.2342936197916</x:v>
      </x:c>
      <x:c r="EA39" s="23" t="n">
        <x:v>756.4125272916665</x:v>
      </x:c>
      <x:c r="EB39" s="23" t="n">
        <x:v>680.3489378776043</x:v>
      </x:c>
      <x:c r="EC39" s="23" t="n">
        <x:v>548.7423095703125</x:v>
      </x:c>
      <x:c r="ED39" s="23" t="n">
        <x:v>1375.82958984375</x:v>
      </x:c>
      <x:c r="EE39" s="23" t="n">
        <x:v>1384.840128580729</x:v>
      </x:c>
      <x:c r="EF39" s="23" t="n">
        <x:v>546.3931070963541</x:v>
      </x:c>
      <x:c r="EG39" s="23" t="n">
        <x:v>550.575439453125</x:v>
      </x:c>
      <x:c r="EH39" s="23" t="n">
        <x:v>1381.943400065104</x:v>
      </x:c>
      <x:c r="EI39" s="23" t="n">
        <x:v>542.8242594401041</x:v>
      </x:c>
      <x:c r="EJ39" s="23" t="n">
        <x:v>547.7753092447916</x:v>
      </x:c>
      <x:c r="EK39" s="23" t="n">
        <x:v>1379.2416178385415</x:v>
      </x:c>
      <x:c r="EL39" s="23" t="n">
        <x:v>1394.9010009765625</x:v>
      </x:c>
      <x:c r="EM39" s="23" t="n">
        <x:v>1405.5140380859375</x:v>
      </x:c>
      <x:c r="EN39" s="23" t="n">
        <x:v>881.0519108273853</x:v>
      </x:c>
      <x:c r="EO39" s="23" t="n">
        <x:v>563.3057047526041</x:v>
      </x:c>
      <x:c r="EP39" s="23" t="n">
        <x:f>SUM(B39:EO39)</x:f>
        <x:v>68965.42577652048</x:v>
      </x:c>
      <x:c r="EQ39" s="23" t="n">
        <x:f>SUMPRODUCT(B39:EO39,{0.4096,0.4225,0.4065,0.4306,0.4155,0.3904,0.4619,0.4675,0.4036,0.4305,0.4603,0.451,0.4559,0.4682,0.4722,0.4599,0.4296,0.4099,0.4358,0.4527,0.4422,0.4378,0.4419,0.4435,0.4345,0.4376,0.446,0.4362,0.4609,0.5021,0.4866,0.4774,0.4557,0.3887,0.6267,1.0148,1.0106,0.9137,0.9161,0.914,0.9177,0.911,0.8566,0.8581,0.842,0.6825,0.8603,1.264,1.2671,1.1543,1.1617,1.2176,1.1668,1.0697,1.1214,1.1306,1.063,1.0714,1.0434,0.9745,0.9798,0.9495,0.9165,1.0045,0.9167,0.6782,0.6274,0.6427,0.6251,0.6092,0.5961,0.5789,0.5626,0.5908,0.6272,0.6077,0.7031,0.8811,0.927,0.9403,0.9573,0.908,0.8752,0.9041,0.9603,1.0034,1.033,1.0588,0.9729,0.8299,0.8006,0.7591,0.7327,0.8739,0.93,0.8542,0.848,0.869,0.891,0.9491,1.0008,1.0379,1.0865,1.0973,1.0598,1.0346,1.1277,1.2563,1.2324,1.2353,1.3082,1.3157,1.3221,1.3308,1.2754,1.2615,1.3053,1.3109,1.2681,1.2413,1.2952,1.2961,1.2551,1.2862,1.1514,0.916,0.9093,0.9534,0.9587,0.981,0.7959,0.4782,0.3691,0.3902,0.4232,0.4304,0.4238,0.4138,0.4044,0.423,0.4515,0.4463,0.464,0.4992})</x:f>
        <x:v>44431.084793916285</x:v>
      </x:c>
    </x:row>
    <x:row r="40" ht="14" customHeight="1">
      <x:c r="A40" s="3">
        <x:v>45727</x:v>
      </x:c>
      <x:c r="B40" s="23" t="n">
        <x:v>573.8076578776041</x:v>
      </x:c>
      <x:c r="C40" s="23" t="n">
        <x:v>572.26123046875</x:v>
      </x:c>
      <x:c r="D40" s="23" t="n">
        <x:v>1391.987548828125</x:v>
      </x:c>
      <x:c r="E40" s="23" t="n">
        <x:v>564.4827067057291</x:v>
      </x:c>
      <x:c r="F40" s="23" t="n">
        <x:v>576.80078125</x:v>
      </x:c>
      <x:c r="G40" s="23" t="n">
        <x:v>588.1603597005208</x:v>
      </x:c>
      <x:c r="H40" s="23" t="n">
        <x:v>601.3182779947916</x:v>
      </x:c>
      <x:c r="I40" s="23" t="n">
        <x:v>593.3303629557291</x:v>
      </x:c>
      <x:c r="J40" s="23" t="n">
        <x:v>1407.0004475911458</x:v>
      </x:c>
      <x:c r="K40" s="23" t="n">
        <x:v>584.7474772135416</x:v>
      </x:c>
      <x:c r="L40" s="23" t="n">
        <x:v>587.9707438151041</x:v>
      </x:c>
      <x:c r="M40" s="23" t="n">
        <x:v>1421.9969889322915</x:v>
      </x:c>
      <x:c r="N40" s="23" t="n">
        <x:v>1434.074747721354</x:v>
      </x:c>
      <x:c r="O40" s="23" t="n">
        <x:v>605.7990315755208</x:v>
      </x:c>
      <x:c r="P40" s="23" t="n">
        <x:v>595.2723388671875</x:v>
      </x:c>
      <x:c r="Q40" s="23" t="n">
        <x:v>587.6735026041666</x:v>
      </x:c>
      <x:c r="R40" s="23" t="n">
        <x:v>1434.168741861979</x:v>
      </x:c>
      <x:c r="S40" s="23" t="n">
        <x:v>600.7200927734375</x:v>
      </x:c>
      <x:c r="T40" s="23" t="n">
        <x:v>598.7987874348958</x:v>
      </x:c>
      <x:c r="U40" s="23" t="n">
        <x:v>608.4876708984375</x:v>
      </x:c>
      <x:c r="V40" s="23" t="n">
        <x:v>629.5329182942708</x:v>
      </x:c>
      <x:c r="W40" s="23" t="n">
        <x:v>611.3878580729166</x:v>
      </x:c>
      <x:c r="X40" s="23" t="n">
        <x:v>1127.669083728781</x:v>
      </x:c>
      <x:c r="Y40" s="23" t="n">
        <x:v>605.6882731119791</x:v>
      </x:c>
      <x:c r="Z40" s="23" t="n">
        <x:v>624.07763671875</x:v>
      </x:c>
      <x:c r="AA40" s="23" t="n">
        <x:v>624.1390787760416</x:v>
      </x:c>
      <x:c r="AB40" s="23" t="n">
        <x:v>611.2516682942708</x:v>
      </x:c>
      <x:c r="AC40" s="23" t="n">
        <x:v>615.54150390625</x:v>
      </x:c>
      <x:c r="AD40" s="23" t="n">
        <x:v>627.2205403645833</x:v>
      </x:c>
      <x:c r="AE40" s="23" t="n">
        <x:v>630.0751953125</x:v>
      </x:c>
      <x:c r="AF40" s="23" t="n">
        <x:v>612.4438069661458</x:v>
      </x:c>
      <x:c r="AG40" s="23" t="n">
        <x:v>608.8236490885416</x:v>
      </x:c>
      <x:c r="AH40" s="23" t="n">
        <x:v>614.7631022135416</x:v>
      </x:c>
      <x:c r="AI40" s="23" t="n">
        <x:v>1447.921875</x:v>
      </x:c>
      <x:c r="AJ40" s="23" t="n">
        <x:v>665.4901942177622</x:v>
      </x:c>
      <x:c r="AK40" s="23" t="n">
        <x:v>33.76509700520834</x:v>
      </x:c>
      <x:c r="AL40" s="23" t="n">
        <x:v>8.009011582145224</x:v>
      </x:c>
      <x:c r="AM40" s="23" t="n">
        <x:v>16.88181897067276</x:v>
      </x:c>
      <x:c r="AN40" s="23" t="n">
        <x:v>0</x:v>
      </x:c>
      <x:c r="AO40" s="23" t="n">
        <x:v>0</x:v>
      </x:c>
      <x:c r="AP40" s="23" t="n">
        <x:v>672.8535419045761</x:v>
      </x:c>
      <x:c r="AQ40" s="23" t="n">
        <x:v>180.11923816259565</x:v>
      </x:c>
      <x:c r="AR40" s="23" t="n">
        <x:v>592.9426029087442</x:v>
      </x:c>
      <x:c r="AS40" s="23" t="n">
        <x:v>547.468937622713</x:v>
      </x:c>
      <x:c r="AT40" s="23" t="n">
        <x:v>481.9776819696872</x:v>
      </x:c>
      <x:c r="AU40" s="23" t="n">
        <x:v>400.87281330776364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709.0926753491395</x:v>
      </x:c>
      <x:c r="BP40" s="23" t="n">
        <x:v>704.4834620948254</x:v>
      </x:c>
      <x:c r="BQ40" s="23" t="n">
        <x:v>701.9217918470624</x:v>
      </x:c>
      <x:c r="BR40" s="23" t="n">
        <x:v>673.610883294663</x:v>
      </x:c>
      <x:c r="BS40" s="23" t="n">
        <x:v>657.1317793946425</x:v>
      </x:c>
      <x:c r="BT40" s="23" t="n">
        <x:v>617.7616257575091</x:v>
      </x:c>
      <x:c r="BU40" s="23" t="n">
        <x:v>584.9142805226004</x:v>
      </x:c>
      <x:c r="BV40" s="23" t="n">
        <x:v>595.4530771592746</x:v>
      </x:c>
      <x:c r="BW40" s="23" t="n">
        <x:v>602.9377362421105</x:v>
      </x:c>
      <x:c r="BX40" s="23" t="n">
        <x:v>590.0731974963396</x:v>
      </x:c>
      <x:c r="BY40" s="23" t="n">
        <x:v>584.1225427663214</x:v>
      </x:c>
      <x:c r="BZ40" s="23" t="n">
        <x:v>88.11415524569834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205.32283097831015</x:v>
      </x:c>
      <x:c r="CN40" s="23" t="n">
        <x:v>705.1005866470541</x:v>
      </x:c>
      <x:c r="CO40" s="23" t="n">
        <x:v>285.57540551674475</x:v>
      </x:c>
      <x:c r="CP40" s="23" t="n">
        <x:v>333.83175832860326</x:v>
      </x:c>
      <x:c r="CQ40" s="23" t="n">
        <x:v>392.86101029763233</x:v>
      </x:c>
      <x:c r="CR40" s="23" t="n">
        <x:v>444.38597556011456</x:v>
      </x:c>
      <x:c r="CS40" s="23" t="n">
        <x:v>492.8875527689546</x:v>
      </x:c>
      <x:c r="CT40" s="23" t="n">
        <x:v>544.6908161746435</x:v>
      </x:c>
      <x:c r="CU40" s="23" t="n">
        <x:v>594.1058121482956</x:v>
      </x:c>
      <x:c r="CV40" s="23" t="n">
        <x:v>654.0285893390998</x:v>
      </x:c>
      <x:c r="CW40" s="23" t="n">
        <x:v>690.542630372028</x:v>
      </x:c>
      <x:c r="CX40" s="23" t="n">
        <x:v>748.1763102481874</x:v>
      </x:c>
      <x:c r="CY40" s="23" t="n">
        <x:v>811.4394381617332</x:v>
      </x:c>
      <x:c r="CZ40" s="23" t="n">
        <x:v>855.6553322211649</x:v>
      </x:c>
      <x:c r="DA40" s="23" t="n">
        <x:v>906.8217614331095</x:v>
      </x:c>
      <x:c r="DB40" s="23" t="n">
        <x:v>951.7376481538404</x:v>
      </x:c>
      <x:c r="DC40" s="23" t="n">
        <x:v>999.5606078995321</x:v>
      </x:c>
      <x:c r="DD40" s="23" t="n">
        <x:v>885.149474235235</x:v>
      </x:c>
      <x:c r="DE40" s="23" t="n">
        <x:v>704.436279296875</x:v>
      </x:c>
      <x:c r="DF40" s="23" t="n">
        <x:v>679.2179908703092</x:v>
      </x:c>
      <x:c r="DG40" s="23" t="n">
        <x:v>716.2008463541666</x:v>
      </x:c>
      <x:c r="DH40" s="23" t="n">
        <x:v>0</x:v>
      </x:c>
      <x:c r="DI40" s="23" t="n">
        <x:v>0</x:v>
      </x:c>
      <x:c r="DJ40" s="23" t="n">
        <x:v>717.333251953125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710.5502050781253</x:v>
      </x:c>
      <x:c r="DS40" s="23" t="n">
        <x:v>0</x:v>
      </x:c>
      <x:c r="DT40" s="23" t="n">
        <x:v>0</x:v>
      </x:c>
      <x:c r="DU40" s="23" t="n">
        <x:v>0</x:v>
      </x:c>
      <x:c r="DV40" s="23" t="n">
        <x:v>723.25537109375</x:v>
      </x:c>
      <x:c r="DW40" s="23" t="n">
        <x:v>727.6538899739583</x:v>
      </x:c>
      <x:c r="DX40" s="23" t="n">
        <x:v>727.2115885416666</x:v>
      </x:c>
      <x:c r="DY40" s="23" t="n">
        <x:v>731.2749081709745</x:v>
      </x:c>
      <x:c r="DZ40" s="23" t="n">
        <x:v>734.896728515625</x:v>
      </x:c>
      <x:c r="EA40" s="23" t="n">
        <x:v>733.3013963020833</x:v>
      </x:c>
      <x:c r="EB40" s="23" t="n">
        <x:v>665.921881956501</x:v>
      </x:c>
      <x:c r="EC40" s="23" t="n">
        <x:v>545.7543538411458</x:v>
      </x:c>
      <x:c r="ED40" s="23" t="n">
        <x:v>1369.697021484375</x:v>
      </x:c>
      <x:c r="EE40" s="23" t="n">
        <x:v>1386.8572998046875</x:v>
      </x:c>
      <x:c r="EF40" s="23" t="n">
        <x:v>1380.1865234375</x:v>
      </x:c>
      <x:c r="EG40" s="23" t="n">
        <x:v>543.4652099609375</x:v>
      </x:c>
      <x:c r="EH40" s="23" t="n">
        <x:v>846.1124629267936</x:v>
      </x:c>
      <x:c r="EI40" s="23" t="n">
        <x:v>550.8397216796875</x:v>
      </x:c>
      <x:c r="EJ40" s="23" t="n">
        <x:v>563.6720784505208</x:v>
      </x:c>
      <x:c r="EK40" s="23" t="n">
        <x:v>578.6971028645833</x:v>
      </x:c>
      <x:c r="EL40" s="23" t="n">
        <x:v>1413.4489339192708</x:v>
      </x:c>
      <x:c r="EM40" s="23" t="n">
        <x:v>1404.1836751302083</x:v>
      </x:c>
      <x:c r="EN40" s="23" t="n">
        <x:v>1399.8470865885415</x:v>
      </x:c>
      <x:c r="EO40" s="23" t="n">
        <x:v>556.8672281901041</x:v>
      </x:c>
      <x:c r="EP40" s="23" t="n">
        <x:f>SUM(B40:EO40)</x:f>
        <x:v>69242.15040861075</x:v>
      </x:c>
      <x:c r="EQ40" s="23" t="n">
        <x:f>SUMPRODUCT(B40:EO40,{0.4865,0.469,0.4633,0.4434,0.4296,0.4338,0.4453,0.4432,0.4273,0.4181,0.4284,0.4337,0.4103,0.4696,0.5473,0.4624,0.3939,0.4183,0.4346,0.4128,0.3822,0.3889,0.3941,0.4008,0.4468,0.4598,0.4366,0.4503,0.4891,0.5011,0.4521,0.4427,0.4462,0.3859,0.6051,0.9816,1.0071,0.9093,0.8982,0.9502,0.9441,0.878,0.8554,0.839,0.7914,0.7599,0.9631,1.2648,1.277,1.1883,1.1503,1.1361,1.1458,1.154,1.1141,1.033,0.9627,0.9539,0.9332,0.9102,0.9645,1.0014,0.9813,0.9391,0.8129,0.6425,0.5569,0.5351,0.5547,0.61,0.6157,0.5482,0.4685,0.4469,0.4636,0.4673,0.6321,0.8904,0.9698,0.9688,0.9532,0.8912,0.8727,0.9113,0.9375,0.9794,1.0396,1.0584,0.9372,0.7634,0.7466,0.807,0.8362,0.803,0.7975,0.857,0.935,0.9821,0.9898,0.9877,0.9915,0.9991,1.006,1.0528,1.0901,1.0434,1.1285,1.3088,1.3166,1.2593,1.2498,1.2936,1.3372,1.3266,1.2556,1.2474,1.2922,1.2671,1.2509,1.2685,1.259,1.2432,1.2666,1.3215,1.1875,0.9387,0.8892,0.929,0.9645,0.9763,0.7519,0.4291,0.3921,0.4217,0.3904,0.3914,0.4106,0.4211,0.4172,0.4111,0.4054,0.3935,0.3826,0.3853})</x:f>
        <x:v>43576.62702466022</x:v>
      </x:c>
    </x:row>
    <x:row r="41" ht="14" customHeight="1">
      <x:c r="A41" s="3">
        <x:v>45728</x:v>
      </x:c>
      <x:c r="B41" s="23" t="n">
        <x:v>1400.9617919921875</x:v>
      </x:c>
      <x:c r="C41" s="23" t="n">
        <x:v>1402.2977701822915</x:v>
      </x:c>
      <x:c r="D41" s="23" t="n">
        <x:v>1394.4955647786458</x:v>
      </x:c>
      <x:c r="E41" s="23" t="n">
        <x:v>563.781982421875</x:v>
      </x:c>
      <x:c r="F41" s="23" t="n">
        <x:v>572.9442138671875</x:v>
      </x:c>
      <x:c r="G41" s="23" t="n">
        <x:v>579.2038981119791</x:v>
      </x:c>
      <x:c r="H41" s="23" t="n">
        <x:v>586.9229736328125</x:v>
      </x:c>
      <x:c r="I41" s="23" t="n">
        <x:v>1424.9766845703125</x:v>
      </x:c>
      <x:c r="J41" s="23" t="n">
        <x:v>1426.27001953125</x:v>
      </x:c>
      <x:c r="K41" s="23" t="n">
        <x:v>604.0728759765625</x:v>
      </x:c>
      <x:c r="L41" s="23" t="n">
        <x:v>584.2080485026041</x:v>
      </x:c>
      <x:c r="M41" s="23" t="n">
        <x:v>574.2974039713541</x:v>
      </x:c>
      <x:c r="N41" s="23" t="n">
        <x:v>591.16357421875</x:v>
      </x:c>
      <x:c r="O41" s="23" t="n">
        <x:v>607.9659423828125</x:v>
      </x:c>
      <x:c r="P41" s="23" t="n">
        <x:v>607.6511637369791</x:v>
      </x:c>
      <x:c r="Q41" s="23" t="n">
        <x:v>598.0605061848958</x:v>
      </x:c>
      <x:c r="R41" s="23" t="n">
        <x:v>593.0851236979166</x:v>
      </x:c>
      <x:c r="S41" s="23" t="n">
        <x:v>597.9413248697916</x:v>
      </x:c>
      <x:c r="T41" s="23" t="n">
        <x:v>606.389892578125</x:v>
      </x:c>
      <x:c r="U41" s="23" t="n">
        <x:v>616.40380859375</x:v>
      </x:c>
      <x:c r="V41" s="23" t="n">
        <x:v>614.0563557942708</x:v>
      </x:c>
      <x:c r="W41" s="23" t="n">
        <x:v>595.6883138020833</x:v>
      </x:c>
      <x:c r="X41" s="23" t="n">
        <x:v>584.5822347005208</x:v>
      </x:c>
      <x:c r="Y41" s="23" t="n">
        <x:v>606.1781005859375</x:v>
      </x:c>
      <x:c r="Z41" s="23" t="n">
        <x:v>619.398193359375</x:v>
      </x:c>
      <x:c r="AA41" s="23" t="n">
        <x:v>635.5098470052083</x:v>
      </x:c>
      <x:c r="AB41" s="23" t="n">
        <x:v>625.0655517578125</x:v>
      </x:c>
      <x:c r="AC41" s="23" t="n">
        <x:v>613.5330403645833</x:v>
      </x:c>
      <x:c r="AD41" s="23" t="n">
        <x:v>613.5963948567708</x:v>
      </x:c>
      <x:c r="AE41" s="23" t="n">
        <x:v>616.0788167317708</x:v>
      </x:c>
      <x:c r="AF41" s="23" t="n">
        <x:v>1455.1748860677083</x:v>
      </x:c>
      <x:c r="AG41" s="23" t="n">
        <x:v>629.7429606119791</x:v>
      </x:c>
      <x:c r="AH41" s="23" t="n">
        <x:v>628.6507975260416</x:v>
      </x:c>
      <x:c r="AI41" s="23" t="n">
        <x:v>906.8111032003924</x:v>
      </x:c>
      <x:c r="AJ41" s="23" t="n">
        <x:v>664.9122590094028</x:v>
      </x:c>
      <x:c r="AK41" s="23" t="n">
        <x:v>35.927857421875004</x:v>
      </x:c>
      <x:c r="AL41" s="23" t="n">
        <x:v>9.22289035811885</x:v>
      </x:c>
      <x:c r="AM41" s="23" t="n">
        <x:v>4.817783819607181</x:v>
      </x:c>
      <x:c r="AN41" s="23" t="n">
        <x:v>0</x:v>
      </x:c>
      <x:c r="AO41" s="23" t="n">
        <x:v>0</x:v>
      </x:c>
      <x:c r="AP41" s="23" t="n">
        <x:v>0</x:v>
      </x:c>
      <x:c r="AQ41" s="23" t="n">
        <x:v>0</x:v>
      </x:c>
      <x:c r="AR41" s="23" t="n">
        <x:v>585.6631574609755</x:v>
      </x:c>
      <x:c r="AS41" s="23" t="n">
        <x:v>532.2053594637168</x:v>
      </x:c>
      <x:c r="AT41" s="23" t="n">
        <x:v>484.2944602738183</x:v>
      </x:c>
      <x:c r="AU41" s="23" t="n">
        <x:v>583.1876639903646</x:v>
      </x:c>
      <x:c r="AV41" s="23" t="n">
        <x:v>380.1886141597968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692.6526363013277</x:v>
      </x:c>
      <x:c r="BP41" s="23" t="n">
        <x:v>699.4154357513187</x:v>
      </x:c>
      <x:c r="BQ41" s="23" t="n">
        <x:v>687.8078182429906</x:v>
      </x:c>
      <x:c r="BR41" s="23" t="n">
        <x:v>659.6645990416423</x:v>
      </x:c>
      <x:c r="BS41" s="23" t="n">
        <x:v>634.5440931415694</x:v>
      </x:c>
      <x:c r="BT41" s="23" t="n">
        <x:v>593.1338693816103</x:v>
      </x:c>
      <x:c r="BU41" s="23" t="n">
        <x:v>567.7998631316888</x:v>
      </x:c>
      <x:c r="BV41" s="23" t="n">
        <x:v>569.7957511223182</x:v>
      </x:c>
      <x:c r="BW41" s="23" t="n">
        <x:v>585.2028374472673</x:v>
      </x:c>
      <x:c r="BX41" s="23" t="n">
        <x:v>592.2025352858096</x:v>
      </x:c>
      <x:c r="BY41" s="23" t="n">
        <x:v>596.9235411351613</x:v>
      </x:c>
      <x:c r="BZ41" s="23" t="n">
        <x:v>0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227.33820877490203</x:v>
      </x:c>
      <x:c r="CN41" s="23" t="n">
        <x:v>918.1293273415249</x:v>
      </x:c>
      <x:c r="CO41" s="23" t="n">
        <x:v>298.699554188731</x:v>
      </x:c>
      <x:c r="CP41" s="23" t="n">
        <x:v>345.43602492901266</x:v>
      </x:c>
      <x:c r="CQ41" s="23" t="n">
        <x:v>379.8487235996041</x:v>
      </x:c>
      <x:c r="CR41" s="23" t="n">
        <x:v>437.73692761068537</x:v>
      </x:c>
      <x:c r="CS41" s="23" t="n">
        <x:v>491.50648511467216</x:v>
      </x:c>
      <x:c r="CT41" s="23" t="n">
        <x:v>543.29304476727</x:v>
      </x:c>
      <x:c r="CU41" s="23" t="n">
        <x:v>598.1355936883713</x:v>
      </x:c>
      <x:c r="CV41" s="23" t="n">
        <x:v>646.5685121582951</x:v>
      </x:c>
      <x:c r="CW41" s="23" t="n">
        <x:v>676.6841409610208</x:v>
      </x:c>
      <x:c r="CX41" s="23" t="n">
        <x:v>744.9441367629579</x:v>
      </x:c>
      <x:c r="CY41" s="23" t="n">
        <x:v>810.532971302976</x:v>
      </x:c>
      <x:c r="CZ41" s="23" t="n">
        <x:v>863.6339384635394</x:v>
      </x:c>
      <x:c r="DA41" s="23" t="n">
        <x:v>896.5632103043338</x:v>
      </x:c>
      <x:c r="DB41" s="23" t="n">
        <x:v>941.248342445311</x:v>
      </x:c>
      <x:c r="DC41" s="23" t="n">
        <x:v>1006.8187223404049</x:v>
      </x:c>
      <x:c r="DD41" s="23" t="n">
        <x:v>909.2960241799875</x:v>
      </x:c>
      <x:c r="DE41" s="23" t="n">
        <x:v>0</x:v>
      </x:c>
      <x:c r="DF41" s="23" t="n">
        <x:v>666.1157284372952</x:v>
      </x:c>
      <x:c r="DG41" s="23" t="n">
        <x:v>719.3318684895833</x:v>
      </x:c>
      <x:c r="DH41" s="23" t="n">
        <x:v>0</x:v>
      </x:c>
      <x:c r="DI41" s="23" t="n">
        <x:v>0</x:v>
      </x:c>
      <x:c r="DJ41" s="23" t="n">
        <x:v>0</x:v>
      </x:c>
      <x:c r="DK41" s="23" t="n">
        <x:v>0</x:v>
      </x:c>
      <x:c r="DL41" s="23" t="n">
        <x:v>0</x:v>
      </x:c>
      <x:c r="DM41" s="23" t="n">
        <x:v>722.112060546875</x:v>
      </x:c>
      <x:c r="DN41" s="23" t="n">
        <x:v>713.4109700520833</x:v>
      </x:c>
      <x:c r="DO41" s="23" t="n">
        <x:v>0</x:v>
      </x:c>
      <x:c r="DP41" s="23" t="n">
        <x:v>0</x:v>
      </x:c>
      <x:c r="DQ41" s="23" t="n">
        <x:v>697.1119726562497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720.4989420572916</x:v>
      </x:c>
      <x:c r="DW41" s="23" t="n">
        <x:v>719.3273111979166</x:v>
      </x:c>
      <x:c r="DX41" s="23" t="n">
        <x:v>733.0159563480579</x:v>
      </x:c>
      <x:c r="DY41" s="23" t="n">
        <x:v>731.4226888020833</x:v>
      </x:c>
      <x:c r="DZ41" s="23" t="n">
        <x:v>740.8355305989583</x:v>
      </x:c>
      <x:c r="EA41" s="23" t="n">
        <x:v>745.5592901822916</x:v>
      </x:c>
      <x:c r="EB41" s="23" t="n">
        <x:v>662.3704089747301</x:v>
      </x:c>
      <x:c r="EC41" s="23" t="n">
        <x:v>1374.9114583333333</x:v>
      </x:c>
      <x:c r="ED41" s="23" t="n">
        <x:v>1315.144287109375</x:v>
      </x:c>
      <x:c r="EE41" s="23" t="n">
        <x:v>1378.5231119791665</x:v>
      </x:c>
      <x:c r="EF41" s="23" t="n">
        <x:v>554.9394124348958</x:v>
      </x:c>
      <x:c r="EG41" s="23" t="n">
        <x:v>558.7857666015625</x:v>
      </x:c>
      <x:c r="EH41" s="23" t="n">
        <x:v>1379.4744873046875</x:v>
      </x:c>
      <x:c r="EI41" s="23" t="n">
        <x:v>544.62841796875</x:v>
      </x:c>
      <x:c r="EJ41" s="23" t="n">
        <x:v>552.3669840494791</x:v>
      </x:c>
      <x:c r="EK41" s="23" t="n">
        <x:v>860.0428014684603</x:v>
      </x:c>
      <x:c r="EL41" s="23" t="n">
        <x:v>1389.7804768880208</x:v>
      </x:c>
      <x:c r="EM41" s="23" t="n">
        <x:v>1389.797119140625</x:v>
      </x:c>
      <x:c r="EN41" s="23" t="n">
        <x:v>560.2738444010416</x:v>
      </x:c>
      <x:c r="EO41" s="23" t="n">
        <x:v>569.0649007161458</x:v>
      </x:c>
      <x:c r="EP41" s="23" t="n">
        <x:f>SUM(B41:EO41)</x:f>
        <x:v>68571.98387177946</x:v>
      </x:c>
      <x:c r="EQ41" s="23" t="n">
        <x:f>SUMPRODUCT(B41:EO41,{0.407,0.4223,0.4213,0.4129,0.3933,0.3809,0.4024,0.4153,0.423,0.4691,0.5042,0.4956,0.4573,0.4296,0.4282,0.4415,0.4722,0.4792,0.4143,0.384,0.419,0.4456,0.4361,0.4084,0.3981,0.3859,0.3939,0.4601,0.4694,0.4167,0.4119,0.4291,0.4241,0.4267,0.672,1.0077,1.0124,0.9341,0.9461,0.9708,0.916,0.8165,0.7963,0.8266,0.7991,0.6778,0.8501,1.2192,1.2747,1.2075,1.1708,1.1238,1.1227,1.1359,1.0619,0.9717,0.9307,0.9402,0.9506,0.9298,0.8853,0.8642,0.8994,0.9528,0.8138,0.5735,0.5449,0.5627,0.5194,0.4804,0.4749,0.4765,0.4472,0.4746,0.5115,0.4489,0.5793,0.8558,0.9154,0.8937,0.8987,0.8981,0.9248,0.9815,1.024,1.0152,0.9973,1.0267,0.9217,0.746,0.7591,0.7946,0.7612,0.7516,0.8456,0.9415,0.8672,0.8598,0.9585,0.9713,0.9857,1.0169,0.9904,1.0433,1.1339,1.0899,1.137,1.283,1.2988,1.2819,1.3021,1.3184,1.302,1.2641,1.2494,1.2942,1.3485,1.3203,1.28,1.2632,1.2472,1.2766,1.3308,1.3117,1.1468,0.9523,0.9321,0.9237,0.9124,0.9945,0.7742,0.3741,0.35,0.4294,0.4266,0.433,0.4456,0.4483,0.4432,0.4499,0.4412,0.3765,0.3565,0.4024})</x:f>
        <x:v>42684.53480366322</x:v>
      </x:c>
    </x:row>
    <x:row r="42" ht="14" customHeight="1">
      <x:c r="A42" s="3">
        <x:v>45729</x:v>
      </x:c>
      <x:c r="B42" s="23" t="n">
        <x:v>1395.0033772786458</x:v>
      </x:c>
      <x:c r="C42" s="23" t="n">
        <x:v>1386.9500732421875</x:v>
      </x:c>
      <x:c r="D42" s="23" t="n">
        <x:v>563.8563232421875</x:v>
      </x:c>
      <x:c r="E42" s="23" t="n">
        <x:v>569.9124755859375</x:v>
      </x:c>
      <x:c r="F42" s="23" t="n">
        <x:v>570.5089518229166</x:v>
      </x:c>
      <x:c r="G42" s="23" t="n">
        <x:v>575.3001302083333</x:v>
      </x:c>
      <x:c r="H42" s="23" t="n">
        <x:v>585.6131998697916</x:v>
      </x:c>
      <x:c r="I42" s="23" t="n">
        <x:v>581.3741455078125</x:v>
      </x:c>
      <x:c r="J42" s="23" t="n">
        <x:v>1409.9420979817708</x:v>
      </x:c>
      <x:c r="K42" s="23" t="n">
        <x:v>1419.9693603515625</x:v>
      </x:c>
      <x:c r="L42" s="23" t="n">
        <x:v>585.1902669270833</x:v>
      </x:c>
      <x:c r="M42" s="23" t="n">
        <x:v>581.2224527994791</x:v>
      </x:c>
      <x:c r="N42" s="23" t="n">
        <x:v>571.5348714192708</x:v>
      </x:c>
      <x:c r="O42" s="23" t="n">
        <x:v>1415.1851399739583</x:v>
      </x:c>
      <x:c r="P42" s="23" t="n">
        <x:v>591.3415120442708</x:v>
      </x:c>
      <x:c r="Q42" s="23" t="n">
        <x:v>582.87060546875</x:v>
      </x:c>
      <x:c r="R42" s="23" t="n">
        <x:v>585.5560302734375</x:v>
      </x:c>
      <x:c r="S42" s="23" t="n">
        <x:v>587.6148274739583</x:v>
      </x:c>
      <x:c r="T42" s="23" t="n">
        <x:v>1419.0677083333333</x:v>
      </x:c>
      <x:c r="U42" s="23" t="n">
        <x:v>585.8888753255208</x:v>
      </x:c>
      <x:c r="V42" s="23" t="n">
        <x:v>605.6260579427083</x:v>
      </x:c>
      <x:c r="W42" s="23" t="n">
        <x:v>612.0820719401041</x:v>
      </x:c>
      <x:c r="X42" s="23" t="n">
        <x:v>1223.9255430793612</x:v>
      </x:c>
      <x:c r="Y42" s="23" t="n">
        <x:v>610.2588297526041</x:v>
      </x:c>
      <x:c r="Z42" s="23" t="n">
        <x:v>622.6328531901041</x:v>
      </x:c>
      <x:c r="AA42" s="23" t="n">
        <x:v>617.4711507161458</x:v>
      </x:c>
      <x:c r="AB42" s="23" t="n">
        <x:v>610.1944173177083</x:v>
      </x:c>
      <x:c r="AC42" s="23" t="n">
        <x:v>614.1240234375</x:v>
      </x:c>
      <x:c r="AD42" s="23" t="n">
        <x:v>618.2255452473958</x:v>
      </x:c>
      <x:c r="AE42" s="23" t="n">
        <x:v>624.764892578125</x:v>
      </x:c>
      <x:c r="AF42" s="23" t="n">
        <x:v>616.0626627604166</x:v>
      </x:c>
      <x:c r="AG42" s="23" t="n">
        <x:v>617.5924072265625</x:v>
      </x:c>
      <x:c r="AH42" s="23" t="n">
        <x:v>622.1890462239583</x:v>
      </x:c>
      <x:c r="AI42" s="23" t="n">
        <x:v>614.9374593098958</x:v>
      </x:c>
      <x:c r="AJ42" s="23" t="n">
        <x:v>682.3146651439512</x:v>
      </x:c>
      <x:c r="AK42" s="23" t="n">
        <x:v>0.8869261067708673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0</x:v>
      </x:c>
      <x:c r="AR42" s="23" t="n">
        <x:v>584.8136704075981</x:v>
      </x:c>
      <x:c r="AS42" s="23" t="n">
        <x:v>522.9384618317417</x:v>
      </x:c>
      <x:c r="AT42" s="23" t="n">
        <x:v>445.3916113737305</x:v>
      </x:c>
      <x:c r="AU42" s="23" t="n">
        <x:v>909.7770263720447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683.1353699397428</x:v>
      </x:c>
      <x:c r="BP42" s="23" t="n">
        <x:v>676.8364776574433</x:v>
      </x:c>
      <x:c r="BQ42" s="23" t="n">
        <x:v>660.644055031258</x:v>
      </x:c>
      <x:c r="BR42" s="23" t="n">
        <x:v>501.32983493264237</x:v>
      </x:c>
      <x:c r="BS42" s="23" t="n">
        <x:v>627.1431892891492</x:v>
      </x:c>
      <x:c r="BT42" s="23" t="n">
        <x:v>582.0531310332103</x:v>
      </x:c>
      <x:c r="BU42" s="23" t="n">
        <x:v>567.5147322057935</x:v>
      </x:c>
      <x:c r="BV42" s="23" t="n">
        <x:v>540.2246884905906</x:v>
      </x:c>
      <x:c r="BW42" s="23" t="n">
        <x:v>548.8846115169767</x:v>
      </x:c>
      <x:c r="BX42" s="23" t="n">
        <x:v>580.7169372258136</x:v>
      </x:c>
      <x:c r="BY42" s="23" t="n">
        <x:v>573.8246922462719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207.04164882117917</x:v>
      </x:c>
      <x:c r="CN42" s="23" t="n">
        <x:v>790.3761104706075</x:v>
      </x:c>
      <x:c r="CO42" s="23" t="n">
        <x:v>302.50396342854384</x:v>
      </x:c>
      <x:c r="CP42" s="23" t="n">
        <x:v>346.23003707181135</x:v>
      </x:c>
      <x:c r="CQ42" s="23" t="n">
        <x:v>388.98791571498606</x:v>
      </x:c>
      <x:c r="CR42" s="23" t="n">
        <x:v>439.42324427875474</x:v>
      </x:c>
      <x:c r="CS42" s="23" t="n">
        <x:v>486.69182195989663</x:v>
      </x:c>
      <x:c r="CT42" s="23" t="n">
        <x:v>538.9592910041212</x:v>
      </x:c>
      <x:c r="CU42" s="23" t="n">
        <x:v>593.5352728093335</x:v>
      </x:c>
      <x:c r="CV42" s="23" t="n">
        <x:v>647.740195242627</x:v>
      </x:c>
      <x:c r="CW42" s="23" t="n">
        <x:v>694.8645150673944</x:v>
      </x:c>
      <x:c r="CX42" s="23" t="n">
        <x:v>737.9665275044965</x:v>
      </x:c>
      <x:c r="CY42" s="23" t="n">
        <x:v>809.1712777663867</x:v>
      </x:c>
      <x:c r="CZ42" s="23" t="n">
        <x:v>854.8200026892324</x:v>
      </x:c>
      <x:c r="DA42" s="23" t="n">
        <x:v>897.1452138288166</x:v>
      </x:c>
      <x:c r="DB42" s="23" t="n">
        <x:v>955.5779250562318</x:v>
      </x:c>
      <x:c r="DC42" s="23" t="n">
        <x:v>1019.5782710907331</x:v>
      </x:c>
      <x:c r="DD42" s="23" t="n">
        <x:v>920.7998510706259</x:v>
      </x:c>
      <x:c r="DE42" s="23" t="n">
        <x:v>715.8107096354166</x:v>
      </x:c>
      <x:c r="DF42" s="23" t="n">
        <x:v>702.8583554164145</x:v>
      </x:c>
      <x:c r="DG42" s="23" t="n">
        <x:v>722.439453125</x:v>
      </x:c>
      <x:c r="DH42" s="23" t="n">
        <x:v>0</x:v>
      </x:c>
      <x:c r="DI42" s="23" t="n">
        <x:v>0</x:v>
      </x:c>
      <x:c r="DJ42" s="23" t="n">
        <x:v>0</x:v>
      </x:c>
      <x:c r="DK42" s="23" t="n">
        <x:v>36.943976562500055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720.503173828125</x:v>
      </x:c>
      <x:c r="DQ42" s="23" t="n">
        <x:v>720.0848795572916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722.7196451822916</x:v>
      </x:c>
      <x:c r="DW42" s="23" t="n">
        <x:v>723.5157063802083</x:v>
      </x:c>
      <x:c r="DX42" s="23" t="n">
        <x:v>732.835133543917</x:v>
      </x:c>
      <x:c r="DY42" s="23" t="n">
        <x:v>731.5895182291666</x:v>
      </x:c>
      <x:c r="DZ42" s="23" t="n">
        <x:v>731.216064453125</x:v>
      </x:c>
      <x:c r="EA42" s="23" t="n">
        <x:v>737.049839986979</x:v>
      </x:c>
      <x:c r="EB42" s="23" t="n">
        <x:v>654.822400679977</x:v>
      </x:c>
      <x:c r="EC42" s="23" t="n">
        <x:v>841.9460750626928</x:v>
      </x:c>
      <x:c r="ED42" s="23" t="n">
        <x:v>1369.255411783854</x:v>
      </x:c>
      <x:c r="EE42" s="23" t="n">
        <x:v>549.06591796875</x:v>
      </x:c>
      <x:c r="EF42" s="23" t="n">
        <x:v>544.5409749348958</x:v>
      </x:c>
      <x:c r="EG42" s="23" t="n">
        <x:v>557.0879313151041</x:v>
      </x:c>
      <x:c r="EH42" s="23" t="n">
        <x:v>566.6194254557291</x:v>
      </x:c>
      <x:c r="EI42" s="23" t="n">
        <x:v>562.643310546875</x:v>
      </x:c>
      <x:c r="EJ42" s="23" t="n">
        <x:v>567.430908203125</x:v>
      </x:c>
      <x:c r="EK42" s="23" t="n">
        <x:v>1394.9593505859375</x:v>
      </x:c>
      <x:c r="EL42" s="23" t="n">
        <x:v>1381.4757080078125</x:v>
      </x:c>
      <x:c r="EM42" s="23" t="n">
        <x:v>1387.5026448567708</x:v>
      </x:c>
      <x:c r="EN42" s="23" t="n">
        <x:v>1304.350626627604</x:v>
      </x:c>
      <x:c r="EO42" s="23" t="n">
        <x:v>1250.04638671875</x:v>
      </x:c>
      <x:c r="EP42" s="23" t="n">
        <x:f>SUM(B42:EO42)</x:f>
        <x:v>68043.1460801816</x:v>
      </x:c>
      <x:c r="EQ42" s="23" t="n">
        <x:f>SUMPRODUCT(B42:EO42,{0.4376,0.4576,0.4673,0.4657,0.4651,0.452,0.4051,0.3862,0.406,0.4177,0.4309,0.4209,0.3604,0.3984,0.4933,0.4528,0.4151,0.4276,0.4057,0.4354,0.4987,0.4766,0.4358,0.4425,0.4889,0.4731,0.4194,0.4455,0.4488,0.4042,0.4009,0.4472,0.471,0.4341,0.6459,0.9879,1.0059,0.9513,0.9586,0.9084,0.8617,0.8496,0.8373,0.8344,0.7859,0.669,0.8694,1.2449,1.2351,1.1203,1.1042,1.1076,1.0956,1.0759,1.0742,1.0739,1.0653,1.0611,1.0887,1.1262,1.1163,1.0706,1.0455,1.0575,0.8752,0.6182,0.6517,0.6906,0.6264,0.6302,0.617,0.5693,0.5736,0.5913,0.5669,0.5229,0.7128,1.0018,0.9837,0.9339,0.9852,0.9918,0.9685,0.9668,1.0039,0.994,0.9803,1.0568,0.9218,0.668,0.7085,0.775,0.7636,0.8314,0.8272,0.7665,0.8333,0.9029,0.9329,1.0017,1.0284,1.0246,1.0836,1.0967,1.0571,1.0788,1.1433,1.2202,1.2895,1.2853,1.2484,1.2881,1.3195,1.3074,1.3017,1.2918,1.2868,1.3144,1.3317,1.3127,1.2726,1.2521,1.2695,1.2862,1.1604,0.9507,0.8725,0.8714,0.913,0.9772,0.7619,0.4153,0.4105,0.449,0.3939,0.4077,0.4156,0.4004,0.4324,0.4533,0.4439,0.4386,0.3972,0.3312})</x:f>
        <x:v>43158.667074634395</x:v>
      </x:c>
    </x:row>
    <x:row r="43" ht="14" customHeight="1">
      <x:c r="A43" s="3">
        <x:v>45730</x:v>
      </x:c>
      <x:c r="B43" s="23" t="n">
        <x:v>411.56705729166663</x:v>
      </x:c>
      <x:c r="C43" s="23" t="n">
        <x:v>415.52579752604163</x:v>
      </x:c>
      <x:c r="D43" s="23" t="n">
        <x:v>413.0694173177083</x:v>
      </x:c>
      <x:c r="E43" s="23" t="n">
        <x:v>417.89982096354163</x:v>
      </x:c>
      <x:c r="F43" s="23" t="n">
        <x:v>411.44169108072913</x:v>
      </x:c>
      <x:c r="G43" s="23" t="n">
        <x:v>410.4209798177083</x:v>
      </x:c>
      <x:c r="H43" s="23" t="n">
        <x:v>411.793701171875</x:v>
      </x:c>
      <x:c r="I43" s="23" t="n">
        <x:v>1245.0179036458333</x:v>
      </x:c>
      <x:c r="J43" s="23" t="n">
        <x:v>411.27384440104163</x:v>
      </x:c>
      <x:c r="K43" s="23" t="n">
        <x:v>421.3011067708333</x:v>
      </x:c>
      <x:c r="L43" s="23" t="n">
        <x:v>428.0619710286458</x:v>
      </x:c>
      <x:c r="M43" s="23" t="n">
        <x:v>431.38736979166663</x:v>
      </x:c>
      <x:c r="N43" s="23" t="n">
        <x:v>441.03238932291663</x:v>
      </x:c>
      <x:c r="O43" s="23" t="n">
        <x:v>428.59342447916663</x:v>
      </x:c>
      <x:c r="P43" s="23" t="n">
        <x:v>420.0789794921875</x:v>
      </x:c>
      <x:c r="Q43" s="23" t="n">
        <x:v>420.44486490885413</x:v>
      </x:c>
      <x:c r="R43" s="23" t="n">
        <x:v>431.8892415364583</x:v>
      </x:c>
      <x:c r="S43" s="23" t="n">
        <x:v>444.22428385416663</x:v>
      </x:c>
      <x:c r="T43" s="23" t="n">
        <x:v>436.7511800130208</x:v>
      </x:c>
      <x:c r="U43" s="23" t="n">
        <x:v>425.62845865885413</x:v>
      </x:c>
      <x:c r="V43" s="23" t="n">
        <x:v>0</x:v>
      </x:c>
      <x:c r="W43" s="23" t="n">
        <x:v>444.5562337239583</x:v>
      </x:c>
      <x:c r="X43" s="23" t="n">
        <x:v>450.0206298828125</x:v>
      </x:c>
      <x:c r="Y43" s="23" t="n">
        <x:v>440.69047037760413</x:v>
      </x:c>
      <x:c r="Z43" s="23" t="n">
        <x:v>448.526123046875</x:v>
      </x:c>
      <x:c r="AA43" s="23" t="n">
        <x:v>457.89383951822913</x:v>
      </x:c>
      <x:c r="AB43" s="23" t="n">
        <x:v>455.2307942708333</x:v>
      </x:c>
      <x:c r="AC43" s="23" t="n">
        <x:v>261.22009798058514</x:v>
      </x:c>
      <x:c r="AD43" s="23" t="n">
        <x:v>476.45560709635413</x:v>
      </x:c>
      <x:c r="AE43" s="23" t="n">
        <x:v>484.9776611328125</x:v>
      </x:c>
      <x:c r="AF43" s="23" t="n">
        <x:v>475.25</x:v>
      </x:c>
      <x:c r="AG43" s="23" t="n">
        <x:v>469.0352783203125</x:v>
      </x:c>
      <x:c r="AH43" s="23" t="n">
        <x:v>463.5787353515625</x:v>
      </x:c>
      <x:c r="AI43" s="23" t="n">
        <x:v>460.6648436443394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0</x:v>
      </x:c>
      <x:c r="CS43" s="23" t="n">
        <x:v>35.14353839682492</x:v>
      </x:c>
      <x:c r="CT43" s="23" t="n">
        <x:v>79.28078177502705</x:v>
      </x:c>
      <x:c r="CU43" s="23" t="n">
        <x:v>126.17663841002513</x:v>
      </x:c>
      <x:c r="CV43" s="23" t="n">
        <x:v>183.39409770912974</x:v>
      </x:c>
      <x:c r="CW43" s="23" t="n">
        <x:v>247.39181671086138</x:v>
      </x:c>
      <x:c r="CX43" s="23" t="n">
        <x:v>250.8226236005093</x:v>
      </x:c>
      <x:c r="CY43" s="23" t="n">
        <x:v>239.18415833880653</x:v>
      </x:c>
      <x:c r="CZ43" s="23" t="n">
        <x:v>290.5715093479228</x:v>
      </x:c>
      <x:c r="DA43" s="23" t="n">
        <x:v>331.8346624763128</x:v>
      </x:c>
      <x:c r="DB43" s="23" t="n">
        <x:v>377.82615422755026</x:v>
      </x:c>
      <x:c r="DC43" s="23" t="n">
        <x:v>412.8676977887221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472.42215983072913</x:v>
      </x:c>
      <x:c r="DX43" s="23" t="n">
        <x:v>473.89615885416663</x:v>
      </x:c>
      <x:c r="DY43" s="23" t="n">
        <x:v>464.66776529947913</x:v>
      </x:c>
      <x:c r="DZ43" s="23" t="n">
        <x:v>462.971435546875</x:v>
      </x:c>
      <x:c r="EA43" s="23" t="n">
        <x:v>379.55338090017113</x:v>
      </x:c>
      <x:c r="EB43" s="23" t="n">
        <x:v>471.8960497685187</x:v>
      </x:c>
      <x:c r="EC43" s="23" t="n">
        <x:v>397.67919921875</x:v>
      </x:c>
      <x:c r="ED43" s="23" t="n">
        <x:v>1221.039591471354</x:v>
      </x:c>
      <x:c r="EE43" s="23" t="n">
        <x:v>1225.792765299479</x:v>
      </x:c>
      <x:c r="EF43" s="23" t="n">
        <x:v>1228.683146158854</x:v>
      </x:c>
      <x:c r="EG43" s="23" t="n">
        <x:v>1240.2660319010415</x:v>
      </x:c>
      <x:c r="EH43" s="23" t="n">
        <x:v>1224.528361002604</x:v>
      </x:c>
      <x:c r="EI43" s="23" t="n">
        <x:v>389.4659423828125</x:v>
      </x:c>
      <x:c r="EJ43" s="23" t="n">
        <x:v>400.37381998697913</x:v>
      </x:c>
      <x:c r="EK43" s="23" t="n">
        <x:v>406.8361409505208</x:v>
      </x:c>
      <x:c r="EL43" s="23" t="n">
        <x:v>711.4880265600887</x:v>
      </x:c>
      <x:c r="EM43" s="23" t="n">
        <x:v>1234.1581217447915</x:v>
      </x:c>
      <x:c r="EN43" s="23" t="n">
        <x:v>404.58170572916663</x:v>
      </x:c>
      <x:c r="EO43" s="23" t="n">
        <x:v>411.97709147135413</x:v>
      </x:c>
      <x:c r="EP43" s="23" t="n">
        <x:f>SUM(B43:EO43)</x:f>
        <x:v>30862.27437027864</x:v>
      </x:c>
      <x:c r="EQ43" s="23" t="n">
        <x:f>SUMPRODUCT(B43:EO43,{0.3076,0.328,0.3463,0.3172,0.3162,0.3482,0.3379,0.292,0.2717,0.3314,0.3731,0.3646,0.3536,0.2973,0.2314,0.2588,0.3455,0.4129,0.4004,0.353,0.319,0.3153,0.3278,0.3595,0.4098,0.3753,0.2935,0.3175,0.3957,0.4265,0.3525,0.2774,0.2783,0.3723,0.5947,0.807,0.7907,0.7165,0.6864,0.6538,0.6497,0.6904,0.7415,0.7152,0.6145,0.559,0.7061,0.9179,0.8835,0.8041,0.7964,0.7871,0.8016,0.8312,0.8211,0.7794,0.7315,0.701,0.6977,0.6911,0.6401,0.6065,0.6363,0.6839,0.5187,0.2508,0.2341,0.259,0.2056,0.1698,0.1712,0.2135,0.2833,0.2835,0.2036,0.1602,0.3327,0.5877,0.5998,0.5782,0.6467,0.7152,0.7325,0.7185,0.7351,0.7737,0.8022,0.7845,0.6903,0.55,0.452,0.4744,0.5571,0.5646,0.5914,0.6466,0.6407,0.6654,0.7168,0.6911,0.6508,0.6473,0.6788,0.7472,0.7772,0.7116,0.8574,1.1502,1.1955,1.1252,1.0929,1.1151,1.1217,1.1017,1.103,1.0946,1.0864,1.1241,1.1492,1.134,1.1087,1.1011,1.1326,1.1755,1.0433,0.7976,0.709,0.7328,0.795,0.8307,0.6202,0.2948,0.237,0.2843,0.3099,0.3428,0.3341,0.3022,0.3214,0.3368,0.3227,0.3136,0.3346,0.3712})</x:f>
        <x:v>12139.957977272406</x:v>
      </x:c>
    </x:row>
    <x:row r="44" ht="14" customHeight="1">
      <x:c r="A44" s="3">
        <x:v>45731</x:v>
      </x:c>
      <x:c r="B44" s="23" t="n">
        <x:v>410.77714029947913</x:v>
      </x:c>
      <x:c r="C44" s="23" t="n">
        <x:v>408.57470703125</x:v>
      </x:c>
      <x:c r="D44" s="23" t="n">
        <x:v>404.14969889322913</x:v>
      </x:c>
      <x:c r="E44" s="23" t="n">
        <x:v>420.8428955078125</x:v>
      </x:c>
      <x:c r="F44" s="23" t="n">
        <x:v>419.4429524739583</x:v>
      </x:c>
      <x:c r="G44" s="23" t="n">
        <x:v>405.4250081380208</x:v>
      </x:c>
      <x:c r="H44" s="23" t="n">
        <x:v>406.71232096354163</x:v>
      </x:c>
      <x:c r="I44" s="23" t="n">
        <x:v>400.8670654296875</x:v>
      </x:c>
      <x:c r="J44" s="23" t="n">
        <x:v>423.75944010416663</x:v>
      </x:c>
      <x:c r="K44" s="23" t="n">
        <x:v>436.6759033203125</x:v>
      </x:c>
      <x:c r="L44" s="23" t="n">
        <x:v>440.2873128255208</x:v>
      </x:c>
      <x:c r="M44" s="23" t="n">
        <x:v>441.8441975911458</x:v>
      </x:c>
      <x:c r="N44" s="23" t="n">
        <x:v>454.84806315104163</x:v>
      </x:c>
      <x:c r="O44" s="23" t="n">
        <x:v>438.7559814453125</x:v>
      </x:c>
      <x:c r="P44" s="23" t="n">
        <x:v>0</x:v>
      </x:c>
      <x:c r="Q44" s="23" t="n">
        <x:v>433.1533203125</x:v>
      </x:c>
      <x:c r="R44" s="23" t="n">
        <x:v>1265.739501953125</x:v>
      </x:c>
      <x:c r="S44" s="23" t="n">
        <x:v>1276.2718912760415</x:v>
      </x:c>
      <x:c r="T44" s="23" t="n">
        <x:v>436.36063639322913</x:v>
      </x:c>
      <x:c r="U44" s="23" t="n">
        <x:v>451.718017578125</x:v>
      </x:c>
      <x:c r="V44" s="23" t="n">
        <x:v>449.89713541666663</x:v>
      </x:c>
      <x:c r="W44" s="23" t="n">
        <x:v>440.3218994140625</x:v>
      </x:c>
      <x:c r="X44" s="23" t="n">
        <x:v>449.6405843098958</x:v>
      </x:c>
      <x:c r="Y44" s="23" t="n">
        <x:v>39.53759676839225</x:v>
      </x:c>
      <x:c r="Z44" s="23" t="n">
        <x:v>0</x:v>
      </x:c>
      <x:c r="AA44" s="23" t="n">
        <x:v>468.2381184895833</x:v>
      </x:c>
      <x:c r="AB44" s="23" t="n">
        <x:v>450.22770182291663</x:v>
      </x:c>
      <x:c r="AC44" s="23" t="n">
        <x:v>0</x:v>
      </x:c>
      <x:c r="AD44" s="23" t="n">
        <x:v>471.9568684895833</x:v>
      </x:c>
      <x:c r="AE44" s="23" t="n">
        <x:v>473.32303873697913</x:v>
      </x:c>
      <x:c r="AF44" s="23" t="n">
        <x:v>465.1725667317708</x:v>
      </x:c>
      <x:c r="AG44" s="23" t="n">
        <x:v>451.20963541666663</x:v>
      </x:c>
      <x:c r="AH44" s="23" t="n">
        <x:v>463.8127034505208</x:v>
      </x:c>
      <x:c r="AI44" s="23" t="n">
        <x:v>461.6225414385817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22.49090074541194</x:v>
      </x:c>
      <x:c r="CT44" s="23" t="n">
        <x:v>77.89025714620743</x:v>
      </x:c>
      <x:c r="CU44" s="23" t="n">
        <x:v>128.67166983416533</x:v>
      </x:c>
      <x:c r="CV44" s="23" t="n">
        <x:v>189.73626373312305</x:v>
      </x:c>
      <x:c r="CW44" s="23" t="n">
        <x:v>264.62677603558654</x:v>
      </x:c>
      <x:c r="CX44" s="23" t="n">
        <x:v>247.19159218536225</x:v>
      </x:c>
      <x:c r="CY44" s="23" t="n">
        <x:v>247.75384246187616</x:v>
      </x:c>
      <x:c r="CZ44" s="23" t="n">
        <x:v>294.5553294171398</x:v>
      </x:c>
      <x:c r="DA44" s="23" t="n">
        <x:v>341.0667303272989</x:v>
      </x:c>
      <x:c r="DB44" s="23" t="n">
        <x:v>377.1725007358061</x:v>
      </x:c>
      <x:c r="DC44" s="23" t="n">
        <x:v>423.92427857211305</x:v>
      </x:c>
      <x:c r="DD44" s="23" t="n">
        <x:v>443.8156784296248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460.83292643229163</x:v>
      </x:c>
      <x:c r="DX44" s="23" t="n">
        <x:v>469.26920572916663</x:v>
      </x:c>
      <x:c r="DY44" s="23" t="n">
        <x:v>470.19816080729163</x:v>
      </x:c>
      <x:c r="DZ44" s="23" t="n">
        <x:v>468.92399088541663</x:v>
      </x:c>
      <x:c r="EA44" s="23" t="n">
        <x:v>35.91351921269627</x:v>
      </x:c>
      <x:c r="EB44" s="23" t="n">
        <x:v>446.3387717317708</x:v>
      </x:c>
      <x:c r="EC44" s="23" t="n">
        <x:v>392.81107584635413</x:v>
      </x:c>
      <x:c r="ED44" s="23" t="n">
        <x:v>1215.2894287109375</x:v>
      </x:c>
      <x:c r="EE44" s="23" t="n">
        <x:v>1225.2645670572915</x:v>
      </x:c>
      <x:c r="EF44" s="23" t="n">
        <x:v>1239.8162841796875</x:v>
      </x:c>
      <x:c r="EG44" s="23" t="n">
        <x:v>1232.7930501302083</x:v>
      </x:c>
      <x:c r="EH44" s="23" t="n">
        <x:v>395.5497639973958</x:v>
      </x:c>
      <x:c r="EI44" s="23" t="n">
        <x:v>398.092529296875</x:v>
      </x:c>
      <x:c r="EJ44" s="23" t="n">
        <x:v>1231.862833658854</x:v>
      </x:c>
      <x:c r="EK44" s="23" t="n">
        <x:v>1232.577880859375</x:v>
      </x:c>
      <x:c r="EL44" s="23" t="n">
        <x:v>574.4186343637473</x:v>
      </x:c>
      <x:c r="EM44" s="23" t="n">
        <x:v>1230.579833984375</x:v>
      </x:c>
      <x:c r="EN44" s="23" t="n">
        <x:v>424.7522786458333</x:v>
      </x:c>
      <x:c r="EO44" s="23" t="n">
        <x:v>0</x:v>
      </x:c>
      <x:c r="EP44" s="23" t="n">
        <x:f>SUM(B44:EO44)</x:f>
        <x:v>31065.347000326412</x:v>
      </x:c>
      <x:c r="EQ44" s="23" t="n">
        <x:f>SUMPRODUCT(B44:EO44,{0.3796,0.3476,0.3179,0.3418,0.3233,0.2766,0.3137,0.3515,0.3542,0.3632,0.3388,0.3126,0.3623,0.3853,0.3603,0.3635,0.3562,0.3386,0.356,0.3564,0.3314,0.3292,0.3489,0.3479,0.2969,0.3254,0.4087,0.3858,0.3287,0.3198,0.3702,0.4078,0.3854,0.3485,0.5154,0.7653,0.7501,0.721,0.7496,0.6678,0.6702,0.7478,0.6865,0.6355,0.6292,0.5719,0.6687,0.8834,0.941,0.8815,0.7961,0.7405,0.749,0.7939,0.8055,0.7787,0.755,0.7799,0.7975,0.7838,0.7716,0.7855,0.8109,0.7795,0.5681,0.3092,0.2881,0.3362,0.3584,0.4168,0.4468,0.3988,0.3009,0.289,0.3267,0.2813,0.4085,0.6416,0.6341,0.5953,0.6297,0.6324,0.6526,0.7041,0.7339,0.7316,0.7504,0.8188,0.679,0.4321,0.4555,0.5203,0.4924,0.4754,0.5152,0.5793,0.5977,0.5948,0.614,0.6722,0.7085,0.6947,0.6669,0.7017,0.7525,0.7329,0.907,1.1677,1.1271,1.1015,1.1777,1.1276,1.0948,1.1147,1.0646,1.0109,1.028,1.1137,1.1337,1.0921,1.1086,1.09,1.0751,1.1741,1.0532,0.7739,0.7504,0.7858,0.7934,0.8512,0.6436,0.2913,0.2699,0.3352,0.3315,0.3442,0.3301,0.3062,0.3438,0.3571,0.3116,0.2765,0.3597,0.485})</x:f>
        <x:v>12631.867506138886</x:v>
      </x:c>
    </x:row>
    <x:row r="45" ht="14" customHeight="1">
      <x:c r="A45" s="3">
        <x:v>45732</x:v>
      </x:c>
      <x:c r="B45" s="23" t="n">
        <x:v>571.9499918619791</x:v>
      </x:c>
      <x:c r="C45" s="23" t="n">
        <x:v>1400.63037109375</x:v>
      </x:c>
      <x:c r="D45" s="23" t="n">
        <x:v>1398.4844563802083</x:v>
      </x:c>
      <x:c r="E45" s="23" t="n">
        <x:v>1407.13818359375</x:v>
      </x:c>
      <x:c r="F45" s="23" t="n">
        <x:v>1117.707303428016</x:v>
      </x:c>
      <x:c r="G45" s="23" t="n">
        <x:v>578.7222086588541</x:v>
      </x:c>
      <x:c r="H45" s="23" t="n">
        <x:v>572.9981689453125</x:v>
      </x:c>
      <x:c r="I45" s="23" t="n">
        <x:v>579.783447265625</x:v>
      </x:c>
      <x:c r="J45" s="23" t="n">
        <x:v>588.96044921875</x:v>
      </x:c>
      <x:c r="K45" s="23" t="n">
        <x:v>580.3341878255208</x:v>
      </x:c>
      <x:c r="L45" s="23" t="n">
        <x:v>1415.159912109375</x:v>
      </x:c>
      <x:c r="M45" s="23" t="n">
        <x:v>583.9551188151041</x:v>
      </x:c>
      <x:c r="N45" s="23" t="n">
        <x:v>589.7110188802083</x:v>
      </x:c>
      <x:c r="O45" s="23" t="n">
        <x:v>596.6824137369791</x:v>
      </x:c>
      <x:c r="P45" s="23" t="n">
        <x:v>590.8198649088541</x:v>
      </x:c>
      <x:c r="Q45" s="23" t="n">
        <x:v>581.8326822916666</x:v>
      </x:c>
      <x:c r="R45" s="23" t="n">
        <x:v>592.5435384114583</x:v>
      </x:c>
      <x:c r="S45" s="23" t="n">
        <x:v>596.7044270833333</x:v>
      </x:c>
      <x:c r="T45" s="23" t="n">
        <x:v>602.777587890625</x:v>
      </x:c>
      <x:c r="U45" s="23" t="n">
        <x:v>594.2145182291666</x:v>
      </x:c>
      <x:c r="V45" s="23" t="n">
        <x:v>608.06689453125</x:v>
      </x:c>
      <x:c r="W45" s="23" t="n">
        <x:v>599.2351481119791</x:v>
      </x:c>
      <x:c r="X45" s="23" t="n">
        <x:v>595.3848470052083</x:v>
      </x:c>
      <x:c r="Y45" s="23" t="n">
        <x:v>599.66162109375</x:v>
      </x:c>
      <x:c r="Z45" s="23" t="n">
        <x:v>607.5867513020833</x:v>
      </x:c>
      <x:c r="AA45" s="23" t="n">
        <x:v>1428.2969563802083</x:v>
      </x:c>
      <x:c r="AB45" s="23" t="n">
        <x:v>585.0603434244791</x:v>
      </x:c>
      <x:c r="AC45" s="23" t="n">
        <x:v>605.4661458333333</x:v>
      </x:c>
      <x:c r="AD45" s="23" t="n">
        <x:v>611.7961832682291</x:v>
      </x:c>
      <x:c r="AE45" s="23" t="n">
        <x:v>611.8806966145833</x:v>
      </x:c>
      <x:c r="AF45" s="23" t="n">
        <x:v>602.4805908203125</x:v>
      </x:c>
      <x:c r="AG45" s="23" t="n">
        <x:v>606.4503173828125</x:v>
      </x:c>
      <x:c r="AH45" s="23" t="n">
        <x:v>621.2644856770833</x:v>
      </x:c>
      <x:c r="AI45" s="23" t="n">
        <x:v>1422.9441775390083</x:v>
      </x:c>
      <x:c r="AJ45" s="23" t="n">
        <x:v>657.5716309274355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0</x:v>
      </x:c>
      <x:c r="AR45" s="23" t="n">
        <x:v>0</x:v>
      </x:c>
      <x:c r="AS45" s="23" t="n">
        <x:v>0</x:v>
      </x:c>
      <x:c r="AT45" s="23" t="n">
        <x:v>339.2067924456542</x:v>
      </x:c>
      <x:c r="AU45" s="23" t="n">
        <x:v>877.7607658674599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710.5441145036403</x:v>
      </x:c>
      <x:c r="BP45" s="23" t="n">
        <x:v>733.4563161290275</x:v>
      </x:c>
      <x:c r="BQ45" s="23" t="n">
        <x:v>715.9313131801412</x:v>
      </x:c>
      <x:c r="BR45" s="23" t="n">
        <x:v>673.7678673349596</x:v>
      </x:c>
      <x:c r="BS45" s="23" t="n">
        <x:v>665.2459483519578</x:v>
      </x:c>
      <x:c r="BT45" s="23" t="n">
        <x:v>652.9484322927419</x:v>
      </x:c>
      <x:c r="BU45" s="23" t="n">
        <x:v>631.065578532378</x:v>
      </x:c>
      <x:c r="BV45" s="23" t="n">
        <x:v>612.3732422730222</x:v>
      </x:c>
      <x:c r="BW45" s="23" t="n">
        <x:v>602.5549550256503</x:v>
      </x:c>
      <x:c r="BX45" s="23" t="n">
        <x:v>601.501429574753</x:v>
      </x:c>
      <x:c r="BY45" s="23" t="n">
        <x:v>612.8859238359302</x:v>
      </x:c>
      <x:c r="BZ45" s="23" t="n">
        <x:v>0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209.75251568250025</x:v>
      </x:c>
      <x:c r="CN45" s="23" t="n">
        <x:v>833.6510513897292</x:v>
      </x:c>
      <x:c r="CO45" s="23" t="n">
        <x:v>273.9219988581916</x:v>
      </x:c>
      <x:c r="CP45" s="23" t="n">
        <x:v>310.5900214003333</x:v>
      </x:c>
      <x:c r="CQ45" s="23" t="n">
        <x:v>371.6417930061153</x:v>
      </x:c>
      <x:c r="CR45" s="23" t="n">
        <x:v>424.1597753252672</x:v>
      </x:c>
      <x:c r="CS45" s="23" t="n">
        <x:v>462.4887747823444</x:v>
      </x:c>
      <x:c r="CT45" s="23" t="n">
        <x:v>523.4572846701108</x:v>
      </x:c>
      <x:c r="CU45" s="23" t="n">
        <x:v>574.4919326054276</x:v>
      </x:c>
      <x:c r="CV45" s="23" t="n">
        <x:v>625.3305134019677</x:v>
      </x:c>
      <x:c r="CW45" s="23" t="n">
        <x:v>671.5458362002717</x:v>
      </x:c>
      <x:c r="CX45" s="23" t="n">
        <x:v>733.9478137114074</x:v>
      </x:c>
      <x:c r="CY45" s="23" t="n">
        <x:v>780.4637324442666</x:v>
      </x:c>
      <x:c r="CZ45" s="23" t="n">
        <x:v>844.8828411095476</x:v>
      </x:c>
      <x:c r="DA45" s="23" t="n">
        <x:v>887.3097067098366</x:v>
      </x:c>
      <x:c r="DB45" s="23" t="n">
        <x:v>935.1650452832679</x:v>
      </x:c>
      <x:c r="DC45" s="23" t="n">
        <x:v>987.2586664006345</x:v>
      </x:c>
      <x:c r="DD45" s="23" t="n">
        <x:v>909.8291557843163</x:v>
      </x:c>
      <x:c r="DE45" s="23" t="n">
        <x:v>27.79046196387541</x:v>
      </x:c>
      <x:c r="DF45" s="23" t="n">
        <x:v>0</x:v>
      </x:c>
      <x:c r="DG45" s="23" t="n">
        <x:v>720.4930073202878</x:v>
      </x:c>
      <x:c r="DH45" s="23" t="n">
        <x:v>0</x:v>
      </x:c>
      <x:c r="DI45" s="23" t="n">
        <x:v>0</x:v>
      </x:c>
      <x:c r="DJ45" s="23" t="n">
        <x:v>0</x:v>
      </x:c>
      <x:c r="DK45" s="23" t="n">
        <x:v>0</x:v>
      </x:c>
      <x:c r="DL45" s="23" t="n">
        <x:v>723.1963704427083</x:v>
      </x:c>
      <x:c r="DM45" s="23" t="n">
        <x:v>0</x:v>
      </x:c>
      <x:c r="DN45" s="23" t="n">
        <x:v>0</x:v>
      </x:c>
      <x:c r="DO45" s="23" t="n">
        <x:v>731.8409830729166</x:v>
      </x:c>
      <x:c r="DP45" s="23" t="n">
        <x:v>722.5523274739583</x:v>
      </x:c>
      <x:c r="DQ45" s="23" t="n">
        <x:v>0</x:v>
      </x:c>
      <x:c r="DR45" s="23" t="n">
        <x:v>724.1328938802083</x:v>
      </x:c>
      <x:c r="DS45" s="23" t="n">
        <x:v>0</x:v>
      </x:c>
      <x:c r="DT45" s="23" t="n">
        <x:v>0</x:v>
      </x:c>
      <x:c r="DU45" s="23" t="n">
        <x:v>0</x:v>
      </x:c>
      <x:c r="DV45" s="23" t="n">
        <x:v>720.0440266927083</x:v>
      </x:c>
      <x:c r="DW45" s="23" t="n">
        <x:v>729.0646158854166</x:v>
      </x:c>
      <x:c r="DX45" s="23" t="n">
        <x:v>735.6471354166666</x:v>
      </x:c>
      <x:c r="DY45" s="23" t="n">
        <x:v>726.0108235677083</x:v>
      </x:c>
      <x:c r="DZ45" s="23" t="n">
        <x:v>737.48095703125</x:v>
      </x:c>
      <x:c r="EA45" s="23" t="n">
        <x:v>736.697417421875</x:v>
      </x:c>
      <x:c r="EB45" s="23" t="n">
        <x:v>663.7660894921875</x:v>
      </x:c>
      <x:c r="EC45" s="23" t="n">
        <x:v>1378.363566080729</x:v>
      </x:c>
      <x:c r="ED45" s="23" t="n">
        <x:v>1350.0194498697915</x:v>
      </x:c>
      <x:c r="EE45" s="23" t="n">
        <x:v>1376.04345703125</x:v>
      </x:c>
      <x:c r="EF45" s="23" t="n">
        <x:v>1366.413859049479</x:v>
      </x:c>
      <x:c r="EG45" s="23" t="n">
        <x:v>536.4827473958333</x:v>
      </x:c>
      <x:c r="EH45" s="23" t="n">
        <x:v>841.4207391975303</x:v>
      </x:c>
      <x:c r="EI45" s="23" t="n">
        <x:v>1370.5305989583333</x:v>
      </x:c>
      <x:c r="EJ45" s="23" t="n">
        <x:v>1391.080362955729</x:v>
      </x:c>
      <x:c r="EK45" s="23" t="n">
        <x:v>563.0177815755208</x:v>
      </x:c>
      <x:c r="EL45" s="23" t="n">
        <x:v>562.0802408854166</x:v>
      </x:c>
      <x:c r="EM45" s="23" t="n">
        <x:v>580.2685953776041</x:v>
      </x:c>
      <x:c r="EN45" s="23" t="n">
        <x:v>564.3592529296875</x:v>
      </x:c>
      <x:c r="EO45" s="23" t="n">
        <x:v>572.7089029947916</x:v>
      </x:c>
      <x:c r="EP45" s="23" t="n">
        <x:f>SUM(B45:EO45)</x:f>
        <x:v>67244.8944426166</x:v>
      </x:c>
      <x:c r="EQ45" s="23" t="n">
        <x:f>SUMPRODUCT(B45:EO45,{0.4638,0.4234,0.4283,0.4167,0.394,0.396,0.4418,0.4427,0.4024,0.4122,0.438,0.4352,0.4033,0.4254,0.4813,0.4716,0.4695,0.4835,0.4447,0.4097,0.4191,0.4507,0.4307,0.4068,0.4856,0.4836,0.4049,0.4336,0.4376,0.3948,0.4249,0.4486,0.4076,0.372,0.6108,0.9855,1.053,0.976,0.9282,0.9257,0.9372,0.9207,0.862,0.8517,0.8405,0.7394,0.9341,1.2949,1.2729,1.1693,1.1697,1.1468,1.066,1.0096,1.07,1.0327,0.9175,0.9535,0.9679,0.9381,1.0074,0.9813,0.8985,0.9698,0.8361,0.5375,0.4947,0.4824,0.4156,0.4496,0.4763,0.465,0.4975,0.5203,0.5066,0.5104,0.6557,0.8776,0.9713,0.9921,0.9947,0.9749,0.9626,0.9638,0.9571,0.9436,0.9582,1.0131,0.9328,0.7544,0.7113,0.7825,0.8495,0.8186,0.8133,0.8638,0.8818,0.8943,0.9196,0.9437,0.9782,1.0084,1.0092,1.0431,1.1017,1.1213,1.182,1.2667,1.2706,1.273,1.2881,1.2563,1.2666,1.3095,1.2871,1.2858,1.3063,1.2633,1.2521,1.2891,1.2883,1.2617,1.2615,1.2995,1.1828,0.9661,0.911,0.9174,0.9395,0.9944,0.7842,0.4226,0.3598,0.4306,0.4621,0.4465,0.4285,0.4166,0.3907,0.403,0.4349,0.4129,0.3994,0.4155})</x:f>
        <x:v>41500.03795180827</x:v>
      </x:c>
    </x:row>
    <x:row r="46" ht="14" customHeight="1">
      <x:c r="A46" s="3">
        <x:v>45733</x:v>
      </x:c>
      <x:c r="B46" s="23" t="n">
        <x:v>1412.6602783203125</x:v>
      </x:c>
      <x:c r="C46" s="23" t="n">
        <x:v>1410.1220296223958</x:v>
      </x:c>
      <x:c r="D46" s="23" t="n">
        <x:v>567.625</x:v>
      </x:c>
      <x:c r="E46" s="23" t="n">
        <x:v>1402.095458984375</x:v>
      </x:c>
      <x:c r="F46" s="23" t="n">
        <x:v>1414.5806884765625</x:v>
      </x:c>
      <x:c r="G46" s="23" t="n">
        <x:v>1113.3850733699858</x:v>
      </x:c>
      <x:c r="H46" s="23" t="n">
        <x:v>588.7528483072916</x:v>
      </x:c>
      <x:c r="I46" s="23" t="n">
        <x:v>584.3504638671875</x:v>
      </x:c>
      <x:c r="J46" s="23" t="n">
        <x:v>1414.995157877604</x:v>
      </x:c>
      <x:c r="K46" s="23" t="n">
        <x:v>590.5257975260416</x:v>
      </x:c>
      <x:c r="L46" s="23" t="n">
        <x:v>589.3024495442708</x:v>
      </x:c>
      <x:c r="M46" s="23" t="n">
        <x:v>583.2743326822916</x:v>
      </x:c>
      <x:c r="N46" s="23" t="n">
        <x:v>596.7392985026041</x:v>
      </x:c>
      <x:c r="O46" s="23" t="n">
        <x:v>596.5457356770833</x:v>
      </x:c>
      <x:c r="P46" s="23" t="n">
        <x:v>578.9344075520833</x:v>
      </x:c>
      <x:c r="Q46" s="23" t="n">
        <x:v>589.4397379557291</x:v>
      </x:c>
      <x:c r="R46" s="23" t="n">
        <x:v>589.5711669921875</x:v>
      </x:c>
      <x:c r="S46" s="23" t="n">
        <x:v>577.3713785807291</x:v>
      </x:c>
      <x:c r="T46" s="23" t="n">
        <x:v>582.795166015625</x:v>
      </x:c>
      <x:c r="U46" s="23" t="n">
        <x:v>592.3731282552083</x:v>
      </x:c>
      <x:c r="V46" s="23" t="n">
        <x:v>608.6128336588541</x:v>
      </x:c>
      <x:c r="W46" s="23" t="n">
        <x:v>598.921630859375</x:v>
      </x:c>
      <x:c r="X46" s="23" t="n">
        <x:v>592.7332356770833</x:v>
      </x:c>
      <x:c r="Y46" s="23" t="n">
        <x:v>592.2375895182291</x:v>
      </x:c>
      <x:c r="Z46" s="23" t="n">
        <x:v>594.3741861979166</x:v>
      </x:c>
      <x:c r="AA46" s="23" t="n">
        <x:v>596.8686930338541</x:v>
      </x:c>
      <x:c r="AB46" s="23" t="n">
        <x:v>601.9365641276041</x:v>
      </x:c>
      <x:c r="AC46" s="23" t="n">
        <x:v>586.5557454427083</x:v>
      </x:c>
      <x:c r="AD46" s="23" t="n">
        <x:v>602.3207194010416</x:v>
      </x:c>
      <x:c r="AE46" s="23" t="n">
        <x:v>603.0916341145833</x:v>
      </x:c>
      <x:c r="AF46" s="23" t="n">
        <x:v>588.6412760416666</x:v>
      </x:c>
      <x:c r="AG46" s="23" t="n">
        <x:v>601.09130859375</x:v>
      </x:c>
      <x:c r="AH46" s="23" t="n">
        <x:v>606.45654296875</x:v>
      </x:c>
      <x:c r="AI46" s="23" t="n">
        <x:v>1402.396986721441</x:v>
      </x:c>
      <x:c r="AJ46" s="23" t="n">
        <x:v>633.4168737735321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493.43278419029804</x:v>
      </x:c>
      <x:c r="AS46" s="23" t="n">
        <x:v>459.3827815120718</x:v>
      </x:c>
      <x:c r="AT46" s="23" t="n">
        <x:v>461.2796290698748</x:v>
      </x:c>
      <x:c r="AU46" s="23" t="n">
        <x:v>304.63337540496747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711.2655111867099</x:v>
      </x:c>
      <x:c r="BP46" s="23" t="n">
        <x:v>693.5549199282492</x:v>
      </x:c>
      <x:c r="BQ46" s="23" t="n">
        <x:v>671.6609775376356</x:v>
      </x:c>
      <x:c r="BR46" s="23" t="n">
        <x:v>662.0361858478682</x:v>
      </x:c>
      <x:c r="BS46" s="23" t="n">
        <x:v>631.1462392865852</x:v>
      </x:c>
      <x:c r="BT46" s="23" t="n">
        <x:v>608.2547039683438</x:v>
      </x:c>
      <x:c r="BU46" s="23" t="n">
        <x:v>600.8346482610465</x:v>
      </x:c>
      <x:c r="BV46" s="23" t="n">
        <x:v>585.2915095516323</x:v>
      </x:c>
      <x:c r="BW46" s="23" t="n">
        <x:v>592.1625173856141</x:v>
      </x:c>
      <x:c r="BX46" s="23" t="n">
        <x:v>608.1707493407616</x:v>
      </x:c>
      <x:c r="BY46" s="23" t="n">
        <x:v>603.0701007776084</x:v>
      </x:c>
      <x:c r="BZ46" s="23" t="n">
        <x:v>0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214.11012717638414</x:v>
      </x:c>
      <x:c r="CN46" s="23" t="n">
        <x:v>240.32410349010462</x:v>
      </x:c>
      <x:c r="CO46" s="23" t="n">
        <x:v>814.7851067051739</x:v>
      </x:c>
      <x:c r="CP46" s="23" t="n">
        <x:v>340.5162814435205</x:v>
      </x:c>
      <x:c r="CQ46" s="23" t="n">
        <x:v>382.4120728498623</x:v>
      </x:c>
      <x:c r="CR46" s="23" t="n">
        <x:v>429.6569001550521</x:v>
      </x:c>
      <x:c r="CS46" s="23" t="n">
        <x:v>471.50799733300676</x:v>
      </x:c>
      <x:c r="CT46" s="23" t="n">
        <x:v>524.3238346707159</x:v>
      </x:c>
      <x:c r="CU46" s="23" t="n">
        <x:v>578.9902491338362</x:v>
      </x:c>
      <x:c r="CV46" s="23" t="n">
        <x:v>633.0522052237054</x:v>
      </x:c>
      <x:c r="CW46" s="23" t="n">
        <x:v>685.3033998698497</x:v>
      </x:c>
      <x:c r="CX46" s="23" t="n">
        <x:v>736.6879979359039</x:v>
      </x:c>
      <x:c r="CY46" s="23" t="n">
        <x:v>790.9605636132762</x:v>
      </x:c>
      <x:c r="CZ46" s="23" t="n">
        <x:v>839.1706422234384</x:v>
      </x:c>
      <x:c r="DA46" s="23" t="n">
        <x:v>876.5095771232711</x:v>
      </x:c>
      <x:c r="DB46" s="23" t="n">
        <x:v>925.0931671289475</x:v>
      </x:c>
      <x:c r="DC46" s="23" t="n">
        <x:v>997.388869127201</x:v>
      </x:c>
      <x:c r="DD46" s="23" t="n">
        <x:v>897.4242689723048</x:v>
      </x:c>
      <x:c r="DE46" s="23" t="n">
        <x:v>700.9619954427083</x:v>
      </x:c>
      <x:c r="DF46" s="23" t="n">
        <x:v>644.5281250672699</x:v>
      </x:c>
      <x:c r="DG46" s="23" t="n">
        <x:v>712.262740796729</x:v>
      </x:c>
      <x:c r="DH46" s="23" t="n">
        <x:v>0</x:v>
      </x:c>
      <x:c r="DI46" s="23" t="n">
        <x:v>0</x:v>
      </x:c>
      <x:c r="DJ46" s="23" t="n">
        <x:v>0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683.0792578125003</x:v>
      </x:c>
      <x:c r="DQ46" s="23" t="n">
        <x:v>715.7437337239583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732.7169596354166</x:v>
      </x:c>
      <x:c r="DW46" s="23" t="n">
        <x:v>728.3238932291666</x:v>
      </x:c>
      <x:c r="DX46" s="23" t="n">
        <x:v>726.9218098958331</x:v>
      </x:c>
      <x:c r="DY46" s="23" t="n">
        <x:v>727.4684244791666</x:v>
      </x:c>
      <x:c r="DZ46" s="23" t="n">
        <x:v>740.9618326822916</x:v>
      </x:c>
      <x:c r="EA46" s="23" t="n">
        <x:v>741.8429714973956</x:v>
      </x:c>
      <x:c r="EB46" s="23" t="n">
        <x:v>679.2546109664354</x:v>
      </x:c>
      <x:c r="EC46" s="23" t="n">
        <x:v>552.093017578125</x:v>
      </x:c>
      <x:c r="ED46" s="23" t="n">
        <x:v>1373.878702799479</x:v>
      </x:c>
      <x:c r="EE46" s="23" t="n">
        <x:v>1383.1402587890625</x:v>
      </x:c>
      <x:c r="EF46" s="23" t="n">
        <x:v>866.3054093725887</x:v>
      </x:c>
      <x:c r="EG46" s="23" t="n">
        <x:v>571.3060709635416</x:v>
      </x:c>
      <x:c r="EH46" s="23" t="n">
        <x:v>558.1602376302083</x:v>
      </x:c>
      <x:c r="EI46" s="23" t="n">
        <x:v>1383.5111897786458</x:v>
      </x:c>
      <x:c r="EJ46" s="23" t="n">
        <x:v>1385.8660888671875</x:v>
      </x:c>
      <x:c r="EK46" s="23" t="n">
        <x:v>1393.065958658854</x:v>
      </x:c>
      <x:c r="EL46" s="23" t="n">
        <x:v>1402.0221354166665</x:v>
      </x:c>
      <x:c r="EM46" s="23" t="n">
        <x:v>557.8153076171875</x:v>
      </x:c>
      <x:c r="EN46" s="23" t="n">
        <x:v>553.6504313151041</x:v>
      </x:c>
      <x:c r="EO46" s="23" t="n">
        <x:v>573.0667724609375</x:v>
      </x:c>
      <x:c r="EP46" s="23" t="n">
        <x:f>SUM(B46:EO46)</x:f>
        <x:v>67337.43735214125</x:v>
      </x:c>
      <x:c r="EQ46" s="23" t="n">
        <x:f>SUMPRODUCT(B46:EO46,{0.4193,0.4217,0.4315,0.4351,0.3985,0.367,0.4168,0.4187,0.3873,0.4608,0.4936,0.4552,0.4612,0.4623,0.4248,0.3831,0.4041,0.4501,0.4236,0.4269,0.4562,0.4116,0.4279,0.4981,0.4704,0.422,0.4059,0.3982,0.4045,0.4174,0.4241,0.468,0.4794,0.382,0.5576,0.9275,1.002,0.9454,0.922,0.9179,0.8873,0.8282,0.7875,0.8046,0.8094,0.7288,0.8847,1.1958,1.229,1.1475,1.1039,1.0788,1.0301,0.9844,1.0028,0.9997,0.9496,0.9111,0.8888,0.8813,0.8895,0.891,0.9085,0.9534,0.8031,0.5338,0.4669,0.4775,0.4649,0.4583,0.4487,0.4313,0.4144,0.4003,0.3889,0.4131,0.6276,0.907,0.9377,0.8875,0.8835,0.892,0.894,0.8901,0.8866,0.8608,0.8835,1.016,0.9032,0.6328,0.6628,0.7503,0.7415,0.7411,0.8006,0.8721,0.8651,0.8522,0.8919,0.9661,0.9821,0.9656,1.028,1.0797,1.0704,1.0567,1.1482,1.2785,1.2698,1.2439,1.2671,1.2821,1.2656,1.2409,1.2514,1.2759,1.2819,1.2601,1.2698,1.2827,1.2207,1.2169,1.2953,1.3189,1.1688,0.9562,0.9189,0.9129,0.9056,0.9708,0.7912,0.452,0.3879,0.43,0.4273,0.4072,0.4098,0.4151,0.378,0.3897,0.4418,0.4309,0.4092,0.4072})</x:f>
        <x:v>40772.53617748418</x:v>
      </x:c>
    </x:row>
    <x:row r="47" ht="14" customHeight="1">
      <x:c r="A47" s="3">
        <x:v>45734</x:v>
      </x:c>
      <x:c r="B47" s="23" t="n">
        <x:v>576.4749755859375</x:v>
      </x:c>
      <x:c r="C47" s="23" t="n">
        <x:v>568.1957600911458</x:v>
      </x:c>
      <x:c r="D47" s="23" t="n">
        <x:v>572.8489990234375</x:v>
      </x:c>
      <x:c r="E47" s="23" t="n">
        <x:v>578.79345703125</x:v>
      </x:c>
      <x:c r="F47" s="23" t="n">
        <x:v>1396.5194498697915</x:v>
      </x:c>
      <x:c r="G47" s="23" t="n">
        <x:v>561.2786051432291</x:v>
      </x:c>
      <x:c r="H47" s="23" t="n">
        <x:v>592.1275634765625</x:v>
      </x:c>
      <x:c r="I47" s="23" t="n">
        <x:v>597.137939453125</x:v>
      </x:c>
      <x:c r="J47" s="23" t="n">
        <x:v>1403.6236165364583</x:v>
      </x:c>
      <x:c r="K47" s="23" t="n">
        <x:v>578.7938232421875</x:v>
      </x:c>
      <x:c r="L47" s="23" t="n">
        <x:v>600.8443603515625</x:v>
      </x:c>
      <x:c r="M47" s="23" t="n">
        <x:v>606.5690104166666</x:v>
      </x:c>
      <x:c r="N47" s="23" t="n">
        <x:v>875.0494858045222</x:v>
      </x:c>
      <x:c r="O47" s="23" t="n">
        <x:v>581.322265625</x:v>
      </x:c>
      <x:c r="P47" s="23" t="n">
        <x:v>576.5626627604166</x:v>
      </x:c>
      <x:c r="Q47" s="23" t="n">
        <x:v>579.5472005208333</x:v>
      </x:c>
      <x:c r="R47" s="23" t="n">
        <x:v>1419.0100911458333</x:v>
      </x:c>
      <x:c r="S47" s="23" t="n">
        <x:v>588.8878580729166</x:v>
      </x:c>
      <x:c r="T47" s="23" t="n">
        <x:v>575.5013020833333</x:v>
      </x:c>
      <x:c r="U47" s="23" t="n">
        <x:v>583.332275390625</x:v>
      </x:c>
      <x:c r="V47" s="23" t="n">
        <x:v>604.7085367838541</x:v>
      </x:c>
      <x:c r="W47" s="23" t="n">
        <x:v>1425.706787109375</x:v>
      </x:c>
      <x:c r="X47" s="23" t="n">
        <x:v>1410.4887288411458</x:v>
      </x:c>
      <x:c r="Y47" s="23" t="n">
        <x:v>591.6419270833333</x:v>
      </x:c>
      <x:c r="Z47" s="23" t="n">
        <x:v>615.5396728515625</x:v>
      </x:c>
      <x:c r="AA47" s="23" t="n">
        <x:v>613.2290852864583</x:v>
      </x:c>
      <x:c r="AB47" s="23" t="n">
        <x:v>600.7421061197916</x:v>
      </x:c>
      <x:c r="AC47" s="23" t="n">
        <x:v>605.9317626953125</x:v>
      </x:c>
      <x:c r="AD47" s="23" t="n">
        <x:v>614.7572021484375</x:v>
      </x:c>
      <x:c r="AE47" s="23" t="n">
        <x:v>609.7015787760416</x:v>
      </x:c>
      <x:c r="AF47" s="23" t="n">
        <x:v>592.2559407552083</x:v>
      </x:c>
      <x:c r="AG47" s="23" t="n">
        <x:v>602.5189615885416</x:v>
      </x:c>
      <x:c r="AH47" s="23" t="n">
        <x:v>613.22216796875</x:v>
      </x:c>
      <x:c r="AI47" s="23" t="n">
        <x:v>1426.5325087441925</x:v>
      </x:c>
      <x:c r="AJ47" s="23" t="n">
        <x:v>647.9722498901001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255.88626565651595</x:v>
      </x:c>
      <x:c r="AS47" s="23" t="n">
        <x:v>497.6360506607178</x:v>
      </x:c>
      <x:c r="AT47" s="23" t="n">
        <x:v>437.23334657400903</x:v>
      </x:c>
      <x:c r="AU47" s="23" t="n">
        <x:v>289.7110648501033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684.2576065502145</x:v>
      </x:c>
      <x:c r="BP47" s="23" t="n">
        <x:v>672.8587980021971</x:v>
      </x:c>
      <x:c r="BQ47" s="23" t="n">
        <x:v>648.9420970600916</x:v>
      </x:c>
      <x:c r="BR47" s="23" t="n">
        <x:v>627.2210605907599</x:v>
      </x:c>
      <x:c r="BS47" s="23" t="n">
        <x:v>0</x:v>
      </x:c>
      <x:c r="BT47" s="23" t="n">
        <x:v>583.3803987221843</x:v>
      </x:c>
      <x:c r="BU47" s="23" t="n">
        <x:v>553.1417667610528</x:v>
      </x:c>
      <x:c r="BV47" s="23" t="n">
        <x:v>551.0815438131905</x:v>
      </x:c>
      <x:c r="BW47" s="23" t="n">
        <x:v>523.5104188589486</x:v>
      </x:c>
      <x:c r="BX47" s="23" t="n">
        <x:v>521.4112957764266</x:v>
      </x:c>
      <x:c r="BY47" s="23" t="n">
        <x:v>570.744622818074</x:v>
      </x:c>
      <x:c r="BZ47" s="23" t="n">
        <x:v>0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170.34173140899506</x:v>
      </x:c>
      <x:c r="CN47" s="23" t="n">
        <x:v>534.5586693865439</x:v>
      </x:c>
      <x:c r="CO47" s="23" t="n">
        <x:v>254.65130945253787</x:v>
      </x:c>
      <x:c r="CP47" s="23" t="n">
        <x:v>313.8366704443688</x:v>
      </x:c>
      <x:c r="CQ47" s="23" t="n">
        <x:v>370.55304686833597</x:v>
      </x:c>
      <x:c r="CR47" s="23" t="n">
        <x:v>428.1234103174593</x:v>
      </x:c>
      <x:c r="CS47" s="23" t="n">
        <x:v>471.27387447525643</x:v>
      </x:c>
      <x:c r="CT47" s="23" t="n">
        <x:v>523.3258375112371</x:v>
      </x:c>
      <x:c r="CU47" s="23" t="n">
        <x:v>575.5756299377327</x:v>
      </x:c>
      <x:c r="CV47" s="23" t="n">
        <x:v>624.7483114523732</x:v>
      </x:c>
      <x:c r="CW47" s="23" t="n">
        <x:v>679.0548560582031</x:v>
      </x:c>
      <x:c r="CX47" s="23" t="n">
        <x:v>729.7868601222701</x:v>
      </x:c>
      <x:c r="CY47" s="23" t="n">
        <x:v>779.3975004254223</x:v>
      </x:c>
      <x:c r="CZ47" s="23" t="n">
        <x:v>836.1262495456056</x:v>
      </x:c>
      <x:c r="DA47" s="23" t="n">
        <x:v>884.9463200281308</x:v>
      </x:c>
      <x:c r="DB47" s="23" t="n">
        <x:v>929.5585975927036</x:v>
      </x:c>
      <x:c r="DC47" s="23" t="n">
        <x:v>988.755169630946</x:v>
      </x:c>
      <x:c r="DD47" s="23" t="n">
        <x:v>897.2674085205814</x:v>
      </x:c>
      <x:c r="DE47" s="23" t="n">
        <x:v>0</x:v>
      </x:c>
      <x:c r="DF47" s="23" t="n">
        <x:v>0</x:v>
      </x:c>
      <x:c r="DG47" s="23" t="n">
        <x:v>712.4827687351974</x:v>
      </x:c>
      <x:c r="DH47" s="23" t="n">
        <x:v>0</x:v>
      </x:c>
      <x:c r="DI47" s="23" t="n">
        <x:v>0</x:v>
      </x:c>
      <x:c r="DJ47" s="23" t="n">
        <x:v>0</x:v>
      </x:c>
      <x:c r="DK47" s="23" t="n">
        <x:v>0</x:v>
      </x:c>
      <x:c r="DL47" s="23" t="n">
        <x:v>710.9408365885416</x:v>
      </x:c>
      <x:c r="DM47" s="23" t="n">
        <x:v>705.7461751302083</x:v>
      </x:c>
      <x:c r="DN47" s="23" t="n">
        <x:v>0</x:v>
      </x:c>
      <x:c r="DO47" s="23" t="n">
        <x:v>0</x:v>
      </x:c>
      <x:c r="DP47" s="23" t="n">
        <x:v>673.099867944791</x:v>
      </x:c>
      <x:c r="DQ47" s="23" t="n">
        <x:v>720.957275390625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721.1197916666666</x:v>
      </x:c>
      <x:c r="DW47" s="23" t="n">
        <x:v>728.0221354166666</x:v>
      </x:c>
      <x:c r="DX47" s="23" t="n">
        <x:v>725.8074544270833</x:v>
      </x:c>
      <x:c r="DY47" s="23" t="n">
        <x:v>735.7303873697916</x:v>
      </x:c>
      <x:c r="DZ47" s="23" t="n">
        <x:v>725.4007161458333</x:v>
      </x:c>
      <x:c r="EA47" s="23" t="n">
        <x:v>731.9601554947915</x:v>
      </x:c>
      <x:c r="EB47" s="23" t="n">
        <x:v>652.228429651331</x:v>
      </x:c>
      <x:c r="EC47" s="23" t="n">
        <x:v>537.81884765625</x:v>
      </x:c>
      <x:c r="ED47" s="23" t="n">
        <x:v>1372.2660725911458</x:v>
      </x:c>
      <x:c r="EE47" s="23" t="n">
        <x:v>1383.3125813802083</x:v>
      </x:c>
      <x:c r="EF47" s="23" t="n">
        <x:v>1381.4859212239583</x:v>
      </x:c>
      <x:c r="EG47" s="23" t="n">
        <x:v>1387.656534830729</x:v>
      </x:c>
      <x:c r="EH47" s="23" t="n">
        <x:v>542.5740559895833</x:v>
      </x:c>
      <x:c r="EI47" s="23" t="n">
        <x:v>528.6088460286458</x:v>
      </x:c>
      <x:c r="EJ47" s="23" t="n">
        <x:v>553.8376057942708</x:v>
      </x:c>
      <x:c r="EK47" s="23" t="n">
        <x:v>558.6448160807291</x:v>
      </x:c>
      <x:c r="EL47" s="23" t="n">
        <x:v>856.2670974794233</x:v>
      </x:c>
      <x:c r="EM47" s="23" t="n">
        <x:v>1384.715616861979</x:v>
      </x:c>
      <x:c r="EN47" s="23" t="n">
        <x:v>1380.2948811848958</x:v>
      </x:c>
      <x:c r="EO47" s="23" t="n">
        <x:v>550.207275390625</x:v>
      </x:c>
      <x:c r="EP47" s="23" t="n">
        <x:f>SUM(B47:EO47)</x:f>
        <x:v>65357.453854594096</x:v>
      </x:c>
      <x:c r="EQ47" s="23" t="n">
        <x:f>SUMPRODUCT(B47:EO47,{0.4056,0.4315,0.4478,0.389,0.3707,0.4158,0.4328,0.4293,0.4202,0.4052,0.4023,0.4183,0.44,0.4391,0.43,0.4481,0.4362,0.4217,0.4866,0.505,0.4659,0.4757,0.4442,0.3859,0.4187,0.453,0.4487,0.4552,0.4682,0.4588,0.411,0.3969,0.4082,0.4044,0.6067,0.9247,1.0055,0.9539,0.9182,0.9367,0.9134,0.8375,0.796,0.7942,0.7866,0.7615,0.945,1.2276,1.2449,1.1856,1.1919,1.2129,1.1864,1.1409,1.1442,1.0629,0.9275,0.9204,0.9752,1.0101,0.9991,0.9451,0.8979,0.8943,0.7705,0.5684,0.5107,0.525,0.5301,0.5173,0.4955,0.4863,0.5029,0.4906,0.4426,0.4359,0.61,0.851,0.8867,0.8745,0.8999,0.8918,0.881,0.8879,0.9012,0.9323,0.9885,1.0343,0.9174,0.7204,0.6985,0.7475,0.771,0.7756,0.7801,0.8013,0.8419,0.8672,0.873,0.8896,0.9267,0.9934,1.0791,1.0794,1.0089,1.0073,1.1351,1.2749,1.2483,1.2519,1.3196,1.2947,1.2859,1.3148,1.2892,1.2795,1.2968,1.277,1.2611,1.268,1.2687,1.2415,1.2372,1.2982,1.1702,0.9357,0.9411,0.9563,0.9311,1.0038,0.7816,0.389,0.3831,0.4539,0.4187,0.416,0.4617,0.4831,0.4102,0.3908,0.44,0.4283,0.3983,0.4011})</x:f>
        <x:v>40234.20787917473</x:v>
      </x:c>
    </x:row>
    <x:row r="48" ht="14" customHeight="1">
      <x:c r="A48" s="3">
        <x:v>45735</x:v>
      </x:c>
      <x:c r="B48" s="23" t="n">
        <x:v>1398.8866780598958</x:v>
      </x:c>
      <x:c r="C48" s="23" t="n">
        <x:v>1402.7976888020833</x:v>
      </x:c>
      <x:c r="D48" s="23" t="n">
        <x:v>574.7821858723958</x:v>
      </x:c>
      <x:c r="E48" s="23" t="n">
        <x:v>1400.990234375</x:v>
      </x:c>
      <x:c r="F48" s="23" t="n">
        <x:v>566.4709065755208</x:v>
      </x:c>
      <x:c r="G48" s="23" t="n">
        <x:v>573.4207356770833</x:v>
      </x:c>
      <x:c r="H48" s="23" t="n">
        <x:v>575.2644449869791</x:v>
      </x:c>
      <x:c r="I48" s="23" t="n">
        <x:v>1409.5832112630208</x:v>
      </x:c>
      <x:c r="J48" s="23" t="n">
        <x:v>1414.5797526041665</x:v>
      </x:c>
      <x:c r="K48" s="23" t="n">
        <x:v>585.6124267578125</x:v>
      </x:c>
      <x:c r="L48" s="23" t="n">
        <x:v>586.1925455729166</x:v>
      </x:c>
      <x:c r="M48" s="23" t="n">
        <x:v>577.10693359375</x:v>
      </x:c>
      <x:c r="N48" s="23" t="n">
        <x:v>594.3102213541666</x:v>
      </x:c>
      <x:c r="O48" s="23" t="n">
        <x:v>587.523681640625</x:v>
      </x:c>
      <x:c r="P48" s="23" t="n">
        <x:v>572.9056803385416</x:v>
      </x:c>
      <x:c r="Q48" s="23" t="n">
        <x:v>580.2277018229166</x:v>
      </x:c>
      <x:c r="R48" s="23" t="n">
        <x:v>594.2610270182291</x:v>
      </x:c>
      <x:c r="S48" s="23" t="n">
        <x:v>599.9779459635416</x:v>
      </x:c>
      <x:c r="T48" s="23" t="n">
        <x:v>600.0898030598958</x:v>
      </x:c>
      <x:c r="U48" s="23" t="n">
        <x:v>1052.7432388052935</x:v>
      </x:c>
      <x:c r="V48" s="23" t="n">
        <x:v>597.5950520833333</x:v>
      </x:c>
      <x:c r="W48" s="23" t="n">
        <x:v>586.9038492838541</x:v>
      </x:c>
      <x:c r="X48" s="23" t="n">
        <x:v>583.4713134765625</x:v>
      </x:c>
      <x:c r="Y48" s="23" t="n">
        <x:v>592.626220703125</x:v>
      </x:c>
      <x:c r="Z48" s="23" t="n">
        <x:v>610.3446451822916</x:v>
      </x:c>
      <x:c r="AA48" s="23" t="n">
        <x:v>610.4049072265625</x:v>
      </x:c>
      <x:c r="AB48" s="23" t="n">
        <x:v>595.8533935546875</x:v>
      </x:c>
      <x:c r="AC48" s="23" t="n">
        <x:v>616.4788818359375</x:v>
      </x:c>
      <x:c r="AD48" s="23" t="n">
        <x:v>608.3975016276041</x:v>
      </x:c>
      <x:c r="AE48" s="23" t="n">
        <x:v>598.8070475260416</x:v>
      </x:c>
      <x:c r="AF48" s="23" t="n">
        <x:v>1441.3329264322915</x:v>
      </x:c>
      <x:c r="AG48" s="23" t="n">
        <x:v>622.7608642578125</x:v>
      </x:c>
      <x:c r="AH48" s="23" t="n">
        <x:v>596</x:v>
      </x:c>
      <x:c r="AI48" s="23" t="n">
        <x:v>581.3570425358912</x:v>
      </x:c>
      <x:c r="AJ48" s="23" t="n">
        <x:v>658.8057235227021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492.79243675382475</x:v>
      </x:c>
      <x:c r="AS48" s="23" t="n">
        <x:v>0</x:v>
      </x:c>
      <x:c r="AT48" s="23" t="n">
        <x:v>406.7648390265622</x:v>
      </x:c>
      <x:c r="AU48" s="23" t="n">
        <x:v>307.3956958755013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656.9047993100554</x:v>
      </x:c>
      <x:c r="BP48" s="23" t="n">
        <x:v>638.601713455542</x:v>
      </x:c>
      <x:c r="BQ48" s="23" t="n">
        <x:v>237.86991291314928</x:v>
      </x:c>
      <x:c r="BR48" s="23" t="n">
        <x:v>586.0662906861969</x:v>
      </x:c>
      <x:c r="BS48" s="23" t="n">
        <x:v>572.1802736211184</x:v>
      </x:c>
      <x:c r="BT48" s="23" t="n">
        <x:v>540.3045474442199</x:v>
      </x:c>
      <x:c r="BU48" s="23" t="n">
        <x:v>524.5329266523145</x:v>
      </x:c>
      <x:c r="BV48" s="23" t="n">
        <x:v>502.97179027542325</x:v>
      </x:c>
      <x:c r="BW48" s="23" t="n">
        <x:v>537.7391839567132</x:v>
      </x:c>
      <x:c r="BX48" s="23" t="n">
        <x:v>527.3405757323017</x:v>
      </x:c>
      <x:c r="BY48" s="23" t="n">
        <x:v>551.1349265486183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159.76816157068652</x:v>
      </x:c>
      <x:c r="CN48" s="23" t="n">
        <x:v>463.9840122189271</x:v>
      </x:c>
      <x:c r="CO48" s="23" t="n">
        <x:v>237.63801952017138</x:v>
      </x:c>
      <x:c r="CP48" s="23" t="n">
        <x:v>292.1448939930363</x:v>
      </x:c>
      <x:c r="CQ48" s="23" t="n">
        <x:v>349.413883634723</x:v>
      </x:c>
      <x:c r="CR48" s="23" t="n">
        <x:v>391.75881659325023</x:v>
      </x:c>
      <x:c r="CS48" s="23" t="n">
        <x:v>443.71893179408517</x:v>
      </x:c>
      <x:c r="CT48" s="23" t="n">
        <x:v>497.00010339266237</x:v>
      </x:c>
      <x:c r="CU48" s="23" t="n">
        <x:v>553.3792835676165</x:v>
      </x:c>
      <x:c r="CV48" s="23" t="n">
        <x:v>619.5654695391192</x:v>
      </x:c>
      <x:c r="CW48" s="23" t="n">
        <x:v>666.6931383473594</x:v>
      </x:c>
      <x:c r="CX48" s="23" t="n">
        <x:v>723.5291724386661</x:v>
      </x:c>
      <x:c r="CY48" s="23" t="n">
        <x:v>776.334760069177</x:v>
      </x:c>
      <x:c r="CZ48" s="23" t="n">
        <x:v>836.8391208083203</x:v>
      </x:c>
      <x:c r="DA48" s="23" t="n">
        <x:v>883.7638840266004</x:v>
      </x:c>
      <x:c r="DB48" s="23" t="n">
        <x:v>921.7686661541691</x:v>
      </x:c>
      <x:c r="DC48" s="23" t="n">
        <x:v>992.5936662804463</x:v>
      </x:c>
      <x:c r="DD48" s="23" t="n">
        <x:v>899.2162822794972</x:v>
      </x:c>
      <x:c r="DE48" s="23" t="n">
        <x:v>0</x:v>
      </x:c>
      <x:c r="DF48" s="23" t="n">
        <x:v>0</x:v>
      </x:c>
      <x:c r="DG48" s="23" t="n">
        <x:v>711.7516230900644</x:v>
      </x:c>
      <x:c r="DH48" s="23" t="n">
        <x:v>0</x:v>
      </x:c>
      <x:c r="DI48" s="23" t="n">
        <x:v>0</x:v>
      </x:c>
      <x:c r="DJ48" s="23" t="n">
        <x:v>0</x:v>
      </x:c>
      <x:c r="DK48" s="23" t="n">
        <x:v>0</x:v>
      </x:c>
      <x:c r="DL48" s="23" t="n">
        <x:v>718.8155924479166</x:v>
      </x:c>
      <x:c r="DM48" s="23" t="n">
        <x:v>722.185546875</x:v>
      </x:c>
      <x:c r="DN48" s="23" t="n">
        <x:v>0</x:v>
      </x:c>
      <x:c r="DO48" s="23" t="n">
        <x:v>0</x:v>
      </x:c>
      <x:c r="DP48" s="23" t="n">
        <x:v>0</x:v>
      </x:c>
      <x:c r="DQ48" s="23" t="n">
        <x:v>715.4149576822916</x:v>
      </x:c>
      <x:c r="DR48" s="23" t="n">
        <x:v>677.4309849241234</x:v>
      </x:c>
      <x:c r="DS48" s="23" t="n">
        <x:v>0</x:v>
      </x:c>
      <x:c r="DT48" s="23" t="n">
        <x:v>0</x:v>
      </x:c>
      <x:c r="DU48" s="23" t="n">
        <x:v>0</x:v>
      </x:c>
      <x:c r="DV48" s="23" t="n">
        <x:v>724.879638671875</x:v>
      </x:c>
      <x:c r="DW48" s="23" t="n">
        <x:v>728.0354817708333</x:v>
      </x:c>
      <x:c r="DX48" s="23" t="n">
        <x:v>724.0545247395833</x:v>
      </x:c>
      <x:c r="DY48" s="23" t="n">
        <x:v>721.564208984375</x:v>
      </x:c>
      <x:c r="DZ48" s="23" t="n">
        <x:v>723.1940104166666</x:v>
      </x:c>
      <x:c r="EA48" s="23" t="n">
        <x:v>731.9698822786459</x:v>
      </x:c>
      <x:c r="EB48" s="23" t="n">
        <x:v>661.7740404730904</x:v>
      </x:c>
      <x:c r="EC48" s="23" t="n">
        <x:v>1382.3009847005208</x:v>
      </x:c>
      <x:c r="ED48" s="23" t="n">
        <x:v>1377.8205159505208</x:v>
      </x:c>
      <x:c r="EE48" s="23" t="n">
        <x:v>855.2233379348318</x:v>
      </x:c>
      <x:c r="EF48" s="23" t="n">
        <x:v>558.8701578776041</x:v>
      </x:c>
      <x:c r="EG48" s="23" t="n">
        <x:v>563.5805257161458</x:v>
      </x:c>
      <x:c r="EH48" s="23" t="n">
        <x:v>1398.4377034505208</x:v>
      </x:c>
      <x:c r="EI48" s="23" t="n">
        <x:v>551.5609944661458</x:v>
      </x:c>
      <x:c r="EJ48" s="23" t="n">
        <x:v>552.849365234375</x:v>
      </x:c>
      <x:c r="EK48" s="23" t="n">
        <x:v>560.1923828125</x:v>
      </x:c>
      <x:c r="EL48" s="23" t="n">
        <x:v>1395.6417236328125</x:v>
      </x:c>
      <x:c r="EM48" s="23" t="n">
        <x:v>1389.3973795572915</x:v>
      </x:c>
      <x:c r="EN48" s="23" t="n">
        <x:v>1393.5639241536458</x:v>
      </x:c>
      <x:c r="EO48" s="23" t="n">
        <x:v>575.5862223307291</x:v>
      </x:c>
      <x:c r="EP48" s="23" t="n">
        <x:f>SUM(B48:EO48)</x:f>
        <x:v>65056.67230204471</x:v>
      </x:c>
      <x:c r="EQ48" s="23" t="n">
        <x:f>SUMPRODUCT(B48:EO48,{0.4301,0.3996,0.3534,0.414,0.4338,0.3818,0.379,0.4135,0.4415,0.4418,0.4642,0.5013,0.492,0.4597,0.439,0.4396,0.4204,0.3974,0.4285,0.4609,0.4604,0.4431,0.4404,0.4547,0.4594,0.4391,0.4053,0.3912,0.4197,0.4547,0.4465,0.5061,0.5334,0.3697,0.59,1.0608,1.0381,0.8984,0.9057,0.9327,0.9034,0.8368,0.8065,0.7908,0.7442,0.6944,0.9345,1.2859,1.2491,1.174,1.2015,1.1315,1.0988,1.1269,1.0865,1.0297,1.0051,0.9969,0.9431,0.8968,0.9636,0.9649,0.9016,0.92,0.7575,0.4919,0.4941,0.5398,0.5347,0.5962,0.5657,0.4602,0.4699,0.4901,0.4284,0.3425,0.5144,0.8328,0.8878,0.8614,0.8874,0.9077,0.905,0.902,0.9329,0.9695,1.012,1.0595,0.9394,0.7134,0.6499,0.7337,0.8356,0.8316,0.7739,0.745,0.791,0.8695,0.9204,0.9095,0.8888,0.9088,0.9793,1.0378,1.0552,1.066,1.151,1.2537,1.2381,1.2359,1.2844,1.2879,1.2663,1.2498,1.2467,1.2572,1.2674,1.2579,1.2388,1.2241,1.2242,1.251,1.3074,1.3494,1.1952,0.949,0.918,0.9491,0.9656,1.0048,0.798,0.441,0.3401,0.3775,0.4145,0.4316,0.4278,0.4128,0.4019,0.4029,0.4103,0.4145,0.4298,0.4495})</x:f>
        <x:v>39626.34414575923</x:v>
      </x:c>
    </x:row>
    <x:row r="49" ht="14" customHeight="1">
      <x:c r="A49" s="3">
        <x:v>45736</x:v>
      </x:c>
      <x:c r="B49" s="23" t="n">
        <x:v>581.3895670572916</x:v>
      </x:c>
      <x:c r="C49" s="23" t="n">
        <x:v>565.839111328125</x:v>
      </x:c>
      <x:c r="D49" s="23" t="n">
        <x:v>568.6048990885416</x:v>
      </x:c>
      <x:c r="E49" s="23" t="n">
        <x:v>570.0102132161458</x:v>
      </x:c>
      <x:c r="F49" s="23" t="n">
        <x:v>572.7953694661458</x:v>
      </x:c>
      <x:c r="G49" s="23" t="n">
        <x:v>573.355224609375</x:v>
      </x:c>
      <x:c r="H49" s="23" t="n">
        <x:v>569.2886555989583</x:v>
      </x:c>
      <x:c r="I49" s="23" t="n">
        <x:v>1401.3131103515625</x:v>
      </x:c>
      <x:c r="J49" s="23" t="n">
        <x:v>1398.5013427734375</x:v>
      </x:c>
      <x:c r="K49" s="23" t="n">
        <x:v>1400.410888671875</x:v>
      </x:c>
      <x:c r="L49" s="23" t="n">
        <x:v>581.4305826822916</x:v>
      </x:c>
      <x:c r="M49" s="23" t="n">
        <x:v>593.0765380859375</x:v>
      </x:c>
      <x:c r="N49" s="23" t="n">
        <x:v>1417.9395345052083</x:v>
      </x:c>
      <x:c r="O49" s="23" t="n">
        <x:v>1408.5982259114583</x:v>
      </x:c>
      <x:c r="P49" s="23" t="n">
        <x:v>570.0659993489583</x:v>
      </x:c>
      <x:c r="Q49" s="23" t="n">
        <x:v>590.1895751953125</x:v>
      </x:c>
      <x:c r="R49" s="23" t="n">
        <x:v>1430.2313232421875</x:v>
      </x:c>
      <x:c r="S49" s="23" t="n">
        <x:v>587.0575764973958</x:v>
      </x:c>
      <x:c r="T49" s="23" t="n">
        <x:v>829.9976980673434</x:v>
      </x:c>
      <x:c r="U49" s="23" t="n">
        <x:v>574.3687744140625</x:v>
      </x:c>
      <x:c r="V49" s="23" t="n">
        <x:v>585.6755777994791</x:v>
      </x:c>
      <x:c r="W49" s="23" t="n">
        <x:v>598.0083821614583</x:v>
      </x:c>
      <x:c r="X49" s="23" t="n">
        <x:v>591.389404296875</x:v>
      </x:c>
      <x:c r="Y49" s="23" t="n">
        <x:v>585.03955078125</x:v>
      </x:c>
      <x:c r="Z49" s="23" t="n">
        <x:v>606.4368489583333</x:v>
      </x:c>
      <x:c r="AA49" s="23" t="n">
        <x:v>610.167236328125</x:v>
      </x:c>
      <x:c r="AB49" s="23" t="n">
        <x:v>590.7858072916666</x:v>
      </x:c>
      <x:c r="AC49" s="23" t="n">
        <x:v>605.5097249348958</x:v>
      </x:c>
      <x:c r="AD49" s="23" t="n">
        <x:v>613.140869140625</x:v>
      </x:c>
      <x:c r="AE49" s="23" t="n">
        <x:v>604.2329508463541</x:v>
      </x:c>
      <x:c r="AF49" s="23" t="n">
        <x:v>598.1402994791666</x:v>
      </x:c>
      <x:c r="AG49" s="23" t="n">
        <x:v>598.7169189453125</x:v>
      </x:c>
      <x:c r="AH49" s="23" t="n">
        <x:v>603.0202229817708</x:v>
      </x:c>
      <x:c r="AI49" s="23" t="n">
        <x:v>595.7181816156967</x:v>
      </x:c>
      <x:c r="AJ49" s="23" t="n">
        <x:v>666.9379323785329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527.4265278546225</x:v>
      </x:c>
      <x:c r="AS49" s="23" t="n">
        <x:v>424.14844054585546</x:v>
      </x:c>
      <x:c r="AT49" s="23" t="n">
        <x:v>386.48026112591316</x:v>
      </x:c>
      <x:c r="AU49" s="23" t="n">
        <x:v>263.148236405991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652.7517419591102</x:v>
      </x:c>
      <x:c r="BP49" s="23" t="n">
        <x:v>647.5443540892885</x:v>
      </x:c>
      <x:c r="BQ49" s="23" t="n">
        <x:v>0</x:v>
      </x:c>
      <x:c r="BR49" s="23" t="n">
        <x:v>611.822817706835</x:v>
      </x:c>
      <x:c r="BS49" s="23" t="n">
        <x:v>79.18155772257644</x:v>
      </x:c>
      <x:c r="BT49" s="23" t="n">
        <x:v>558.9455610581609</x:v>
      </x:c>
      <x:c r="BU49" s="23" t="n">
        <x:v>537.7887259231294</x:v>
      </x:c>
      <x:c r="BV49" s="23" t="n">
        <x:v>527.2787056375025</x:v>
      </x:c>
      <x:c r="BW49" s="23" t="n">
        <x:v>522.6221203877373</x:v>
      </x:c>
      <x:c r="BX49" s="23" t="n">
        <x:v>518.7694136061971</x:v>
      </x:c>
      <x:c r="BY49" s="23" t="n">
        <x:v>548.6090150521219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161.47710090367173</x:v>
      </x:c>
      <x:c r="CN49" s="23" t="n">
        <x:v>471.4303278643674</x:v>
      </x:c>
      <x:c r="CO49" s="23" t="n">
        <x:v>231.13938110942232</x:v>
      </x:c>
      <x:c r="CP49" s="23" t="n">
        <x:v>279.21094871644647</x:v>
      </x:c>
      <x:c r="CQ49" s="23" t="n">
        <x:v>337.83252565576913</x:v>
      </x:c>
      <x:c r="CR49" s="23" t="n">
        <x:v>393.3415909418428</x:v>
      </x:c>
      <x:c r="CS49" s="23" t="n">
        <x:v>417.8795269535397</x:v>
      </x:c>
      <x:c r="CT49" s="23" t="n">
        <x:v>499.35497865522984</x:v>
      </x:c>
      <x:c r="CU49" s="23" t="n">
        <x:v>553.2646857915724</x:v>
      </x:c>
      <x:c r="CV49" s="23" t="n">
        <x:v>616.6553710293276</x:v>
      </x:c>
      <x:c r="CW49" s="23" t="n">
        <x:v>671.5194187531724</x:v>
      </x:c>
      <x:c r="CX49" s="23" t="n">
        <x:v>724.1879152552216</x:v>
      </x:c>
      <x:c r="CY49" s="23" t="n">
        <x:v>773.249281725693</x:v>
      </x:c>
      <x:c r="CZ49" s="23" t="n">
        <x:v>811.8218850680793</x:v>
      </x:c>
      <x:c r="DA49" s="23" t="n">
        <x:v>849.7097061343671</x:v>
      </x:c>
      <x:c r="DB49" s="23" t="n">
        <x:v>921.9918041208654</x:v>
      </x:c>
      <x:c r="DC49" s="23" t="n">
        <x:v>990.1673292222549</x:v>
      </x:c>
      <x:c r="DD49" s="23" t="n">
        <x:v>917.0928961124894</x:v>
      </x:c>
      <x:c r="DE49" s="23" t="n">
        <x:v>713.9462076822916</x:v>
      </x:c>
      <x:c r="DF49" s="23" t="n">
        <x:v>0</x:v>
      </x:c>
      <x:c r="DG49" s="23" t="n">
        <x:v>715.5708302174112</x:v>
      </x:c>
      <x:c r="DH49" s="23" t="n">
        <x:v>0</x:v>
      </x:c>
      <x:c r="DI49" s="23" t="n">
        <x:v>0</x:v>
      </x:c>
      <x:c r="DJ49" s="23" t="n">
        <x:v>0</x:v>
      </x:c>
      <x:c r="DK49" s="23" t="n">
        <x:v>0</x:v>
      </x:c>
      <x:c r="DL49" s="23" t="n">
        <x:v>700.0221502720301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716.7654622395833</x:v>
      </x:c>
      <x:c r="DR49" s="23" t="n">
        <x:v>723.3658854166666</x:v>
      </x:c>
      <x:c r="DS49" s="23" t="n">
        <x:v>0</x:v>
      </x:c>
      <x:c r="DT49" s="23" t="n">
        <x:v>0</x:v>
      </x:c>
      <x:c r="DU49" s="23" t="n">
        <x:v>0</x:v>
      </x:c>
      <x:c r="DV49" s="23" t="n">
        <x:v>724.2688802083333</x:v>
      </x:c>
      <x:c r="DW49" s="23" t="n">
        <x:v>730.16748046875</x:v>
      </x:c>
      <x:c r="DX49" s="23" t="n">
        <x:v>724.0325520833333</x:v>
      </x:c>
      <x:c r="DY49" s="23" t="n">
        <x:v>716.7096354166666</x:v>
      </x:c>
      <x:c r="DZ49" s="23" t="n">
        <x:v>724.7218424479166</x:v>
      </x:c>
      <x:c r="EA49" s="23" t="n">
        <x:v>730.0816173046875</x:v>
      </x:c>
      <x:c r="EB49" s="23" t="n">
        <x:v>647.6777643711421</x:v>
      </x:c>
      <x:c r="EC49" s="23" t="n">
        <x:v>1375.1675618489583</x:v>
      </x:c>
      <x:c r="ED49" s="23" t="n">
        <x:v>1376.1444091796875</x:v>
      </x:c>
      <x:c r="EE49" s="23" t="n">
        <x:v>552.7333170572916</x:v>
      </x:c>
      <x:c r="EF49" s="23" t="n">
        <x:v>1384.9268798828125</x:v>
      </x:c>
      <x:c r="EG49" s="23" t="n">
        <x:v>554.4295654296875</x:v>
      </x:c>
      <x:c r="EH49" s="23" t="n">
        <x:v>552.8036702473958</x:v>
      </x:c>
      <x:c r="EI49" s="23" t="n">
        <x:v>556.0733642578125</x:v>
      </x:c>
      <x:c r="EJ49" s="23" t="n">
        <x:v>875.9413181383422</x:v>
      </x:c>
      <x:c r="EK49" s="23" t="n">
        <x:v>565.7547200520833</x:v>
      </x:c>
      <x:c r="EL49" s="23" t="n">
        <x:v>557.5764973958333</x:v>
      </x:c>
      <x:c r="EM49" s="23" t="n">
        <x:v>1395.760294596354</x:v>
      </x:c>
      <x:c r="EN49" s="23" t="n">
        <x:v>1348.9014892578125</x:v>
      </x:c>
      <x:c r="EO49" s="23" t="n">
        <x:v>1249.6937662760415</x:v>
      </x:c>
      <x:c r="EP49" s="23" t="n">
        <x:f>SUM(B49:EO49)</x:f>
        <x:v>64178.465432888464</x:v>
      </x:c>
      <x:c r="EQ49" s="23" t="n">
        <x:f>SUMPRODUCT(B49:EO49,{0.4487,0.4373,0.4311,0.4344,0.4238,0.4296,0.4989,0.5083,0.4468,0.4284,0.4436,0.454,0.4404,0.4405,0.4545,0.4389,0.3868,0.3634,0.4416,0.4839,0.4574,0.4575,0.4629,0.4426,0.4023,0.4075,0.452,0.4646,0.4561,0.4379,0.4177,0.464,0.4802,0.352,0.5794,1.0185,0.995,0.8932,0.9281,0.9231,0.902,0.8707,0.7992,0.7957,0.8046,0.7001,0.8467,1.1788,1.2356,1.1876,1.1569,1.0869,1.0527,1.068,1.0672,1.0563,1.0344,0.9937,0.9971,1.0131,0.948,0.9058,0.9279,0.927,0.7628,0.544,0.5346,0.5872,0.577,0.5241,0.5111,0.5158,0.4519,0.4435,0.4915,0.4972,0.6604,0.9001,0.9125,0.919,0.9817,0.9361,0.8829,0.8924,0.9351,0.9817,1.0267,1.0547,0.9267,0.7137,0.6525,0.6799,0.7301,0.805,0.8788,0.9089,0.8767,0.8888,0.9441,0.946,0.9677,1.0139,1.0152,1.0487,1.0879,1.0391,1.0932,1.2488,1.2993,1.2761,1.2567,1.2773,1.2813,1.2693,1.2899,1.2669,1.2323,1.2902,1.2824,1.2233,1.2789,1.2779,1.2388,1.3228,1.1769,0.8862,0.917,0.9999,0.9964,1.0003,0.7708,0.419,0.3484,0.3833,0.3903,0.4126,0.4343,0.4428,0.4397,0.4049,0.3814,0.4248,0.3795,0.2794})</x:f>
        <x:v>39704.14087788418</x:v>
      </x:c>
    </x:row>
    <x:row r="50" ht="14" customHeight="1">
      <x:c r="A50" s="3">
        <x:v>45737</x:v>
      </x:c>
      <x:c r="B50" s="23" t="n">
        <x:v>405.4418538411458</x:v>
      </x:c>
      <x:c r="C50" s="23" t="n">
        <x:v>405.89127604166663</x:v>
      </x:c>
      <x:c r="D50" s="23" t="n">
        <x:v>411.821044921875</x:v>
      </x:c>
      <x:c r="E50" s="23" t="n">
        <x:v>411.0387776692708</x:v>
      </x:c>
      <x:c r="F50" s="23" t="n">
        <x:v>407.9947509765625</x:v>
      </x:c>
      <x:c r="G50" s="23" t="n">
        <x:v>411.46756998697913</x:v>
      </x:c>
      <x:c r="H50" s="23" t="n">
        <x:v>414.61002604166663</x:v>
      </x:c>
      <x:c r="I50" s="23" t="n">
        <x:v>418.81217447916663</x:v>
      </x:c>
      <x:c r="J50" s="23" t="n">
        <x:v>1247.699747721354</x:v>
      </x:c>
      <x:c r="K50" s="23" t="n">
        <x:v>420.1723225911458</x:v>
      </x:c>
      <x:c r="L50" s="23" t="n">
        <x:v>428.64383951822913</x:v>
      </x:c>
      <x:c r="M50" s="23" t="n">
        <x:v>436.30224609375</x:v>
      </x:c>
      <x:c r="N50" s="23" t="n">
        <x:v>437.6496175130208</x:v>
      </x:c>
      <x:c r="O50" s="23" t="n">
        <x:v>425.6131591796875</x:v>
      </x:c>
      <x:c r="P50" s="23" t="n">
        <x:v>416.55131022135413</x:v>
      </x:c>
      <x:c r="Q50" s="23" t="n">
        <x:v>1262.282470703125</x:v>
      </x:c>
      <x:c r="R50" s="23" t="n">
        <x:v>442.1119384765625</x:v>
      </x:c>
      <x:c r="S50" s="23" t="n">
        <x:v>0</x:v>
      </x:c>
      <x:c r="T50" s="23" t="n">
        <x:v>261.70494959460325</x:v>
      </x:c>
      <x:c r="U50" s="23" t="n">
        <x:v>440.0948486328125</x:v>
      </x:c>
      <x:c r="V50" s="23" t="n">
        <x:v>0</x:v>
      </x:c>
      <x:c r="W50" s="23" t="n">
        <x:v>437.5005696614583</x:v>
      </x:c>
      <x:c r="X50" s="23" t="n">
        <x:v>439.61466471354163</x:v>
      </x:c>
      <x:c r="Y50" s="23" t="n">
        <x:v>451.10929361979163</x:v>
      </x:c>
      <x:c r="Z50" s="23" t="n">
        <x:v>0</x:v>
      </x:c>
      <x:c r="AA50" s="23" t="n">
        <x:v>455.3460693359375</x:v>
      </x:c>
      <x:c r="AB50" s="23" t="n">
        <x:v>457.3145345052083</x:v>
      </x:c>
      <x:c r="AC50" s="23" t="n">
        <x:v>479.585693359375</x:v>
      </x:c>
      <x:c r="AD50" s="23" t="n">
        <x:v>481.1833089192708</x:v>
      </x:c>
      <x:c r="AE50" s="23" t="n">
        <x:v>0</x:v>
      </x:c>
      <x:c r="AF50" s="23" t="n">
        <x:v>446.8006591796875</x:v>
      </x:c>
      <x:c r="AG50" s="23" t="n">
        <x:v>453.1411946614583</x:v>
      </x:c>
      <x:c r="AH50" s="23" t="n">
        <x:v>457.278076171875</x:v>
      </x:c>
      <x:c r="AI50" s="23" t="n">
        <x:v>429.1370525915588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1.7970640139856946</x:v>
      </x:c>
      <x:c r="CT50" s="23" t="n">
        <x:v>37.065276282638024</x:v>
      </x:c>
      <x:c r="CU50" s="23" t="n">
        <x:v>94.43192994643292</x:v>
      </x:c>
      <x:c r="CV50" s="23" t="n">
        <x:v>174.7357514360358</x:v>
      </x:c>
      <x:c r="CW50" s="23" t="n">
        <x:v>218.1954722192228</x:v>
      </x:c>
      <x:c r="CX50" s="23" t="n">
        <x:v>212.1967587482565</x:v>
      </x:c>
      <x:c r="CY50" s="23" t="n">
        <x:v>200.86677588787154</x:v>
      </x:c>
      <x:c r="CZ50" s="23" t="n">
        <x:v>252.42514274945225</x:v>
      </x:c>
      <x:c r="DA50" s="23" t="n">
        <x:v>310.3113304952607</x:v>
      </x:c>
      <x:c r="DB50" s="23" t="n">
        <x:v>360.0745444004156</x:v>
      </x:c>
      <x:c r="DC50" s="23" t="n">
        <x:v>394.6740445175131</x:v>
      </x:c>
      <x:c r="DD50" s="23" t="n">
        <x:v>0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455.5034993489583</x:v>
      </x:c>
      <x:c r="DX50" s="23" t="n">
        <x:v>453.53955078125</x:v>
      </x:c>
      <x:c r="DY50" s="23" t="n">
        <x:v>454.57877604166663</x:v>
      </x:c>
      <x:c r="DZ50" s="23" t="n">
        <x:v>457.6953125</x:v>
      </x:c>
      <x:c r="EA50" s="23" t="n">
        <x:v>398.14729609631524</x:v>
      </x:c>
      <x:c r="EB50" s="23" t="n">
        <x:v>451.19189453125</x:v>
      </x:c>
      <x:c r="EC50" s="23" t="n">
        <x:v>395.73356119791663</x:v>
      </x:c>
      <x:c r="ED50" s="23" t="n">
        <x:v>1216.7938232421875</x:v>
      </x:c>
      <x:c r="EE50" s="23" t="n">
        <x:v>1219.1953125</x:v>
      </x:c>
      <x:c r="EF50" s="23" t="n">
        <x:v>1217.1768391927083</x:v>
      </x:c>
      <x:c r="EG50" s="23" t="n">
        <x:v>1231.439982096354</x:v>
      </x:c>
      <x:c r="EH50" s="23" t="n">
        <x:v>699.1864799463093</x:v>
      </x:c>
      <x:c r="EI50" s="23" t="n">
        <x:v>1217.669474283854</x:v>
      </x:c>
      <x:c r="EJ50" s="23" t="n">
        <x:v>387.41654459635413</x:v>
      </x:c>
      <x:c r="EK50" s="23" t="n">
        <x:v>403.72855631510413</x:v>
      </x:c>
      <x:c r="EL50" s="23" t="n">
        <x:v>409.38517252604163</x:v>
      </x:c>
      <x:c r="EM50" s="23" t="n">
        <x:v>1240.0873209635415</x:v>
      </x:c>
      <x:c r="EN50" s="23" t="n">
        <x:v>407.9970296223958</x:v>
      </x:c>
      <x:c r="EO50" s="23" t="n">
        <x:v>410.62967936197913</x:v>
      </x:c>
      <x:c r="EP50" s="23" t="n">
        <x:f>SUM(B50:EO50)</x:f>
        <x:v>29877.785236764423</x:v>
      </x:c>
      <x:c r="EQ50" s="23" t="n">
        <x:f>SUMPRODUCT(B50:EO50,{0.3172,0.3548,0.3402,0.3566,0.3495,0.3096,0.2969,0.319,0.3348,0.2987,0.2831,0.3196,0.3679,0.3883,0.3775,0.3651,0.3651,0.3531,0.3061,0.3341,0.3952,0.3411,0.3314,0.3858,0.3601,0.3237,0.3382,0.3813,0.357,0.299,0.3359,0.3867,0.359,0.2788,0.4535,0.7742,0.8068,0.7532,0.738,0.6845,0.6712,0.6935,0.6599,0.6208,0.5691,0.4824,0.6353,0.9037,0.8655,0.7845,0.7703,0.6818,0.6884,0.794,0.813,0.7837,0.7427,0.6811,0.6473,0.6482,0.6397,0.606,0.589,0.6157,0.4675,0.227,0.208,0.208,0.1656,0.2205,0.2295,0.1806,0.2057,0.1996,0.1365,0.1352,0.3171,0.5654,0.6184,0.5805,0.5725,0.6163,0.6518,0.657,0.6635,0.6879,0.7335,0.762,0.6193,0.4027,0.3845,0.4221,0.4466,0.5206,0.5223,0.4752,0.5319,0.5949,0.6306,0.6941,0.6881,0.6353,0.6674,0.7157,0.7139,0.6932,0.8471,1.0876,1.1224,1.119,1.1477,1.1148,1.1269,1.1778,1.1421,1.0779,1.0561,1.0917,1.1173,1.1105,1.1102,1.1385,1.1788,1.1666,0.9932,0.7711,0.745,0.7656,0.7761,0.8209,0.6005,0.2516,0.2468,0.3199,0.3082,0.3096,0.2958,0.2748,0.3009,0.3281,0.3349,0.3405,0.3286,0.3013})</x:f>
        <x:v>11634.983530123138</x:v>
      </x:c>
    </x:row>
    <x:row r="51" ht="14" customHeight="1">
      <x:c r="A51" s="3">
        <x:v>45738</x:v>
      </x:c>
      <x:c r="B51" s="23" t="n">
        <x:v>416.44694010416663</x:v>
      </x:c>
      <x:c r="C51" s="23" t="n">
        <x:v>409.9302571614583</x:v>
      </x:c>
      <x:c r="D51" s="23" t="n">
        <x:v>404.86881510416663</x:v>
      </x:c>
      <x:c r="E51" s="23" t="n">
        <x:v>403.8589680989583</x:v>
      </x:c>
      <x:c r="F51" s="23" t="n">
        <x:v>413.40738932291663</x:v>
      </x:c>
      <x:c r="G51" s="23" t="n">
        <x:v>1242.762939453125</x:v>
      </x:c>
      <x:c r="H51" s="23" t="n">
        <x:v>404.9195556640625</x:v>
      </x:c>
      <x:c r="I51" s="23" t="n">
        <x:v>413.88700358072913</x:v>
      </x:c>
      <x:c r="J51" s="23" t="n">
        <x:v>426.74552408854163</x:v>
      </x:c>
      <x:c r="K51" s="23" t="n">
        <x:v>425.3559163411458</x:v>
      </x:c>
      <x:c r="L51" s="23" t="n">
        <x:v>428.47770182291663</x:v>
      </x:c>
      <x:c r="M51" s="23" t="n">
        <x:v>440.25944010416663</x:v>
      </x:c>
      <x:c r="N51" s="23" t="n">
        <x:v>445.22806803385413</x:v>
      </x:c>
      <x:c r="O51" s="23" t="n">
        <x:v>444.3440755208333</x:v>
      </x:c>
      <x:c r="P51" s="23" t="n">
        <x:v>0</x:v>
      </x:c>
      <x:c r="Q51" s="23" t="n">
        <x:v>449.7904866536458</x:v>
      </x:c>
      <x:c r="R51" s="23" t="n">
        <x:v>462.3548177083333</x:v>
      </x:c>
      <x:c r="S51" s="23" t="n">
        <x:v>1142.6223831559762</x:v>
      </x:c>
      <x:c r="T51" s="23" t="n">
        <x:v>445.7826741536458</x:v>
      </x:c>
      <x:c r="U51" s="23" t="n">
        <x:v>448.86014811197913</x:v>
      </x:c>
      <x:c r="V51" s="23" t="n">
        <x:v>453.101806640625</x:v>
      </x:c>
      <x:c r="W51" s="23" t="n">
        <x:v>447.0144856770833</x:v>
      </x:c>
      <x:c r="X51" s="23" t="n">
        <x:v>454.951171875</x:v>
      </x:c>
      <x:c r="Y51" s="23" t="n">
        <x:v>461.4882405598958</x:v>
      </x:c>
      <x:c r="Z51" s="23" t="n">
        <x:v>446.83036295572913</x:v>
      </x:c>
      <x:c r="AA51" s="23" t="n">
        <x:v>451.263916015625</x:v>
      </x:c>
      <x:c r="AB51" s="23" t="n">
        <x:v>0</x:v>
      </x:c>
      <x:c r="AC51" s="23" t="n">
        <x:v>0</x:v>
      </x:c>
      <x:c r="AD51" s="23" t="n">
        <x:v>471.27237955729163</x:v>
      </x:c>
      <x:c r="AE51" s="23" t="n">
        <x:v>455.68994140625</x:v>
      </x:c>
      <x:c r="AF51" s="23" t="n">
        <x:v>460.0980224609375</x:v>
      </x:c>
      <x:c r="AG51" s="23" t="n">
        <x:v>0</x:v>
      </x:c>
      <x:c r="AH51" s="23" t="n">
        <x:v>470.1336263020833</x:v>
      </x:c>
      <x:c r="AI51" s="23" t="n">
        <x:v>456.3747709664476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0</x:v>
      </x:c>
      <x:c r="CT51" s="23" t="n">
        <x:v>46.024698165863505</x:v>
      </x:c>
      <x:c r="CU51" s="23" t="n">
        <x:v>89.70138137555348</x:v>
      </x:c>
      <x:c r="CV51" s="23" t="n">
        <x:v>124.6463180515196</x:v>
      </x:c>
      <x:c r="CW51" s="23" t="n">
        <x:v>209.02206910573386</x:v>
      </x:c>
      <x:c r="CX51" s="23" t="n">
        <x:v>232.9449950050996</x:v>
      </x:c>
      <x:c r="CY51" s="23" t="n">
        <x:v>199.3148447651572</x:v>
      </x:c>
      <x:c r="CZ51" s="23" t="n">
        <x:v>245.0305723764876</x:v>
      </x:c>
      <x:c r="DA51" s="23" t="n">
        <x:v>295.3944386255469</x:v>
      </x:c>
      <x:c r="DB51" s="23" t="n">
        <x:v>343.3787079846118</x:v>
      </x:c>
      <x:c r="DC51" s="23" t="n">
        <x:v>392.52040292494996</x:v>
      </x:c>
      <x:c r="DD51" s="23" t="n">
        <x:v>28.08941475187286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455.7738850911458</x:v>
      </x:c>
      <x:c r="DX51" s="23" t="n">
        <x:v>456.42399088541663</x:v>
      </x:c>
      <x:c r="DY51" s="23" t="n">
        <x:v>468.3443196614583</x:v>
      </x:c>
      <x:c r="DZ51" s="23" t="n">
        <x:v>478.6463623046875</x:v>
      </x:c>
      <x:c r="EA51" s="23" t="n">
        <x:v>501.3117268880208</x:v>
      </x:c>
      <x:c r="EB51" s="23" t="n">
        <x:v>448.7568786458333</x:v>
      </x:c>
      <x:c r="EC51" s="23" t="n">
        <x:v>398.819580078125</x:v>
      </x:c>
      <x:c r="ED51" s="23" t="n">
        <x:v>1216.1114095052083</x:v>
      </x:c>
      <x:c r="EE51" s="23" t="n">
        <x:v>586.9891746519738</x:v>
      </x:c>
      <x:c r="EF51" s="23" t="n">
        <x:v>1226.181681315104</x:v>
      </x:c>
      <x:c r="EG51" s="23" t="n">
        <x:v>398.16105143229163</x:v>
      </x:c>
      <x:c r="EH51" s="23" t="n">
        <x:v>393.9446614583333</x:v>
      </x:c>
      <x:c r="EI51" s="23" t="n">
        <x:v>1218.317179361979</x:v>
      </x:c>
      <x:c r="EJ51" s="23" t="n">
        <x:v>1222.59912109375</x:v>
      </x:c>
      <x:c r="EK51" s="23" t="n">
        <x:v>1230.474161783854</x:v>
      </x:c>
      <x:c r="EL51" s="23" t="n">
        <x:v>1231.9376627604165</x:v>
      </x:c>
      <x:c r="EM51" s="23" t="n">
        <x:v>1234.8814290364583</x:v>
      </x:c>
      <x:c r="EN51" s="23" t="n">
        <x:v>434.78214518229163</x:v>
      </x:c>
      <x:c r="EO51" s="23" t="n">
        <x:v>0</x:v>
      </x:c>
      <x:c r="EP51" s="23" t="n">
        <x:f>SUM(B51:EO51)</x:f>
        <x:v>30506.646092870338</x:v>
      </x:c>
      <x:c r="EQ51" s="23" t="n">
        <x:f>SUMPRODUCT(B51:EO51,{0.2868,0.3052,0.3172,0.2747,0.312,0.3775,0.2906,0.2694,0.3655,0.4039,0.3785,0.3356,0.3186,0.3294,0.346,0.3462,0.3563,0.3625,0.3224,0.2882,0.2928,0.3201,0.334,0.347,0.3899,0.3617,0.3084,0.3755,0.3954,0.3361,0.3361,0.3562,0.3391,0.307,0.4698,0.7311,0.7663,0.7387,0.7365,0.6857,0.6627,0.6897,0.7062,0.6984,0.6479,0.5671,0.6504,0.8544,0.9228,0.879,0.8055,0.7644,0.7882,0.8388,0.8357,0.7841,0.7509,0.7926,0.7748,0.7006,0.7026,0.6952,0.6527,0.6216,0.4832,0.2853,0.2241,0.2506,0.2582,0.1901,0.1607,0.1784,0.1546,0.2005,0.2739,0.2309,0.3247,0.5467,0.6192,0.6385,0.6846,0.7242,0.7285,0.6955,0.6572,0.6788,0.7532,0.7833,0.642,0.4471,0.4594,0.5157,0.5121,0.511,0.5593,0.6285,0.6456,0.64,0.6428,0.6531,0.6438,0.6292,0.6548,0.6965,0.7125,0.7072,0.856,1.0851,1.128,1.1061,1.1081,1.1049,1.1248,1.1446,1.1075,1.0855,1.0844,1.0496,1.0712,1.1374,1.1398,1.139,1.1642,1.1549,1.0024,0.7936,0.746,0.7759,0.799,0.7838,0.6095,0.3671,0.2993,0.3201,0.3521,0.3933,0.3728,0.2959,0.255,0.3103,0.3833,0.3372,0.3112,0.3593})</x:f>
        <x:v>12081.377315796397</x:v>
      </x:c>
    </x:row>
    <x:row r="52" ht="14" customHeight="1">
      <x:c r="A52" s="3">
        <x:v>45739</x:v>
      </x:c>
      <x:c r="B52" s="23" t="n">
        <x:v>584.4681396484375</x:v>
      </x:c>
      <x:c r="C52" s="23" t="n">
        <x:v>1397.5252685546875</x:v>
      </x:c>
      <x:c r="D52" s="23" t="n">
        <x:v>580.6053873697916</x:v>
      </x:c>
      <x:c r="E52" s="23" t="n">
        <x:v>1405.8145345052083</x:v>
      </x:c>
      <x:c r="F52" s="23" t="n">
        <x:v>1409.7439778645833</x:v>
      </x:c>
      <x:c r="G52" s="23" t="n">
        <x:v>600.8830973307291</x:v>
      </x:c>
      <x:c r="H52" s="23" t="n">
        <x:v>589.947509765625</x:v>
      </x:c>
      <x:c r="I52" s="23" t="n">
        <x:v>589.7357584635416</x:v>
      </x:c>
      <x:c r="J52" s="23" t="n">
        <x:v>1423.8191731770833</x:v>
      </x:c>
      <x:c r="K52" s="23" t="n">
        <x:v>1416.6962076822915</x:v>
      </x:c>
      <x:c r="L52" s="23" t="n">
        <x:v>574.4360758463541</x:v>
      </x:c>
      <x:c r="M52" s="23" t="n">
        <x:v>589.7099609375</x:v>
      </x:c>
      <x:c r="N52" s="23" t="n">
        <x:v>581.5408121744791</x:v>
      </x:c>
      <x:c r="O52" s="23" t="n">
        <x:v>580.4056803385416</x:v>
      </x:c>
      <x:c r="P52" s="23" t="n">
        <x:v>584.4733479817708</x:v>
      </x:c>
      <x:c r="Q52" s="23" t="n">
        <x:v>580.7111002604166</x:v>
      </x:c>
      <x:c r="R52" s="23" t="n">
        <x:v>584.4854329427083</x:v>
      </x:c>
      <x:c r="S52" s="23" t="n">
        <x:v>597.7289225260416</x:v>
      </x:c>
      <x:c r="T52" s="23" t="n">
        <x:v>604.3462320963541</x:v>
      </x:c>
      <x:c r="U52" s="23" t="n">
        <x:v>599.1507568359375</x:v>
      </x:c>
      <x:c r="V52" s="23" t="n">
        <x:v>593.4191487630208</x:v>
      </x:c>
      <x:c r="W52" s="23" t="n">
        <x:v>593.2306315104166</x:v>
      </x:c>
      <x:c r="X52" s="23" t="n">
        <x:v>597.9467366536458</x:v>
      </x:c>
      <x:c r="Y52" s="23" t="n">
        <x:v>592.7046712239583</x:v>
      </x:c>
      <x:c r="Z52" s="23" t="n">
        <x:v>584.5435791015625</x:v>
      </x:c>
      <x:c r="AA52" s="23" t="n">
        <x:v>583.8870035807291</x:v>
      </x:c>
      <x:c r="AB52" s="23" t="n">
        <x:v>595.482421875</x:v>
      </x:c>
      <x:c r="AC52" s="23" t="n">
        <x:v>605.3052978515625</x:v>
      </x:c>
      <x:c r="AD52" s="23" t="n">
        <x:v>613.8722737630208</x:v>
      </x:c>
      <x:c r="AE52" s="23" t="n">
        <x:v>716.9905155037328</x:v>
      </x:c>
      <x:c r="AF52" s="23" t="n">
        <x:v>576.38134765625</x:v>
      </x:c>
      <x:c r="AG52" s="23" t="n">
        <x:v>604.0160319010416</x:v>
      </x:c>
      <x:c r="AH52" s="23" t="n">
        <x:v>614.687255859375</x:v>
      </x:c>
      <x:c r="AI52" s="23" t="n">
        <x:v>1415.7049908170575</x:v>
      </x:c>
      <x:c r="AJ52" s="23" t="n">
        <x:v>672.9368913858077</x:v>
      </x:c>
      <x:c r="AK52" s="23" t="n">
        <x:v>33.534556315104204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0</x:v>
      </x:c>
      <x:c r="AS52" s="23" t="n">
        <x:v>0</x:v>
      </x:c>
      <x:c r="AT52" s="23" t="n">
        <x:v>0</x:v>
      </x:c>
      <x:c r="AU52" s="23" t="n">
        <x:v>248.36326113525183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602.4387565076938</x:v>
      </x:c>
      <x:c r="BP52" s="23" t="n">
        <x:v>89.93483203739072</x:v>
      </x:c>
      <x:c r="BQ52" s="23" t="n">
        <x:v>0</x:v>
      </x:c>
      <x:c r="BR52" s="23" t="n">
        <x:v>543.8737892692432</x:v>
      </x:c>
      <x:c r="BS52" s="23" t="n">
        <x:v>533.9710861465957</x:v>
      </x:c>
      <x:c r="BT52" s="23" t="n">
        <x:v>522.1882370187229</x:v>
      </x:c>
      <x:c r="BU52" s="23" t="n">
        <x:v>486.49865773498914</x:v>
      </x:c>
      <x:c r="BV52" s="23" t="n">
        <x:v>468.56160610578155</x:v>
      </x:c>
      <x:c r="BW52" s="23" t="n">
        <x:v>450.6783186536019</x:v>
      </x:c>
      <x:c r="BX52" s="23" t="n">
        <x:v>488.7952585160072</x:v>
      </x:c>
      <x:c r="BY52" s="23" t="n">
        <x:v>521.6529534713673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151.11002512993701</x:v>
      </x:c>
      <x:c r="CN52" s="23" t="n">
        <x:v>437.8213317921127</x:v>
      </x:c>
      <x:c r="CO52" s="23" t="n">
        <x:v>224.1017011762836</x:v>
      </x:c>
      <x:c r="CP52" s="23" t="n">
        <x:v>288.3749629991063</x:v>
      </x:c>
      <x:c r="CQ52" s="23" t="n">
        <x:v>339.40531089702927</x:v>
      </x:c>
      <x:c r="CR52" s="23" t="n">
        <x:v>386.05441777665465</x:v>
      </x:c>
      <x:c r="CS52" s="23" t="n">
        <x:v>433.1969911325664</x:v>
      </x:c>
      <x:c r="CT52" s="23" t="n">
        <x:v>482.41866089853204</x:v>
      </x:c>
      <x:c r="CU52" s="23" t="n">
        <x:v>543.8431081465458</x:v>
      </x:c>
      <x:c r="CV52" s="23" t="n">
        <x:v>581.835262810876</x:v>
      </x:c>
      <x:c r="CW52" s="23" t="n">
        <x:v>644.4829838451826</x:v>
      </x:c>
      <x:c r="CX52" s="23" t="n">
        <x:v>698.0299621643895</x:v>
      </x:c>
      <x:c r="CY52" s="23" t="n">
        <x:v>763.9065572457266</x:v>
      </x:c>
      <x:c r="CZ52" s="23" t="n">
        <x:v>804.5976154513489</x:v>
      </x:c>
      <x:c r="DA52" s="23" t="n">
        <x:v>855.5431886509793</x:v>
      </x:c>
      <x:c r="DB52" s="23" t="n">
        <x:v>899.4373671265358</x:v>
      </x:c>
      <x:c r="DC52" s="23" t="n">
        <x:v>971.1102424513421</x:v>
      </x:c>
      <x:c r="DD52" s="23" t="n">
        <x:v>878.6897423889751</x:v>
      </x:c>
      <x:c r="DE52" s="23" t="n">
        <x:v>0</x:v>
      </x:c>
      <x:c r="DF52" s="23" t="n">
        <x:v>0</x:v>
      </x:c>
      <x:c r="DG52" s="23" t="n">
        <x:v>715.5677843271894</x:v>
      </x:c>
      <x:c r="DH52" s="23" t="n">
        <x:v>0</x:v>
      </x:c>
      <x:c r="DI52" s="23" t="n">
        <x:v>0</x:v>
      </x:c>
      <x:c r="DJ52" s="23" t="n">
        <x:v>0</x:v>
      </x:c>
      <x:c r="DK52" s="23" t="n">
        <x:v>0</x:v>
      </x:c>
      <x:c r="DL52" s="23" t="n">
        <x:v>718.188232421875</x:v>
      </x:c>
      <x:c r="DM52" s="23" t="n">
        <x:v>684.8077799479166</x:v>
      </x:c>
      <x:c r="DN52" s="23" t="n">
        <x:v>0</x:v>
      </x:c>
      <x:c r="DO52" s="23" t="n">
        <x:v>664.4136402701266</x:v>
      </x:c>
      <x:c r="DP52" s="23" t="n">
        <x:v>726.1026204427083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725.917724609375</x:v>
      </x:c>
      <x:c r="DW52" s="23" t="n">
        <x:v>727.38134765625</x:v>
      </x:c>
      <x:c r="DX52" s="23" t="n">
        <x:v>725.5602979038065</x:v>
      </x:c>
      <x:c r="DY52" s="23" t="n">
        <x:v>716.4716796875</x:v>
      </x:c>
      <x:c r="DZ52" s="23" t="n">
        <x:v>728.6864420572916</x:v>
      </x:c>
      <x:c r="EA52" s="23" t="n">
        <x:v>741.00830078125</x:v>
      </x:c>
      <x:c r="EB52" s="23" t="n">
        <x:v>666.028281640625</x:v>
      </x:c>
      <x:c r="EC52" s="23" t="n">
        <x:v>555.43994140625</x:v>
      </x:c>
      <x:c r="ED52" s="23" t="n">
        <x:v>1375.108439127604</x:v>
      </x:c>
      <x:c r="EE52" s="23" t="n">
        <x:v>539.1698404947916</x:v>
      </x:c>
      <x:c r="EF52" s="23" t="n">
        <x:v>533.8582763671875</x:v>
      </x:c>
      <x:c r="EG52" s="23" t="n">
        <x:v>532.6367594401041</x:v>
      </x:c>
      <x:c r="EH52" s="23" t="n">
        <x:v>535.0569661458333</x:v>
      </x:c>
      <x:c r="EI52" s="23" t="n">
        <x:v>1368.7361653645833</x:v>
      </x:c>
      <x:c r="EJ52" s="23" t="n">
        <x:v>1372.1912841796875</x:v>
      </x:c>
      <x:c r="EK52" s="23" t="n">
        <x:v>1402.88525390625</x:v>
      </x:c>
      <x:c r="EL52" s="23" t="n">
        <x:v>572.5354817708333</x:v>
      </x:c>
      <x:c r="EM52" s="23" t="n">
        <x:v>885.8798187411587</x:v>
      </x:c>
      <x:c r="EN52" s="23" t="n">
        <x:v>1409.1119384765625</x:v>
      </x:c>
      <x:c r="EO52" s="23" t="n">
        <x:v>1419.9025472005208</x:v>
      </x:c>
      <x:c r="EP52" s="23" t="n">
        <x:f>SUM(B52:EO52)</x:f>
        <x:v>62254.433763111425</x:v>
      </x:c>
      <x:c r="EQ52" s="23" t="n">
        <x:f>SUMPRODUCT(B52:EO52,{0.3978,0.4168,0.424,0.4252,0.4238,0.4104,0.3794,0.386,0.4289,0.4501,0.452,0.4477,0.4435,0.4398,0.442,0.4555,0.4614,0.4411,0.4038,0.4359,0.5,0.4707,0.436,0.454,0.4878,0.4663,0.4077,0.4023,0.4372,0.4607,0.438,0.4438,0.4467,0.3912,0.6363,1.0318,1.033,0.9552,0.9704,0.9354,0.9015,0.8682,0.7764,0.7431,0.7486,0.6927,0.8602,1.1653,1.1997,1.1311,1.0949,1.0645,1.0898,1.1164,1.0351,1.0087,1.0677,1.0687,0.9858,0.9078,0.9431,0.9537,0.9201,0.9354,0.8306,0.6244,0.5339,0.5479,0.5601,0.4852,0.4552,0.4776,0.4422,0.4711,0.513,0.423,0.5891,0.9244,0.9245,0.8458,0.8602,0.8747,0.8669,0.8591,0.878,0.8758,0.8878,0.9738,0.8959,0.6895,0.6445,0.6777,0.7026,0.7298,0.778,0.821,0.8155,0.8309,0.8863,0.9268,0.922,0.9173,0.9872,1.0491,1.0394,0.9984,1.1316,1.3252,1.2566,1.1933,1.2617,1.3186,1.312,1.2725,1.2704,1.3072,1.3289,1.2763,1.2222,1.215,1.2417,1.275,1.2901,1.2609,1.1407,0.9738,0.8813,0.9022,0.9833,0.9883,0.7503,0.4165,0.3404,0.4202,0.4843,0.4544,0.4313,0.4408,0.4162,0.3965,0.3973,0.3935,0.3988,0.4201})</x:f>
        <x:v>37709.72448965844</x:v>
      </x:c>
    </x:row>
    <x:row r="53" ht="14" customHeight="1">
      <x:c r="A53" s="3">
        <x:v>45740</x:v>
      </x:c>
      <x:c r="B53" s="23" t="n">
        <x:v>566.270263671875</x:v>
      </x:c>
      <x:c r="C53" s="23" t="n">
        <x:v>564.0996500651041</x:v>
      </x:c>
      <x:c r="D53" s="23" t="n">
        <x:v>577.5951741536458</x:v>
      </x:c>
      <x:c r="E53" s="23" t="n">
        <x:v>570.8264567057291</x:v>
      </x:c>
      <x:c r="F53" s="23" t="n">
        <x:v>1402.5225830078125</x:v>
      </x:c>
      <x:c r="G53" s="23" t="n">
        <x:v>1414.6719563802083</x:v>
      </x:c>
      <x:c r="H53" s="23" t="n">
        <x:v>579.4407145182291</x:v>
      </x:c>
      <x:c r="I53" s="23" t="n">
        <x:v>580.6693115234375</x:v>
      </x:c>
      <x:c r="J53" s="23" t="n">
        <x:v>1409.1170247395833</x:v>
      </x:c>
      <x:c r="K53" s="23" t="n">
        <x:v>586.4229329427083</x:v>
      </x:c>
      <x:c r="L53" s="23" t="n">
        <x:v>580.7476399739583</x:v>
      </x:c>
      <x:c r="M53" s="23" t="n">
        <x:v>581.7281901041666</x:v>
      </x:c>
      <x:c r="N53" s="23" t="n">
        <x:v>594.9742431640625</x:v>
      </x:c>
      <x:c r="O53" s="23" t="n">
        <x:v>601.3779703776041</x:v>
      </x:c>
      <x:c r="P53" s="23" t="n">
        <x:v>591.8555908203125</x:v>
      </x:c>
      <x:c r="Q53" s="23" t="n">
        <x:v>587.4788818359375</x:v>
      </x:c>
      <x:c r="R53" s="23" t="n">
        <x:v>1417.1815185546875</x:v>
      </x:c>
      <x:c r="S53" s="23" t="n">
        <x:v>579.3365071614583</x:v>
      </x:c>
      <x:c r="T53" s="23" t="n">
        <x:v>569.2909342447916</x:v>
      </x:c>
      <x:c r="U53" s="23" t="n">
        <x:v>585.6808675130208</x:v>
      </x:c>
      <x:c r="V53" s="23" t="n">
        <x:v>604.2441813151041</x:v>
      </x:c>
      <x:c r="W53" s="23" t="n">
        <x:v>588.8525390625</x:v>
      </x:c>
      <x:c r="X53" s="23" t="n">
        <x:v>982.497200876094</x:v>
      </x:c>
      <x:c r="Y53" s="23" t="n">
        <x:v>599.6947021484375</x:v>
      </x:c>
      <x:c r="Z53" s="23" t="n">
        <x:v>599.0684814453125</x:v>
      </x:c>
      <x:c r="AA53" s="23" t="n">
        <x:v>590.3827718098958</x:v>
      </x:c>
      <x:c r="AB53" s="23" t="n">
        <x:v>610.0450439453125</x:v>
      </x:c>
      <x:c r="AC53" s="23" t="n">
        <x:v>1443.119669596354</x:v>
      </x:c>
      <x:c r="AD53" s="23" t="n">
        <x:v>611.8055419921875</x:v>
      </x:c>
      <x:c r="AE53" s="23" t="n">
        <x:v>608.4083251953125</x:v>
      </x:c>
      <x:c r="AF53" s="23" t="n">
        <x:v>590.4497884114583</x:v>
      </x:c>
      <x:c r="AG53" s="23" t="n">
        <x:v>604.5351969401041</x:v>
      </x:c>
      <x:c r="AH53" s="23" t="n">
        <x:v>612.7063395182291</x:v>
      </x:c>
      <x:c r="AI53" s="23" t="n">
        <x:v>1404.400555035003</x:v>
      </x:c>
      <x:c r="AJ53" s="23" t="n">
        <x:v>638.4534505208333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254.07178630497822</x:v>
      </x:c>
      <x:c r="AS53" s="23" t="n">
        <x:v>0</x:v>
      </x:c>
      <x:c r="AT53" s="23" t="n">
        <x:v>0</x:v>
      </x:c>
      <x:c r="AU53" s="23" t="n">
        <x:v>239.0472995587902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621.2735461240713</x:v>
      </x:c>
      <x:c r="BQ53" s="23" t="n">
        <x:v>147.83760092899536</x:v>
      </x:c>
      <x:c r="BR53" s="23" t="n">
        <x:v>570.4624494750274</x:v>
      </x:c>
      <x:c r="BS53" s="23" t="n">
        <x:v>537.3049816751687</x:v>
      </x:c>
      <x:c r="BT53" s="23" t="n">
        <x:v>486.3905592766508</x:v>
      </x:c>
      <x:c r="BU53" s="23" t="n">
        <x:v>487.27704877963043</x:v>
      </x:c>
      <x:c r="BV53" s="23" t="n">
        <x:v>472.44592456188514</x:v>
      </x:c>
      <x:c r="BW53" s="23" t="n">
        <x:v>493.1997289261406</x:v>
      </x:c>
      <x:c r="BX53" s="23" t="n">
        <x:v>519.5803226161926</x:v>
      </x:c>
      <x:c r="BY53" s="23" t="n">
        <x:v>532.0801420265904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110.36546617783581</x:v>
      </x:c>
      <x:c r="CN53" s="23" t="n">
        <x:v>249.5974229821166</x:v>
      </x:c>
      <x:c r="CO53" s="23" t="n">
        <x:v>194.9965738904331</x:v>
      </x:c>
      <x:c r="CP53" s="23" t="n">
        <x:v>244.38865772230474</x:v>
      </x:c>
      <x:c r="CQ53" s="23" t="n">
        <x:v>304.72677895046957</x:v>
      </x:c>
      <x:c r="CR53" s="23" t="n">
        <x:v>358.0693572719447</x:v>
      </x:c>
      <x:c r="CS53" s="23" t="n">
        <x:v>409.0886150855317</x:v>
      </x:c>
      <x:c r="CT53" s="23" t="n">
        <x:v>466.15108422189707</x:v>
      </x:c>
      <x:c r="CU53" s="23" t="n">
        <x:v>520.9915508733317</x:v>
      </x:c>
      <x:c r="CV53" s="23" t="n">
        <x:v>577.6208369481787</x:v>
      </x:c>
      <x:c r="CW53" s="23" t="n">
        <x:v>630.06211705205</x:v>
      </x:c>
      <x:c r="CX53" s="23" t="n">
        <x:v>684.4530836921224</x:v>
      </x:c>
      <x:c r="CY53" s="23" t="n">
        <x:v>743.2027740367812</x:v>
      </x:c>
      <x:c r="CZ53" s="23" t="n">
        <x:v>800.7990579785675</x:v>
      </x:c>
      <x:c r="DA53" s="23" t="n">
        <x:v>854.2947794646816</x:v>
      </x:c>
      <x:c r="DB53" s="23" t="n">
        <x:v>914.1861740969426</x:v>
      </x:c>
      <x:c r="DC53" s="23" t="n">
        <x:v>977.0465416725933</x:v>
      </x:c>
      <x:c r="DD53" s="23" t="n">
        <x:v>877.9987983369929</x:v>
      </x:c>
      <x:c r="DE53" s="23" t="n">
        <x:v>0</x:v>
      </x:c>
      <x:c r="DF53" s="23" t="n">
        <x:v>669.7583152298473</x:v>
      </x:c>
      <x:c r="DG53" s="23" t="n">
        <x:v>710.9296147146175</x:v>
      </x:c>
      <x:c r="DH53" s="23" t="n">
        <x:v>0</x:v>
      </x:c>
      <x:c r="DI53" s="23" t="n">
        <x:v>0</x:v>
      </x:c>
      <x:c r="DJ53" s="23" t="n">
        <x:v>0</x:v>
      </x:c>
      <x:c r="DK53" s="23" t="n">
        <x:v>0</x:v>
      </x:c>
      <x:c r="DL53" s="23" t="n">
        <x:v>721.5448404947916</x:v>
      </x:c>
      <x:c r="DM53" s="23" t="n">
        <x:v>716.9871419270833</x:v>
      </x:c>
      <x:c r="DN53" s="23" t="n">
        <x:v>0</x:v>
      </x:c>
      <x:c r="DO53" s="23" t="n">
        <x:v>0</x:v>
      </x:c>
      <x:c r="DP53" s="23" t="n">
        <x:v>0</x:v>
      </x:c>
      <x:c r="DQ53" s="23" t="n">
        <x:v>2.4736791083360004</x:v>
      </x:c>
      <x:c r="DR53" s="23" t="n">
        <x:v>714.4933268229166</x:v>
      </x:c>
      <x:c r="DS53" s="23" t="n">
        <x:v>0</x:v>
      </x:c>
      <x:c r="DT53" s="23" t="n">
        <x:v>0</x:v>
      </x:c>
      <x:c r="DU53" s="23" t="n">
        <x:v>0</x:v>
      </x:c>
      <x:c r="DV53" s="23" t="n">
        <x:v>721.9554850260416</x:v>
      </x:c>
      <x:c r="DW53" s="23" t="n">
        <x:v>720.519287109375</x:v>
      </x:c>
      <x:c r="DX53" s="23" t="n">
        <x:v>723.1594804928625</x:v>
      </x:c>
      <x:c r="DY53" s="23" t="n">
        <x:v>715.9234212239583</x:v>
      </x:c>
      <x:c r="DZ53" s="23" t="n">
        <x:v>725.2582194010416</x:v>
      </x:c>
      <x:c r="EA53" s="23" t="n">
        <x:v>732.4436538802081</x:v>
      </x:c>
      <x:c r="EB53" s="23" t="n">
        <x:v>679.7844645182291</x:v>
      </x:c>
      <x:c r="EC53" s="23" t="n">
        <x:v>555.5302327473958</x:v>
      </x:c>
      <x:c r="ED53" s="23" t="n">
        <x:v>1360.07958984375</x:v>
      </x:c>
      <x:c r="EE53" s="23" t="n">
        <x:v>1374.7404378255208</x:v>
      </x:c>
      <x:c r="EF53" s="23" t="n">
        <x:v>556.9259847005208</x:v>
      </x:c>
      <x:c r="EG53" s="23" t="n">
        <x:v>556.2271321614583</x:v>
      </x:c>
      <x:c r="EH53" s="23" t="n">
        <x:v>866.5435763004759</x:v>
      </x:c>
      <x:c r="EI53" s="23" t="n">
        <x:v>1366.8669026692708</x:v>
      </x:c>
      <x:c r="EJ53" s="23" t="n">
        <x:v>1382.3282063802083</x:v>
      </x:c>
      <x:c r="EK53" s="23" t="n">
        <x:v>1391.5115966796875</x:v>
      </x:c>
      <x:c r="EL53" s="23" t="n">
        <x:v>567.5087076822916</x:v>
      </x:c>
      <x:c r="EM53" s="23" t="n">
        <x:v>554.2554117838541</x:v>
      </x:c>
      <x:c r="EN53" s="23" t="n">
        <x:v>1388.9836018880208</x:v>
      </x:c>
      <x:c r="EO53" s="23" t="n">
        <x:v>561.3546549479166</x:v>
      </x:c>
      <x:c r="EP53" s="23" t="n">
        <x:f>SUM(B53:EO53)</x:f>
        <x:v>62347.05022553905</x:v>
      </x:c>
      <x:c r="EQ53" s="23" t="n">
        <x:f>SUMPRODUCT(B53:EO53,{0.4427,0.4357,0.4027,0.3855,0.4205,0.4482,0.3809,0.384,0.4542,0.4262,0.4082,0.4375,0.437,0.438,0.4412,0.4132,0.4176,0.4505,0.4469,0.4607,0.4801,0.4372,0.4202,0.4483,0.4515,0.4379,0.4267,0.4255,0.4308,0.4292,0.4137,0.4304,0.4212,0.3336,0.5745,1.0023,1.0322,0.954,0.9636,0.9538,0.8877,0.8165,0.8224,0.8454,0.7965,0.6875,0.8767,1.2364,1.2535,1.1558,1.1442,1.1786,1.1345,1.0346,1.0185,1.0324,1.0197,0.9811,0.9561,0.9536,0.9463,0.9208,0.8777,0.8159,0.6892,0.5558,0.5298,0.4943,0.4356,0.4568,0.4812,0.4689,0.4606,0.4829,0.4789,0.4011,0.5326,0.7882,0.7921,0.7998,0.8818,0.8463,0.8363,0.9028,0.9391,0.929,0.9497,1.0522,0.9276,0.6701,0.6973,0.7604,0.7499,0.8101,0.8585,0.8436,0.8148,0.8555,0.9333,0.9415,0.9617,1.0038,0.9978,1.0291,1.0778,1.0471,1.1044,1.2576,1.3309,1.3218,1.277,1.2392,1.2231,1.2362,1.2743,1.2892,1.2665,1.2433,1.2766,1.3205,1.2704,1.2177,1.2564,1.3583,1.2168,0.9233,0.886,0.9218,0.9458,1.0127,0.7609,0.3518,0.3552,0.4676,0.4543,0.3895,0.3979,0.4588,0.4414,0.395,0.3923,0.4555,0.4985,0.4741})</x:f>
        <x:v>38036.404775020535</x:v>
      </x:c>
    </x:row>
    <x:row r="54" ht="14" customHeight="1">
      <x:c r="A54" s="3">
        <x:v>45741</x:v>
      </x:c>
      <x:c r="B54" s="23" t="n">
        <x:v>571.6785481770833</x:v>
      </x:c>
      <x:c r="C54" s="23" t="n">
        <x:v>564.8198649088541</x:v>
      </x:c>
      <x:c r="D54" s="23" t="n">
        <x:v>572.1883138020833</x:v>
      </x:c>
      <x:c r="E54" s="23" t="n">
        <x:v>1396.9180908203125</x:v>
      </x:c>
      <x:c r="F54" s="23" t="n">
        <x:v>1388.173828125</x:v>
      </x:c>
      <x:c r="G54" s="23" t="n">
        <x:v>556.8336995442708</x:v>
      </x:c>
      <x:c r="H54" s="23" t="n">
        <x:v>570.4399820963541</x:v>
      </x:c>
      <x:c r="I54" s="23" t="n">
        <x:v>580.7235514322916</x:v>
      </x:c>
      <x:c r="J54" s="23" t="n">
        <x:v>576.9059244791666</x:v>
      </x:c>
      <x:c r="K54" s="23" t="n">
        <x:v>1418.2980143229165</x:v>
      </x:c>
      <x:c r="L54" s="23" t="n">
        <x:v>591.1293538411458</x:v>
      </x:c>
      <x:c r="M54" s="23" t="n">
        <x:v>585.0972493489583</x:v>
      </x:c>
      <x:c r="N54" s="23" t="n">
        <x:v>589.4168294270833</x:v>
      </x:c>
      <x:c r="O54" s="23" t="n">
        <x:v>594.8015950520833</x:v>
      </x:c>
      <x:c r="P54" s="23" t="n">
        <x:v>589.8486328125</x:v>
      </x:c>
      <x:c r="Q54" s="23" t="n">
        <x:v>567.1207682291666</x:v>
      </x:c>
      <x:c r="R54" s="23" t="n">
        <x:v>1090.0845614076957</x:v>
      </x:c>
      <x:c r="S54" s="23" t="n">
        <x:v>582.5085042317708</x:v>
      </x:c>
      <x:c r="T54" s="23" t="n">
        <x:v>585.625244140625</x:v>
      </x:c>
      <x:c r="U54" s="23" t="n">
        <x:v>581.0652669270833</x:v>
      </x:c>
      <x:c r="V54" s="23" t="n">
        <x:v>588.7266845703125</x:v>
      </x:c>
      <x:c r="W54" s="23" t="n">
        <x:v>586.3602701822916</x:v>
      </x:c>
      <x:c r="X54" s="23" t="n">
        <x:v>1412.3450520833333</x:v>
      </x:c>
      <x:c r="Y54" s="23" t="n">
        <x:v>1413.9899088541665</x:v>
      </x:c>
      <x:c r="Z54" s="23" t="n">
        <x:v>610.0722249348958</x:v>
      </x:c>
      <x:c r="AA54" s="23" t="n">
        <x:v>615.7540690104166</x:v>
      </x:c>
      <x:c r="AB54" s="23" t="n">
        <x:v>604.6279703776041</x:v>
      </x:c>
      <x:c r="AC54" s="23" t="n">
        <x:v>595.293701171875</x:v>
      </x:c>
      <x:c r="AD54" s="23" t="n">
        <x:v>601.211669921875</x:v>
      </x:c>
      <x:c r="AE54" s="23" t="n">
        <x:v>605.6120198567708</x:v>
      </x:c>
      <x:c r="AF54" s="23" t="n">
        <x:v>594.1946207682291</x:v>
      </x:c>
      <x:c r="AG54" s="23" t="n">
        <x:v>607.3016764322916</x:v>
      </x:c>
      <x:c r="AH54" s="23" t="n">
        <x:v>615.3422444661458</x:v>
      </x:c>
      <x:c r="AI54" s="23" t="n">
        <x:v>1416.5583911462202</x:v>
      </x:c>
      <x:c r="AJ54" s="23" t="n">
        <x:v>638.0766194661458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0</x:v>
      </x:c>
      <x:c r="AS54" s="23" t="n">
        <x:v>0</x:v>
      </x:c>
      <x:c r="AT54" s="23" t="n">
        <x:v>233.82039436322725</x:v>
      </x:c>
      <x:c r="AU54" s="23" t="n">
        <x:v>256.4298049905003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605.5578961412185</x:v>
      </x:c>
      <x:c r="BQ54" s="23" t="n">
        <x:v>584.9443839105186</x:v>
      </x:c>
      <x:c r="BR54" s="23" t="n">
        <x:v>568.0185982890908</x:v>
      </x:c>
      <x:c r="BS54" s="23" t="n">
        <x:v>0</x:v>
      </x:c>
      <x:c r="BT54" s="23" t="n">
        <x:v>429.28013821412435</x:v>
      </x:c>
      <x:c r="BU54" s="23" t="n">
        <x:v>477.0050291359739</x:v>
      </x:c>
      <x:c r="BV54" s="23" t="n">
        <x:v>474.0397515222985</x:v>
      </x:c>
      <x:c r="BW54" s="23" t="n">
        <x:v>464.8180280480402</x:v>
      </x:c>
      <x:c r="BX54" s="23" t="n">
        <x:v>454.67844971440275</x:v>
      </x:c>
      <x:c r="BY54" s="23" t="n">
        <x:v>489.32992118407475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145.1559615222289</x:v>
      </x:c>
      <x:c r="CN54" s="23" t="n">
        <x:v>339.7485026956443</x:v>
      </x:c>
      <x:c r="CO54" s="23" t="n">
        <x:v>215.41962059871017</x:v>
      </x:c>
      <x:c r="CP54" s="23" t="n">
        <x:v>264.55792268406304</x:v>
      </x:c>
      <x:c r="CQ54" s="23" t="n">
        <x:v>324.2861497517298</x:v>
      </x:c>
      <x:c r="CR54" s="23" t="n">
        <x:v>366.769690565061</x:v>
      </x:c>
      <x:c r="CS54" s="23" t="n">
        <x:v>412.0007883775629</x:v>
      </x:c>
      <x:c r="CT54" s="23" t="n">
        <x:v>470.38350342393403</x:v>
      </x:c>
      <x:c r="CU54" s="23" t="n">
        <x:v>529.8966967507604</x:v>
      </x:c>
      <x:c r="CV54" s="23" t="n">
        <x:v>579.3373324704578</x:v>
      </x:c>
      <x:c r="CW54" s="23" t="n">
        <x:v>616.8932456401567</x:v>
      </x:c>
      <x:c r="CX54" s="23" t="n">
        <x:v>680.552792824498</x:v>
      </x:c>
      <x:c r="CY54" s="23" t="n">
        <x:v>741.9065654047881</x:v>
      </x:c>
      <x:c r="CZ54" s="23" t="n">
        <x:v>797.7009870279504</x:v>
      </x:c>
      <x:c r="DA54" s="23" t="n">
        <x:v>839.3111086992442</x:v>
      </x:c>
      <x:c r="DB54" s="23" t="n">
        <x:v>898.5557453585911</x:v>
      </x:c>
      <x:c r="DC54" s="23" t="n">
        <x:v>982.2787970507553</x:v>
      </x:c>
      <x:c r="DD54" s="23" t="n">
        <x:v>878.5388726314802</x:v>
      </x:c>
      <x:c r="DE54" s="23" t="n">
        <x:v>0</x:v>
      </x:c>
      <x:c r="DF54" s="23" t="n">
        <x:v>0</x:v>
      </x:c>
      <x:c r="DG54" s="23" t="n">
        <x:v>710.8703304033531</x:v>
      </x:c>
      <x:c r="DH54" s="23" t="n">
        <x:v>0</x:v>
      </x:c>
      <x:c r="DI54" s="23" t="n">
        <x:v>0</x:v>
      </x:c>
      <x:c r="DJ54" s="23" t="n">
        <x:v>0</x:v>
      </x:c>
      <x:c r="DK54" s="23" t="n">
        <x:v>0</x:v>
      </x:c>
      <x:c r="DL54" s="23" t="n">
        <x:v>718.2974446614583</x:v>
      </x:c>
      <x:c r="DM54" s="23" t="n">
        <x:v>721.58203125</x:v>
      </x:c>
      <x:c r="DN54" s="23" t="n">
        <x:v>0</x:v>
      </x:c>
      <x:c r="DO54" s="23" t="n">
        <x:v>0</x:v>
      </x:c>
      <x:c r="DP54" s="23" t="n">
        <x:v>666.0687970276922</x:v>
      </x:c>
      <x:c r="DQ54" s="23" t="n">
        <x:v>0</x:v>
      </x:c>
      <x:c r="DR54" s="23" t="n">
        <x:v>0</x:v>
      </x:c>
      <x:c r="DS54" s="23" t="n">
        <x:v>719.837890625</x:v>
      </x:c>
      <x:c r="DT54" s="23" t="n">
        <x:v>0</x:v>
      </x:c>
      <x:c r="DU54" s="23" t="n">
        <x:v>0</x:v>
      </x:c>
      <x:c r="DV54" s="23" t="n">
        <x:v>721.65966796875</x:v>
      </x:c>
      <x:c r="DW54" s="23" t="n">
        <x:v>725.2849934895833</x:v>
      </x:c>
      <x:c r="DX54" s="23" t="n">
        <x:v>727.2395586178625</x:v>
      </x:c>
      <x:c r="DY54" s="23" t="n">
        <x:v>728.048583984375</x:v>
      </x:c>
      <x:c r="DZ54" s="23" t="n">
        <x:v>730.5210774739583</x:v>
      </x:c>
      <x:c r="EA54" s="23" t="n">
        <x:v>731.6528010156248</x:v>
      </x:c>
      <x:c r="EB54" s="23" t="n">
        <x:v>652.0721028645833</x:v>
      </x:c>
      <x:c r="EC54" s="23" t="n">
        <x:v>542.8857421875</x:v>
      </x:c>
      <x:c r="ED54" s="23" t="n">
        <x:v>1385.7987874348958</x:v>
      </x:c>
      <x:c r="EE54" s="23" t="n">
        <x:v>558.5230305989583</x:v>
      </x:c>
      <x:c r="EF54" s="23" t="n">
        <x:v>1383.1908772786458</x:v>
      </x:c>
      <x:c r="EG54" s="23" t="n">
        <x:v>546.3485514322916</x:v>
      </x:c>
      <x:c r="EH54" s="23" t="n">
        <x:v>552.6947835286458</x:v>
      </x:c>
      <x:c r="EI54" s="23" t="n">
        <x:v>549.2169596354166</x:v>
      </x:c>
      <x:c r="EJ54" s="23" t="n">
        <x:v>1393.4544677734375</x:v>
      </x:c>
      <x:c r="EK54" s="23" t="n">
        <x:v>1384.330810546875</x:v>
      </x:c>
      <x:c r="EL54" s="23" t="n">
        <x:v>540.9895833333333</x:v>
      </x:c>
      <x:c r="EM54" s="23" t="n">
        <x:v>1394.7422688802083</x:v>
      </x:c>
      <x:c r="EN54" s="23" t="n">
        <x:v>1401.1102701822915</x:v>
      </x:c>
      <x:c r="EO54" s="23" t="n">
        <x:v>871.4116996728718</x:v>
      </x:c>
      <x:c r="EP54" s="23" t="n">
        <x:f>SUM(B54:EO54)</x:f>
        <x:v>62238.19473722774</x:v>
      </x:c>
      <x:c r="EQ54" s="23" t="n">
        <x:f>SUMPRODUCT(B54:EO54,{0.4137,0.3964,0.4186,0.4109,0.4161,0.4365,0.4209,0.381,0.3706,0.4307,0.4547,0.4236,0.4198,0.434,0.4499,0.4641,0.4576,0.4377,0.4341,0.4411,0.4386,0.4147,0.4099,0.4391,0.4721,0.4558,0.4044,0.3853,0.388,0.3952,0.4122,0.4766,0.4951,0.3766,0.5617,0.95,0.9811,0.9437,0.9799,0.928,0.8769,0.8679,0.8455,0.8174,0.7607,0.6803,0.8622,1.1814,1.1974,1.1263,1.1244,1.1286,1.1145,1.0917,1.0758,1.0236,0.9696,1.0003,1.0414,1.0361,0.9987,0.9896,1.0218,1.0218,0.8209,0.5404,0.4942,0.521,0.5181,0.5298,0.4708,0.4032,0.4796,0.4973,0.4088,0.3976,0.5795,0.822,0.8663,0.8547,0.858,0.811,0.7975,0.851,0.9191,0.9655,0.9997,1.0267,0.8817,0.6794,0.7206,0.7743,0.7519,0.7895,0.8131,0.7993,0.8143,0.8566,0.9104,0.959,0.9689,0.9573,0.9805,1.0293,1.0652,1.0667,1.1244,1.2239,1.2578,1.2765,1.2996,1.2913,1.2838,1.2833,1.2689,1.2808,1.3143,1.3129,1.2625,1.22,1.2573,1.2707,1.2636,1.3076,1.1609,0.9122,0.9176,0.9698,0.978,1.018,0.8054,0.4688,0.452,0.4544,0.3779,0.4253,0.4357,0.3875,0.4278,0.4472,0.4172,0.4253,0.4332,0.4257})</x:f>
        <x:v>37895.34572767421</x:v>
      </x:c>
    </x:row>
    <x:row r="55" ht="14" customHeight="1">
      <x:c r="A55" s="3">
        <x:v>45742</x:v>
      </x:c>
      <x:c r="B55" s="23" t="n">
        <x:v>564.0913899739583</x:v>
      </x:c>
      <x:c r="C55" s="23" t="n">
        <x:v>1401.642578125</x:v>
      </x:c>
      <x:c r="D55" s="23" t="n">
        <x:v>1388.9989013671875</x:v>
      </x:c>
      <x:c r="E55" s="23" t="n">
        <x:v>1393.5906575520833</x:v>
      </x:c>
      <x:c r="F55" s="23" t="n">
        <x:v>566.2042643229166</x:v>
      </x:c>
      <x:c r="G55" s="23" t="n">
        <x:v>1410.4134521484375</x:v>
      </x:c>
      <x:c r="H55" s="23" t="n">
        <x:v>1396.4759928385415</x:v>
      </x:c>
      <x:c r="I55" s="23" t="n">
        <x:v>1090.5082408717522</x:v>
      </x:c>
      <x:c r="J55" s="23" t="n">
        <x:v>574.156005859375</x:v>
      </x:c>
      <x:c r="K55" s="23" t="n">
        <x:v>591.1139729817708</x:v>
      </x:c>
      <x:c r="L55" s="23" t="n">
        <x:v>594.4432373046875</x:v>
      </x:c>
      <x:c r="M55" s="23" t="n">
        <x:v>596.8639322916666</x:v>
      </x:c>
      <x:c r="N55" s="23" t="n">
        <x:v>606.0547688802083</x:v>
      </x:c>
      <x:c r="O55" s="23" t="n">
        <x:v>592.886474609375</x:v>
      </x:c>
      <x:c r="P55" s="23" t="n">
        <x:v>575.7074381510416</x:v>
      </x:c>
      <x:c r="Q55" s="23" t="n">
        <x:v>580.79296875</x:v>
      </x:c>
      <x:c r="R55" s="23" t="n">
        <x:v>602.059326171875</x:v>
      </x:c>
      <x:c r="S55" s="23" t="n">
        <x:v>610.5349934895833</x:v>
      </x:c>
      <x:c r="T55" s="23" t="n">
        <x:v>602.6409098307291</x:v>
      </x:c>
      <x:c r="U55" s="23" t="n">
        <x:v>596.29638671875</x:v>
      </x:c>
      <x:c r="V55" s="23" t="n">
        <x:v>589.9254150390625</x:v>
      </x:c>
      <x:c r="W55" s="23" t="n">
        <x:v>596.5555419921875</x:v>
      </x:c>
      <x:c r="X55" s="23" t="n">
        <x:v>592.6649169921875</x:v>
      </x:c>
      <x:c r="Y55" s="23" t="n">
        <x:v>588.3182373046875</x:v>
      </x:c>
      <x:c r="Z55" s="23" t="n">
        <x:v>593.1835530598958</x:v>
      </x:c>
      <x:c r="AA55" s="23" t="n">
        <x:v>599.3891194661458</x:v>
      </x:c>
      <x:c r="AB55" s="23" t="n">
        <x:v>590.6389973958333</x:v>
      </x:c>
      <x:c r="AC55" s="23" t="n">
        <x:v>606.8125813802083</x:v>
      </x:c>
      <x:c r="AD55" s="23" t="n">
        <x:v>611.7934163411458</x:v>
      </x:c>
      <x:c r="AE55" s="23" t="n">
        <x:v>596.022705078125</x:v>
      </x:c>
      <x:c r="AF55" s="23" t="n">
        <x:v>599.2742513020833</x:v>
      </x:c>
      <x:c r="AG55" s="23" t="n">
        <x:v>604.1453857421875</x:v>
      </x:c>
      <x:c r="AH55" s="23" t="n">
        <x:v>595.9966634114583</x:v>
      </x:c>
      <x:c r="AI55" s="23" t="n">
        <x:v>1424.9907294420482</x:v>
      </x:c>
      <x:c r="AJ55" s="23" t="n">
        <x:v>668.4635823567708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0</x:v>
      </x:c>
      <x:c r="AT55" s="23" t="n">
        <x:v>289.6282196329429</x:v>
      </x:c>
      <x:c r="AU55" s="23" t="n">
        <x:v>247.45045622303633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635.6584325454473</x:v>
      </x:c>
      <x:c r="BP55" s="23" t="n">
        <x:v>621.783423680436</x:v>
      </x:c>
      <x:c r="BQ55" s="23" t="n">
        <x:v>0</x:v>
      </x:c>
      <x:c r="BR55" s="23" t="n">
        <x:v>312.1095749137945</x:v>
      </x:c>
      <x:c r="BS55" s="23" t="n">
        <x:v>0</x:v>
      </x:c>
      <x:c r="BT55" s="23" t="n">
        <x:v>508.58101191250745</x:v>
      </x:c>
      <x:c r="BU55" s="23" t="n">
        <x:v>473.4958729452137</x:v>
      </x:c>
      <x:c r="BV55" s="23" t="n">
        <x:v>450.05367945640074</x:v>
      </x:c>
      <x:c r="BW55" s="23" t="n">
        <x:v>454.2308726829348</x:v>
      </x:c>
      <x:c r="BX55" s="23" t="n">
        <x:v>480.94153430315856</x:v>
      </x:c>
      <x:c r="BY55" s="23" t="n">
        <x:v>496.4018392600166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126.41472711675229</x:v>
      </x:c>
      <x:c r="CN55" s="23" t="n">
        <x:v>287.6446679950602</x:v>
      </x:c>
      <x:c r="CO55" s="23" t="n">
        <x:v>203.70888573857502</x:v>
      </x:c>
      <x:c r="CP55" s="23" t="n">
        <x:v>256.2675340574556</x:v>
      </x:c>
      <x:c r="CQ55" s="23" t="n">
        <x:v>300.4209697380885</x:v>
      </x:c>
      <x:c r="CR55" s="23" t="n">
        <x:v>349.9119382021845</x:v>
      </x:c>
      <x:c r="CS55" s="23" t="n">
        <x:v>410.89700402425296</x:v>
      </x:c>
      <x:c r="CT55" s="23" t="n">
        <x:v>456.45443870464425</x:v>
      </x:c>
      <x:c r="CU55" s="23" t="n">
        <x:v>513.8594932783136</x:v>
      </x:c>
      <x:c r="CV55" s="23" t="n">
        <x:v>570.0152428695486</x:v>
      </x:c>
      <x:c r="CW55" s="23" t="n">
        <x:v>628.8954827306338</x:v>
      </x:c>
      <x:c r="CX55" s="23" t="n">
        <x:v>682.9082014459352</x:v>
      </x:c>
      <x:c r="CY55" s="23" t="n">
        <x:v>735.9798624280229</x:v>
      </x:c>
      <x:c r="CZ55" s="23" t="n">
        <x:v>784.9779988431999</x:v>
      </x:c>
      <x:c r="DA55" s="23" t="n">
        <x:v>838.6898576764056</x:v>
      </x:c>
      <x:c r="DB55" s="23" t="n">
        <x:v>897.6386392831982</x:v>
      </x:c>
      <x:c r="DC55" s="23" t="n">
        <x:v>976.7680757627597</x:v>
      </x:c>
      <x:c r="DD55" s="23" t="n">
        <x:v>890.4367742648012</x:v>
      </x:c>
      <x:c r="DE55" s="23" t="n">
        <x:v>0</x:v>
      </x:c>
      <x:c r="DF55" s="23" t="n">
        <x:v>0</x:v>
      </x:c>
      <x:c r="DG55" s="23" t="n">
        <x:v>711.2649574257157</x:v>
      </x:c>
      <x:c r="DH55" s="23" t="n">
        <x:v>0</x:v>
      </x:c>
      <x:c r="DI55" s="23" t="n">
        <x:v>0</x:v>
      </x:c>
      <x:c r="DJ55" s="23" t="n">
        <x:v>0</x:v>
      </x:c>
      <x:c r="DK55" s="23" t="n">
        <x:v>0</x:v>
      </x:c>
      <x:c r="DL55" s="23" t="n">
        <x:v>720.7095540364583</x:v>
      </x:c>
      <x:c r="DM55" s="23" t="n">
        <x:v>692.0366342693093</x:v>
      </x:c>
      <x:c r="DN55" s="23" t="n">
        <x:v>0</x:v>
      </x:c>
      <x:c r="DO55" s="23" t="n">
        <x:v>0</x:v>
      </x:c>
      <x:c r="DP55" s="23" t="n">
        <x:v>0</x:v>
      </x:c>
      <x:c r="DQ55" s="23" t="n">
        <x:v>724.8939615885416</x:v>
      </x:c>
      <x:c r="DR55" s="23" t="n">
        <x:v>725.1502278645833</x:v>
      </x:c>
      <x:c r="DS55" s="23" t="n">
        <x:v>0</x:v>
      </x:c>
      <x:c r="DT55" s="23" t="n">
        <x:v>0</x:v>
      </x:c>
      <x:c r="DU55" s="23" t="n">
        <x:v>0</x:v>
      </x:c>
      <x:c r="DV55" s="23" t="n">
        <x:v>726.5543619791666</x:v>
      </x:c>
      <x:c r="DW55" s="23" t="n">
        <x:v>721.183349609375</x:v>
      </x:c>
      <x:c r="DX55" s="23" t="n">
        <x:v>723.906982421875</x:v>
      </x:c>
      <x:c r="DY55" s="23" t="n">
        <x:v>727.5955134387862</x:v>
      </x:c>
      <x:c r="DZ55" s="23" t="n">
        <x:v>730.253173828125</x:v>
      </x:c>
      <x:c r="EA55" s="23" t="n">
        <x:v>739.1854986848957</x:v>
      </x:c>
      <x:c r="EB55" s="23" t="n">
        <x:v>679.7493082682291</x:v>
      </x:c>
      <x:c r="EC55" s="23" t="n">
        <x:v>1388.2663167317708</x:v>
      </x:c>
      <x:c r="ED55" s="23" t="n">
        <x:v>1375.2174479166665</x:v>
      </x:c>
      <x:c r="EE55" s="23" t="n">
        <x:v>1382.9215901692708</x:v>
      </x:c>
      <x:c r="EF55" s="23" t="n">
        <x:v>861.0955383712705</x:v>
      </x:c>
      <x:c r="EG55" s="23" t="n">
        <x:v>559.8899332682291</x:v>
      </x:c>
      <x:c r="EH55" s="23" t="n">
        <x:v>567.3798421223958</x:v>
      </x:c>
      <x:c r="EI55" s="23" t="n">
        <x:v>555.882568359375</x:v>
      </x:c>
      <x:c r="EJ55" s="23" t="n">
        <x:v>1392.6477864583333</x:v>
      </x:c>
      <x:c r="EK55" s="23" t="n">
        <x:v>567.9843343098958</x:v>
      </x:c>
      <x:c r="EL55" s="23" t="n">
        <x:v>567.4829915364583</x:v>
      </x:c>
      <x:c r="EM55" s="23" t="n">
        <x:v>1374.6776529947915</x:v>
      </x:c>
      <x:c r="EN55" s="23" t="n">
        <x:v>1380.109171549479</x:v>
      </x:c>
      <x:c r="EO55" s="23" t="n">
        <x:v>561.90478515625</x:v>
      </x:c>
      <x:c r="EP55" s="23" t="n">
        <x:f>SUM(B55:EO55)</x:f>
        <x:v>62233.81918261793</x:v>
      </x:c>
      <x:c r="EQ55" s="23" t="n">
        <x:f>SUMPRODUCT(B55:EO55,{0.4297,0.4165,0.3863,0.3791,0.4188,0.4585,0.4285,0.4246,0.4485,0.4127,0.4115,0.4483,0.4302,0.4282,0.4534,0.4401,0.4189,0.4147,0.4183,0.4119,0.4115,0.4467,0.4583,0.442,0.452,0.4647,0.4609,0.4473,0.4376,0.4285,0.4126,0.4318,0.4408,0.3935,0.6175,0.9876,1.0149,0.9354,0.9079,0.8536,0.7984,0.7689,0.7664,0.8013,0.8115,0.7505,0.9145,1.2054,1.2086,1.1552,1.177,1.1687,1.1388,1.1032,1.0553,0.9955,0.9482,0.9412,0.9325,0.904,0.8741,0.841,0.8314,0.8449,0.6529,0.3799,0.3957,0.4265,0.3794,0.4288,0.4435,0.403,0.4297,0.4552,0.4199,0.3654,0.4929,0.7493,0.8663,0.8865,0.8887,0.8974,0.902,0.9078,0.9302,0.9316,0.9302,0.9568,0.8279,0.6377,0.6813,0.7401,0.7193,0.7391,0.7589,0.7835,0.8624,0.8765,0.8459,0.9139,0.9936,1.0174,1.0067,1.0194,1.0481,1.054,1.1554,1.2895,1.2646,1.2494,1.2914,1.2736,1.2737,1.3045,1.2906,1.2664,1.2677,1.2936,1.3062,1.3006,1.3009,1.2795,1.2623,1.2877,1.1883,0.9987,0.9388,0.9529,0.9762,0.9638,0.7149,0.3915,0.3954,0.4893,0.4736,0.3831,0.3759,0.4399,0.4214,0.3903,0.3942,0.4031,0.4008,0.3967})</x:f>
        <x:v>37558.92627915806</x:v>
      </x:c>
    </x:row>
    <x:row r="56" ht="14" customHeight="1">
      <x:c r="A56" s="3">
        <x:v>45743</x:v>
      </x:c>
      <x:c r="B56" s="23" t="n">
        <x:v>565.9698893229166</x:v>
      </x:c>
      <x:c r="C56" s="23" t="n">
        <x:v>563.0599772135416</x:v>
      </x:c>
      <x:c r="D56" s="23" t="n">
        <x:v>581.2804768880208</x:v>
      </x:c>
      <x:c r="E56" s="23" t="n">
        <x:v>570.7798665364583</x:v>
      </x:c>
      <x:c r="F56" s="23" t="n">
        <x:v>564.460205078125</x:v>
      </x:c>
      <x:c r="G56" s="23" t="n">
        <x:v>569.9138590494791</x:v>
      </x:c>
      <x:c r="H56" s="23" t="n">
        <x:v>580.1963704427083</x:v>
      </x:c>
      <x:c r="I56" s="23" t="n">
        <x:v>579.5515543619791</x:v>
      </x:c>
      <x:c r="J56" s="23" t="n">
        <x:v>566.6415608723958</x:v>
      </x:c>
      <x:c r="K56" s="23" t="n">
        <x:v>990.766069262441</x:v>
      </x:c>
      <x:c r="L56" s="23" t="n">
        <x:v>587.9580078125</x:v>
      </x:c>
      <x:c r="M56" s="23" t="n">
        <x:v>591.5063069661458</x:v>
      </x:c>
      <x:c r="N56" s="23" t="n">
        <x:v>1407.4945475260415</x:v>
      </x:c>
      <x:c r="O56" s="23" t="n">
        <x:v>565.4662272135416</x:v>
      </x:c>
      <x:c r="P56" s="23" t="n">
        <x:v>580.0400797526041</x:v>
      </x:c>
      <x:c r="Q56" s="23" t="n">
        <x:v>580.73095703125</x:v>
      </x:c>
      <x:c r="R56" s="23" t="n">
        <x:v>1416.7950032552083</x:v>
      </x:c>
      <x:c r="S56" s="23" t="n">
        <x:v>1430.86767578125</x:v>
      </x:c>
      <x:c r="T56" s="23" t="n">
        <x:v>593.7268473307291</x:v>
      </x:c>
      <x:c r="U56" s="23" t="n">
        <x:v>583.3946533203125</x:v>
      </x:c>
      <x:c r="V56" s="23" t="n">
        <x:v>595.7862548828125</x:v>
      </x:c>
      <x:c r="W56" s="23" t="n">
        <x:v>599.7913004557291</x:v>
      </x:c>
      <x:c r="X56" s="23" t="n">
        <x:v>595.907470703125</x:v>
      </x:c>
      <x:c r="Y56" s="23" t="n">
        <x:v>585.8721516927083</x:v>
      </x:c>
      <x:c r="Z56" s="23" t="n">
        <x:v>591.7952473958333</x:v>
      </x:c>
      <x:c r="AA56" s="23" t="n">
        <x:v>591.4303385416666</x:v>
      </x:c>
      <x:c r="AB56" s="23" t="n">
        <x:v>588.451904296875</x:v>
      </x:c>
      <x:c r="AC56" s="23" t="n">
        <x:v>595.9139811197916</x:v>
      </x:c>
      <x:c r="AD56" s="23" t="n">
        <x:v>606.4125162760416</x:v>
      </x:c>
      <x:c r="AE56" s="23" t="n">
        <x:v>1440.249308268229</x:v>
      </x:c>
      <x:c r="AF56" s="23" t="n">
        <x:v>1438.347452799479</x:v>
      </x:c>
      <x:c r="AG56" s="23" t="n">
        <x:v>612.9680582682291</x:v>
      </x:c>
      <x:c r="AH56" s="23" t="n">
        <x:v>605.2117919921875</x:v>
      </x:c>
      <x:c r="AI56" s="23" t="n">
        <x:v>1414.9246981963838</x:v>
      </x:c>
      <x:c r="AJ56" s="23" t="n">
        <x:v>668.1146647135416</x:v>
      </x:c>
      <x:c r="AK56" s="23" t="n">
        <x:v>12.86464881365858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427.86238978450933</x:v>
      </x:c>
      <x:c r="AS56" s="23" t="n">
        <x:v>0</x:v>
      </x:c>
      <x:c r="AT56" s="23" t="n">
        <x:v>0</x:v>
      </x:c>
      <x:c r="AU56" s="23" t="n">
        <x:v>237.57866370265884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615.8576228695208</x:v>
      </x:c>
      <x:c r="BP56" s="23" t="n">
        <x:v>61.4705777963087</x:v>
      </x:c>
      <x:c r="BQ56" s="23" t="n">
        <x:v>0</x:v>
      </x:c>
      <x:c r="BR56" s="23" t="n">
        <x:v>0</x:v>
      </x:c>
      <x:c r="BS56" s="23" t="n">
        <x:v>553.1039646064029</x:v>
      </x:c>
      <x:c r="BT56" s="23" t="n">
        <x:v>512.0639737580346</x:v>
      </x:c>
      <x:c r="BU56" s="23" t="n">
        <x:v>480.9242460420185</x:v>
      </x:c>
      <x:c r="BV56" s="23" t="n">
        <x:v>472.7051911385406</x:v>
      </x:c>
      <x:c r="BW56" s="23" t="n">
        <x:v>451.48598082072704</x:v>
      </x:c>
      <x:c r="BX56" s="23" t="n">
        <x:v>470.8315620880083</x:v>
      </x:c>
      <x:c r="BY56" s="23" t="n">
        <x:v>519.8643719174648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119.98127325778569</x:v>
      </x:c>
      <x:c r="CN56" s="23" t="n">
        <x:v>245.17208190379375</x:v>
      </x:c>
      <x:c r="CO56" s="23" t="n">
        <x:v>203.47471436696878</x:v>
      </x:c>
      <x:c r="CP56" s="23" t="n">
        <x:v>257.5978500746538</x:v>
      </x:c>
      <x:c r="CQ56" s="23" t="n">
        <x:v>305.2348930315214</x:v>
      </x:c>
      <x:c r="CR56" s="23" t="n">
        <x:v>350.04972185438567</x:v>
      </x:c>
      <x:c r="CS56" s="23" t="n">
        <x:v>383.76005955885046</x:v>
      </x:c>
      <x:c r="CT56" s="23" t="n">
        <x:v>451.6316460650646</x:v>
      </x:c>
      <x:c r="CU56" s="23" t="n">
        <x:v>523.1511613849054</x:v>
      </x:c>
      <x:c r="CV56" s="23" t="n">
        <x:v>571.8819344462688</x:v>
      </x:c>
      <x:c r="CW56" s="23" t="n">
        <x:v>617.5576988289968</x:v>
      </x:c>
      <x:c r="CX56" s="23" t="n">
        <x:v>672.9936445184218</x:v>
      </x:c>
      <x:c r="CY56" s="23" t="n">
        <x:v>736.2411811346601</x:v>
      </x:c>
      <x:c r="CZ56" s="23" t="n">
        <x:v>791.1071028279907</x:v>
      </x:c>
      <x:c r="DA56" s="23" t="n">
        <x:v>844.7674263289969</x:v>
      </x:c>
      <x:c r="DB56" s="23" t="n">
        <x:v>884.647063205455</x:v>
      </x:c>
      <x:c r="DC56" s="23" t="n">
        <x:v>958.7105355823446</x:v>
      </x:c>
      <x:c r="DD56" s="23" t="n">
        <x:v>874.6373342626744</x:v>
      </x:c>
      <x:c r="DE56" s="23" t="n">
        <x:v>685.146243556407</x:v>
      </x:c>
      <x:c r="DF56" s="23" t="n">
        <x:v>0</x:v>
      </x:c>
      <x:c r="DG56" s="23" t="n">
        <x:v>16.066682151600766</x:v>
      </x:c>
      <x:c r="DH56" s="23" t="n">
        <x:v>716.26904296875</x:v>
      </x:c>
      <x:c r="DI56" s="23" t="n">
        <x:v>0</x:v>
      </x:c>
      <x:c r="DJ56" s="23" t="n">
        <x:v>0</x:v>
      </x:c>
      <x:c r="DK56" s="23" t="n">
        <x:v>0</x:v>
      </x:c>
      <x:c r="DL56" s="23" t="n">
        <x:v>0</x:v>
      </x:c>
      <x:c r="DM56" s="23" t="n">
        <x:v>725.420166015625</x:v>
      </x:c>
      <x:c r="DN56" s="23" t="n">
        <x:v>721.9740397135416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715.5515950520833</x:v>
      </x:c>
      <x:c r="DU56" s="23" t="n">
        <x:v>0</x:v>
      </x:c>
      <x:c r="DV56" s="23" t="n">
        <x:v>722.97412109375</x:v>
      </x:c>
      <x:c r="DW56" s="23" t="n">
        <x:v>720.628662109375</x:v>
      </x:c>
      <x:c r="DX56" s="23" t="n">
        <x:v>725.8265621383102</x:v>
      </x:c>
      <x:c r="DY56" s="23" t="n">
        <x:v>720.7062174479166</x:v>
      </x:c>
      <x:c r="DZ56" s="23" t="n">
        <x:v>733.2074381510416</x:v>
      </x:c>
      <x:c r="EA56" s="23" t="n">
        <x:v>742.2396647135416</x:v>
      </x:c>
      <x:c r="EB56" s="23" t="n">
        <x:v>650.4412192708332</x:v>
      </x:c>
      <x:c r="EC56" s="23" t="n">
        <x:v>545.1560872395833</x:v>
      </x:c>
      <x:c r="ED56" s="23" t="n">
        <x:v>1375.6503092447915</x:v>
      </x:c>
      <x:c r="EE56" s="23" t="n">
        <x:v>870.8011869655029</x:v>
      </x:c>
      <x:c r="EF56" s="23" t="n">
        <x:v>1381.218790690104</x:v>
      </x:c>
      <x:c r="EG56" s="23" t="n">
        <x:v>1376.64013671875</x:v>
      </x:c>
      <x:c r="EH56" s="23" t="n">
        <x:v>543.5316975911458</x:v>
      </x:c>
      <x:c r="EI56" s="23" t="n">
        <x:v>549.025390625</x:v>
      </x:c>
      <x:c r="EJ56" s="23" t="n">
        <x:v>557.3363037109375</x:v>
      </x:c>
      <x:c r="EK56" s="23" t="n">
        <x:v>556.0118408203125</x:v>
      </x:c>
      <x:c r="EL56" s="23" t="n">
        <x:v>1393.869425455729</x:v>
      </x:c>
      <x:c r="EM56" s="23" t="n">
        <x:v>576.3280436197916</x:v>
      </x:c>
      <x:c r="EN56" s="23" t="n">
        <x:v>1374.6163736979165</x:v>
      </x:c>
      <x:c r="EO56" s="23" t="n">
        <x:v>1251.4669596354165</x:v>
      </x:c>
      <x:c r="EP56" s="23" t="n">
        <x:f>SUM(B56:EO56)</x:f>
        <x:v>61559.091990989626</x:v>
      </x:c>
      <x:c r="EQ56" s="23" t="n">
        <x:f>SUMPRODUCT(B56:EO56,{0.4094,0.4087,0.3774,0.3405,0.3856,0.4627,0.4337,0.4146,0.4403,0.4298,0.4212,0.442,0.4714,0.4666,0.4502,0.4818,0.4915,0.4538,0.4157,0.4016,0.4098,0.4225,0.4345,0.4458,0.4565,0.4611,0.4602,0.4594,0.4524,0.4354,0.4179,0.4349,0.439,0.3908,0.6126,0.9652,0.9577,0.8897,0.9338,0.9528,0.8974,0.8091,0.7768,0.8125,0.8021,0.6654,0.8512,1.2236,1.1818,1.1155,1.1535,1.0414,1.0373,1.146,1.0921,1.0244,1.0234,1.0092,0.9732,0.9475,0.9592,0.9408,0.9277,0.9895,0.8445,0.567,0.5312,0.5454,0.5005,0.4844,0.4564,0.3985,0.3506,0.3489,0.3664,0.3762,0.5832,0.8685,0.8933,0.9475,1.0578,0.9508,0.8401,0.8605,0.9347,0.9657,0.9757,1.03,0.895,0.6607,0.6748,0.7281,0.7166,0.7474,0.7807,0.7938,0.8164,0.8617,0.9058,0.9145,0.94,0.9765,0.9722,1.0023,1.0436,1.0132,1.1002,1.2798,1.3182,1.2754,1.2467,1.2608,1.2513,1.2324,1.2779,1.2917,1.2557,1.2507,1.2636,1.2765,1.2869,1.2743,1.2642,1.2812,1.1538,0.9506,0.9304,0.9608,0.9765,1.0032,0.7795,0.4384,0.4059,0.419,0.3723,0.4216,0.4375,0.4205,0.4951,0.4734,0.3747,0.4065,0.392,0.3125})</x:f>
        <x:v>37154.02155798847</x:v>
      </x:c>
    </x:row>
    <x:row r="57" ht="14" customHeight="1">
      <x:c r="A57" s="3">
        <x:v>45744</x:v>
      </x:c>
      <x:c r="B57" s="23" t="n">
        <x:v>402.94580078125</x:v>
      </x:c>
      <x:c r="C57" s="23" t="n">
        <x:v>407.5209554036458</x:v>
      </x:c>
      <x:c r="D57" s="23" t="n">
        <x:v>408.6307373046875</x:v>
      </x:c>
      <x:c r="E57" s="23" t="n">
        <x:v>407.89249674479163</x:v>
      </x:c>
      <x:c r="F57" s="23" t="n">
        <x:v>407.4242757161458</x:v>
      </x:c>
      <x:c r="G57" s="23" t="n">
        <x:v>410.1666259765625</x:v>
      </x:c>
      <x:c r="H57" s="23" t="n">
        <x:v>409.9197998046875</x:v>
      </x:c>
      <x:c r="I57" s="23" t="n">
        <x:v>1245.4807942708333</x:v>
      </x:c>
      <x:c r="J57" s="23" t="n">
        <x:v>424.168701171875</x:v>
      </x:c>
      <x:c r="K57" s="23" t="n">
        <x:v>427.58154296875</x:v>
      </x:c>
      <x:c r="L57" s="23" t="n">
        <x:v>424.92582194010413</x:v>
      </x:c>
      <x:c r="M57" s="23" t="n">
        <x:v>422.63273111979163</x:v>
      </x:c>
      <x:c r="N57" s="23" t="n">
        <x:v>283.62799926597114</x:v>
      </x:c>
      <x:c r="O57" s="23" t="n">
        <x:v>433.97900390625</x:v>
      </x:c>
      <x:c r="P57" s="23" t="n">
        <x:v>433.33268229166663</x:v>
      </x:c>
      <x:c r="Q57" s="23" t="n">
        <x:v>438.6275227864583</x:v>
      </x:c>
      <x:c r="R57" s="23" t="n">
        <x:v>449.1712239583333</x:v>
      </x:c>
      <x:c r="S57" s="23" t="n">
        <x:v>0</x:v>
      </x:c>
      <x:c r="T57" s="23" t="n">
        <x:v>434.85172526041663</x:v>
      </x:c>
      <x:c r="U57" s="23" t="n">
        <x:v>429.4747314453125</x:v>
      </x:c>
      <x:c r="V57" s="23" t="n">
        <x:v>0</x:v>
      </x:c>
      <x:c r="W57" s="23" t="n">
        <x:v>444.7689208984375</x:v>
      </x:c>
      <x:c r="X57" s="23" t="n">
        <x:v>447.28409830729163</x:v>
      </x:c>
      <x:c r="Y57" s="23" t="n">
        <x:v>451.9782307942708</x:v>
      </x:c>
      <x:c r="Z57" s="23" t="n">
        <x:v>0</x:v>
      </x:c>
      <x:c r="AA57" s="23" t="n">
        <x:v>455.08097330729163</x:v>
      </x:c>
      <x:c r="AB57" s="23" t="n">
        <x:v>461.3951416015625</x:v>
      </x:c>
      <x:c r="AC57" s="23" t="n">
        <x:v>462.9730224609375</x:v>
      </x:c>
      <x:c r="AD57" s="23" t="n">
        <x:v>453.2925618489583</x:v>
      </x:c>
      <x:c r="AE57" s="23" t="n">
        <x:v>455.5478108723958</x:v>
      </x:c>
      <x:c r="AF57" s="23" t="n">
        <x:v>463.40494791666663</x:v>
      </x:c>
      <x:c r="AG57" s="23" t="n">
        <x:v>468.2135009765625</x:v>
      </x:c>
      <x:c r="AH57" s="23" t="n">
        <x:v>471.06547037760413</x:v>
      </x:c>
      <x:c r="AI57" s="23" t="n">
        <x:v>461.6339084523463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49.02241572094105</x:v>
      </x:c>
      <x:c r="CV57" s="23" t="n">
        <x:v>110.14768070239688</x:v>
      </x:c>
      <x:c r="CW57" s="23" t="n">
        <x:v>174.4546805065958</x:v>
      </x:c>
      <x:c r="CX57" s="23" t="n">
        <x:v>190.07285944817886</x:v>
      </x:c>
      <x:c r="CY57" s="23" t="n">
        <x:v>156.2847550990844</x:v>
      </x:c>
      <x:c r="CZ57" s="23" t="n">
        <x:v>211.4863374540119</x:v>
      </x:c>
      <x:c r="DA57" s="23" t="n">
        <x:v>263.62443140962984</x:v>
      </x:c>
      <x:c r="DB57" s="23" t="n">
        <x:v>314.0133887022208</x:v>
      </x:c>
      <x:c r="DC57" s="23" t="n">
        <x:v>359.90152405013856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455.66996256510413</x:v>
      </x:c>
      <x:c r="DX57" s="23" t="n">
        <x:v>454.62381998697913</x:v>
      </x:c>
      <x:c r="DY57" s="23" t="n">
        <x:v>456.3753662109375</x:v>
      </x:c>
      <x:c r="DZ57" s="23" t="n">
        <x:v>460.86405436197913</x:v>
      </x:c>
      <x:c r="EA57" s="23" t="n">
        <x:v>412.6618225988757</x:v>
      </x:c>
      <x:c r="EB57" s="23" t="n">
        <x:v>449.01559161458346</x:v>
      </x:c>
      <x:c r="EC57" s="23" t="n">
        <x:v>1216.3941650390625</x:v>
      </x:c>
      <x:c r="ED57" s="23" t="n">
        <x:v>1218.581339518229</x:v>
      </x:c>
      <x:c r="EE57" s="23" t="n">
        <x:v>1239.1212158203125</x:v>
      </x:c>
      <x:c r="EF57" s="23" t="n">
        <x:v>1228.4215901692708</x:v>
      </x:c>
      <x:c r="EG57" s="23" t="n">
        <x:v>404.96366373697913</x:v>
      </x:c>
      <x:c r="EH57" s="23" t="n">
        <x:v>406.71317545572913</x:v>
      </x:c>
      <x:c r="EI57" s="23" t="n">
        <x:v>1224.8724772135415</x:v>
      </x:c>
      <x:c r="EJ57" s="23" t="n">
        <x:v>1222.926310221354</x:v>
      </x:c>
      <x:c r="EK57" s="23" t="n">
        <x:v>409.0043538411458</x:v>
      </x:c>
      <x:c r="EL57" s="23" t="n">
        <x:v>411.7246907552083</x:v>
      </x:c>
      <x:c r="EM57" s="23" t="n">
        <x:v>716.6129920026362</x:v>
      </x:c>
      <x:c r="EN57" s="23" t="n">
        <x:v>410.6884358723958</x:v>
      </x:c>
      <x:c r="EO57" s="23" t="n">
        <x:v>411.0325927734375</x:v>
      </x:c>
      <x:c r="EP57" s="23" t="n">
        <x:f>SUM(B57:EO57)</x:f>
        <x:v>29238.269452782824</x:v>
      </x:c>
      <x:c r="EQ57" s="23" t="n">
        <x:f>SUMPRODUCT(B57:EO57,{0.3323,0.3264,0.2889,0.3484,0.4012,0.386,0.3456,0.3279,0.3601,0.4253,0.4157,0.3489,0.3434,0.3381,0.3115,0.3124,0.3257,0.3381,0.3528,0.3625,0.3457,0.2975,0.3203,0.3959,0.3955,0.3398,0.3056,0.3475,0.366,0.3459,0.363,0.3657,0.3181,0.2816,0.4924,0.806,0.8143,0.7373,0.719,0.6855,0.6449,0.6326,0.663,0.6533,0.584,0.5481,0.7218,0.947,0.873,0.7799,0.8188,0.8605,0.8274,0.7733,0.8097,0.8225,0.7752,0.7438,0.7134,0.6747,0.6419,0.6062,0.6,0.6317,0.4438,0.167,0.2046,0.2491,0.1775,0.1777,0.2152,0.2188,0.1655,0.1279,0.1269,0.15,0.3406,0.575,0.5607,0.5403,0.5949,0.5752,0.5977,0.6825,0.7082,0.654,0.6308,0.74,0.6469,0.3889,0.3522,0.3955,0.4132,0.4549,0.5001,0.5213,0.5174,0.5418,0.6071,0.669,0.675,0.6433,0.6478,0.6936,0.7131,0.6668,0.8253,1.1153,1.1694,1.1286,1.1124,1.0924,1.0632,1.0708,1.1561,1.1711,1.1196,1.1459,1.1622,1.1292,1.1081,1.1273,1.1753,1.1837,0.9941,0.7468,0.7649,0.8284,0.83,0.8365,0.6238,0.2851,0.1974,0.2961,0.386,0.331,0.2906,0.317,0.3129,0.3038,0.3187,0.3465,0.3378,0.311})</x:f>
        <x:v>11401.517046834273</x:v>
      </x:c>
    </x:row>
    <x:row r="58" ht="14" customHeight="1">
      <x:c r="A58" s="3">
        <x:v>45745</x:v>
      </x:c>
      <x:c r="B58" s="23" t="n">
        <x:v>413.1813557942708</x:v>
      </x:c>
      <x:c r="C58" s="23" t="n">
        <x:v>416.0797119140625</x:v>
      </x:c>
      <x:c r="D58" s="23" t="n">
        <x:v>421.3793538411458</x:v>
      </x:c>
      <x:c r="E58" s="23" t="n">
        <x:v>1255.1650390625</x:v>
      </x:c>
      <x:c r="F58" s="23" t="n">
        <x:v>415.8330891927083</x:v>
      </x:c>
      <x:c r="G58" s="23" t="n">
        <x:v>409.54508463541663</x:v>
      </x:c>
      <x:c r="H58" s="23" t="n">
        <x:v>677.3693907730399</x:v>
      </x:c>
      <x:c r="I58" s="23" t="n">
        <x:v>434.3755696614583</x:v>
      </x:c>
      <x:c r="J58" s="23" t="n">
        <x:v>419.0732014973958</x:v>
      </x:c>
      <x:c r="K58" s="23" t="n">
        <x:v>0</x:v>
      </x:c>
      <x:c r="L58" s="23" t="n">
        <x:v>0</x:v>
      </x:c>
      <x:c r="M58" s="23" t="n">
        <x:v>440.2716878255208</x:v>
      </x:c>
      <x:c r="N58" s="23" t="n">
        <x:v>440.9524739583333</x:v>
      </x:c>
      <x:c r="O58" s="23" t="n">
        <x:v>438.8553466796875</x:v>
      </x:c>
      <x:c r="P58" s="23" t="n">
        <x:v>442.1592610677083</x:v>
      </x:c>
      <x:c r="Q58" s="23" t="n">
        <x:v>455.1120198567708</x:v>
      </x:c>
      <x:c r="R58" s="23" t="n">
        <x:v>440.89457194010413</x:v>
      </x:c>
      <x:c r="S58" s="23" t="n">
        <x:v>444.5410970052083</x:v>
      </x:c>
      <x:c r="T58" s="23" t="n">
        <x:v>448.96012369791663</x:v>
      </x:c>
      <x:c r="U58" s="23" t="n">
        <x:v>452.0099690755208</x:v>
      </x:c>
      <x:c r="V58" s="23" t="n">
        <x:v>441.3503011067708</x:v>
      </x:c>
      <x:c r="W58" s="23" t="n">
        <x:v>434.9132080078125</x:v>
      </x:c>
      <x:c r="X58" s="23" t="n">
        <x:v>443.60904947916663</x:v>
      </x:c>
      <x:c r="Y58" s="23" t="n">
        <x:v>456.9930419921875</x:v>
      </x:c>
      <x:c r="Z58" s="23" t="n">
        <x:v>450.999755859375</x:v>
      </x:c>
      <x:c r="AA58" s="23" t="n">
        <x:v>455.88859049479163</x:v>
      </x:c>
      <x:c r="AB58" s="23" t="n">
        <x:v>454.8919270833333</x:v>
      </x:c>
      <x:c r="AC58" s="23" t="n">
        <x:v>0</x:v>
      </x:c>
      <x:c r="AD58" s="23" t="n">
        <x:v>458.8380940755208</x:v>
      </x:c>
      <x:c r="AE58" s="23" t="n">
        <x:v>456.10184733072913</x:v>
      </x:c>
      <x:c r="AF58" s="23" t="n">
        <x:v>457.7206624348958</x:v>
      </x:c>
      <x:c r="AG58" s="23" t="n">
        <x:v>0</x:v>
      </x:c>
      <x:c r="AH58" s="23" t="n">
        <x:v>473.3290608723958</x:v>
      </x:c>
      <x:c r="AI58" s="23" t="n">
        <x:v>456.22998656576675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11.547049323688345</x:v>
      </x:c>
      <x:c r="CU58" s="23" t="n">
        <x:v>39.18782027841985</x:v>
      </x:c>
      <x:c r="CV58" s="23" t="n">
        <x:v>72.20183990925511</x:v>
      </x:c>
      <x:c r="CW58" s="23" t="n">
        <x:v>149.5032722071193</x:v>
      </x:c>
      <x:c r="CX58" s="23" t="n">
        <x:v>173.43630484408203</x:v>
      </x:c>
      <x:c r="CY58" s="23" t="n">
        <x:v>158.095039365979</x:v>
      </x:c>
      <x:c r="CZ58" s="23" t="n">
        <x:v>207.2398087484865</x:v>
      </x:c>
      <x:c r="DA58" s="23" t="n">
        <x:v>260.72221582072365</x:v>
      </x:c>
      <x:c r="DB58" s="23" t="n">
        <x:v>319.46929437005906</x:v>
      </x:c>
      <x:c r="DC58" s="23" t="n">
        <x:v>360.02292161516834</x:v>
      </x:c>
      <x:c r="DD58" s="23" t="n">
        <x:v>0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460.8189290364583</x:v>
      </x:c>
      <x:c r="DX58" s="23" t="n">
        <x:v>469.5920003255208</x:v>
      </x:c>
      <x:c r="DY58" s="23" t="n">
        <x:v>474.7253011067708</x:v>
      </x:c>
      <x:c r="DZ58" s="23" t="n">
        <x:v>462.9198580847756</x:v>
      </x:c>
      <x:c r="EA58" s="23" t="n">
        <x:v>491.36637369791663</x:v>
      </x:c>
      <x:c r="EB58" s="23" t="n">
        <x:v>445.9975187369792</x:v>
      </x:c>
      <x:c r="EC58" s="23" t="n">
        <x:v>591.3256919648595</x:v>
      </x:c>
      <x:c r="ED58" s="23" t="n">
        <x:v>1212.322265625</x:v>
      </x:c>
      <x:c r="EE58" s="23" t="n">
        <x:v>1229.6829833984375</x:v>
      </x:c>
      <x:c r="EF58" s="23" t="n">
        <x:v>395.8893636067708</x:v>
      </x:c>
      <x:c r="EG58" s="23" t="n">
        <x:v>396.3992919921875</x:v>
      </x:c>
      <x:c r="EH58" s="23" t="n">
        <x:v>407.9333089192708</x:v>
      </x:c>
      <x:c r="EI58" s="23" t="n">
        <x:v>1222.231689453125</x:v>
      </x:c>
      <x:c r="EJ58" s="23" t="n">
        <x:v>1222.2196451822915</x:v>
      </x:c>
      <x:c r="EK58" s="23" t="n">
        <x:v>1230.1498616536458</x:v>
      </x:c>
      <x:c r="EL58" s="23" t="n">
        <x:v>413.465087890625</x:v>
      </x:c>
      <x:c r="EM58" s="23" t="n">
        <x:v>1248.604532877604</x:v>
      </x:c>
      <x:c r="EN58" s="23" t="n">
        <x:v>1281.5251057942708</x:v>
      </x:c>
      <x:c r="EO58" s="23" t="n">
        <x:v>0</x:v>
      </x:c>
      <x:c r="EP58" s="23" t="n">
        <x:f>SUM(B58:EO58)</x:f>
        <x:v>29715.218248611003</x:v>
      </x:c>
      <x:c r="EQ58" s="23" t="n">
        <x:f>SUMPRODUCT(B58:EO58,{0.3311,0.3437,0.3402,0.3615,0.3449,0.318,0.3725,0.3966,0.3689,0.3758,0.3696,0.3404,0.3379,0.3577,0.3775,0.3786,0.3718,0.351,0.3056,0.3045,0.3412,0.34,0.3278,0.3223,0.3212,0.3789,0.4323,0.362,0.3399,0.381,0.3369,0.3235,0.3374,0.2839,0.4368,0.725,0.7728,0.7359,0.7222,0.6819,0.6718,0.6835,0.6499,0.6413,0.6401,0.5795,0.6704,0.8536,0.8419,0.793,0.7761,0.7075,0.6969,0.7547,0.7705,0.7491,0.7101,0.665,0.6547,0.6614,0.6278,0.601,0.6085,0.6019,0.431,0.2124,0.2187,0.1935,0.0913,0.1258,0.1666,0.1502,0.1502,0.1614,0.152,0.1329,0.291,0.5308,0.553,0.5414,0.5919,0.6032,0.54,0.4811,0.5449,0.6302,0.6984,0.7629,0.5889,0.3033,0.3041,0.3861,0.4359,0.5344,0.5587,0.5249,0.5842,0.6582,0.6679,0.6181,0.6095,0.6464,0.6511,0.6896,0.725,0.6751,0.8174,1.1004,1.1665,1.1147,1.069,1.0548,1.0761,1.0964,1.0756,1.0962,1.1536,1.1555,1.1336,1.1277,1.1409,1.1282,1.1263,1.1833,1.0372,0.7698,0.7438,0.7673,0.7644,0.8193,0.6389,0.3185,0.2783,0.3061,0.2882,0.3253,0.3354,0.2925,0.2655,0.2834,0.308,0.288,0.3334,0.4279})</x:f>
        <x:v>11505.145389506959</x:v>
      </x:c>
    </x:row>
    <x:row r="59" ht="14" customHeight="1">
      <x:c r="A59" s="3">
        <x:v>45746</x:v>
      </x:c>
      <x:c r="B59" s="23" t="n">
        <x:v>581.4375813802083</x:v>
      </x:c>
      <x:c r="C59" s="23" t="n">
        <x:v>1390.1454264322915</x:v>
      </x:c>
      <x:c r="D59" s="23" t="n">
        <x:v>557.2886555989583</x:v>
      </x:c>
      <x:c r="E59" s="23" t="n">
        <x:v>1416.0548502604165</x:v>
      </x:c>
      <x:c r="F59" s="23" t="n">
        <x:v>1426.919677734375</x:v>
      </x:c>
      <x:c r="G59" s="23" t="n">
        <x:v>577.5797119140625</x:v>
      </x:c>
      <x:c r="H59" s="23" t="n">
        <x:v>1409.6122639973958</x:v>
      </x:c>
      <x:c r="I59" s="23" t="n">
        <x:v>588.041015625</x:v>
      </x:c>
      <x:c r="J59" s="23" t="n">
        <x:v>590.5456136067708</x:v>
      </x:c>
      <x:c r="K59" s="23" t="n">
        <x:v>586.5443115234375</x:v>
      </x:c>
      <x:c r="L59" s="23" t="n">
        <x:v>570.3289794921875</x:v>
      </x:c>
      <x:c r="M59" s="23" t="n">
        <x:v>574.718017578125</x:v>
      </x:c>
      <x:c r="N59" s="23" t="n">
        <x:v>584.80224609375</x:v>
      </x:c>
      <x:c r="O59" s="23" t="n">
        <x:v>591.9708658854166</x:v>
      </x:c>
      <x:c r="P59" s="23" t="n">
        <x:v>602.9656168619791</x:v>
      </x:c>
      <x:c r="Q59" s="23" t="n">
        <x:v>601.564208984375</x:v>
      </x:c>
      <x:c r="R59" s="23" t="n">
        <x:v>594.9840087890625</x:v>
      </x:c>
      <x:c r="S59" s="23" t="n">
        <x:v>592.8239339192708</x:v>
      </x:c>
      <x:c r="T59" s="23" t="n">
        <x:v>933.3046201350322</x:v>
      </x:c>
      <x:c r="U59" s="23" t="n">
        <x:v>602.9049072265625</x:v>
      </x:c>
      <x:c r="V59" s="23" t="n">
        <x:v>603.4982096354166</x:v>
      </x:c>
      <x:c r="W59" s="23" t="n">
        <x:v>591.6355387369791</x:v>
      </x:c>
      <x:c r="X59" s="23" t="n">
        <x:v>1420.6693522135415</x:v>
      </x:c>
      <x:c r="Y59" s="23" t="n">
        <x:v>591.8672688802083</x:v>
      </x:c>
      <x:c r="Z59" s="23" t="n">
        <x:v>601.1532796223958</x:v>
      </x:c>
      <x:c r="AA59" s="23" t="n">
        <x:v>595.7005615234375</x:v>
      </x:c>
      <x:c r="AB59" s="23" t="n">
        <x:v>600.4773763020833</x:v>
      </x:c>
      <x:c r="AC59" s="23" t="n">
        <x:v>606.8827311197916</x:v>
      </x:c>
      <x:c r="AD59" s="23" t="n">
        <x:v>607.5152994791666</x:v>
      </x:c>
      <x:c r="AE59" s="23" t="n">
        <x:v>590.9621175130208</x:v>
      </x:c>
      <x:c r="AF59" s="23" t="n">
        <x:v>600.9302164713541</x:v>
      </x:c>
      <x:c r="AG59" s="23" t="n">
        <x:v>619.267669269239</x:v>
      </x:c>
      <x:c r="AH59" s="23" t="n">
        <x:v>613.2318115234375</x:v>
      </x:c>
      <x:c r="AI59" s="23" t="n">
        <x:v>1403.578669224707</x:v>
      </x:c>
      <x:c r="AJ59" s="23" t="n">
        <x:v>655.2439822825768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0</x:v>
      </x:c>
      <x:c r="AU59" s="23" t="n">
        <x:v>0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0</x:v>
      </x:c>
      <x:c r="BQ59" s="23" t="n">
        <x:v>0</x:v>
      </x:c>
      <x:c r="BR59" s="23" t="n">
        <x:v>388.1625651253262</x:v>
      </x:c>
      <x:c r="BS59" s="23" t="n">
        <x:v>0</x:v>
      </x:c>
      <x:c r="BT59" s="23" t="n">
        <x:v>427.3411626169221</x:v>
      </x:c>
      <x:c r="BU59" s="23" t="n">
        <x:v>399.5674300929546</x:v>
      </x:c>
      <x:c r="BV59" s="23" t="n">
        <x:v>403.8315271345985</x:v>
      </x:c>
      <x:c r="BW59" s="23" t="n">
        <x:v>0</x:v>
      </x:c>
      <x:c r="BX59" s="23" t="n">
        <x:v>0</x:v>
      </x:c>
      <x:c r="BY59" s="23" t="n">
        <x:v>465.4803290352132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74.16089757467444</x:v>
      </x:c>
      <x:c r="CN59" s="23" t="n">
        <x:v>121.55698650755286</x:v>
      </x:c>
      <x:c r="CO59" s="23" t="n">
        <x:v>159.63925286114937</x:v>
      </x:c>
      <x:c r="CP59" s="23" t="n">
        <x:v>224.4336209927557</x:v>
      </x:c>
      <x:c r="CQ59" s="23" t="n">
        <x:v>281.92220622565446</x:v>
      </x:c>
      <x:c r="CR59" s="23" t="n">
        <x:v>331.46453066410805</x:v>
      </x:c>
      <x:c r="CS59" s="23" t="n">
        <x:v>396.352436850843</x:v>
      </x:c>
      <x:c r="CT59" s="23" t="n">
        <x:v>459.86360018717465</x:v>
      </x:c>
      <x:c r="CU59" s="23" t="n">
        <x:v>518.0230598540825</x:v>
      </x:c>
      <x:c r="CV59" s="23" t="n">
        <x:v>553.4648003725486</x:v>
      </x:c>
      <x:c r="CW59" s="23" t="n">
        <x:v>616.2851270795513</x:v>
      </x:c>
      <x:c r="CX59" s="23" t="n">
        <x:v>666.3098744221336</x:v>
      </x:c>
      <x:c r="CY59" s="23" t="n">
        <x:v>719.9040908978693</x:v>
      </x:c>
      <x:c r="CZ59" s="23" t="n">
        <x:v>764.2096015833142</x:v>
      </x:c>
      <x:c r="DA59" s="23" t="n">
        <x:v>815.1830394581863</x:v>
      </x:c>
      <x:c r="DB59" s="23" t="n">
        <x:v>880.1652520617026</x:v>
      </x:c>
      <x:c r="DC59" s="23" t="n">
        <x:v>937.9136325829136</x:v>
      </x:c>
      <x:c r="DD59" s="23" t="n">
        <x:v>857.7229228069265</x:v>
      </x:c>
      <x:c r="DE59" s="23" t="n">
        <x:v>0</x:v>
      </x:c>
      <x:c r="DF59" s="23" t="n">
        <x:v>611.2171826104632</x:v>
      </x:c>
      <x:c r="DG59" s="23" t="n">
        <x:v>710.8789394363912</x:v>
      </x:c>
      <x:c r="DH59" s="23" t="n">
        <x:v>0</x:v>
      </x:c>
      <x:c r="DI59" s="23" t="n">
        <x:v>0</x:v>
      </x:c>
      <x:c r="DJ59" s="23" t="n">
        <x:v>0</x:v>
      </x:c>
      <x:c r="DK59" s="23" t="n">
        <x:v>0</x:v>
      </x:c>
      <x:c r="DL59" s="23" t="n">
        <x:v>706.8212076822916</x:v>
      </x:c>
      <x:c r="DM59" s="23" t="n">
        <x:v>0</x:v>
      </x:c>
      <x:c r="DN59" s="23" t="n">
        <x:v>0</x:v>
      </x:c>
      <x:c r="DO59" s="23" t="n">
        <x:v>0</x:v>
      </x:c>
      <x:c r="DP59" s="23" t="n">
        <x:v>720.827880859375</x:v>
      </x:c>
      <x:c r="DQ59" s="23" t="n">
        <x:v>722.3033040364583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721.361083984375</x:v>
      </x:c>
      <x:c r="DW59" s="23" t="n">
        <x:v>736.0030110677083</x:v>
      </x:c>
      <x:c r="DX59" s="23" t="n">
        <x:v>722.9937337239583</x:v>
      </x:c>
      <x:c r="DY59" s="23" t="n">
        <x:v>694.5659993489583</x:v>
      </x:c>
      <x:c r="DZ59" s="23" t="n">
        <x:v>727.886843177083</x:v>
      </x:c>
      <x:c r="EA59" s="23" t="n">
        <x:v>745.531982421875</x:v>
      </x:c>
      <x:c r="EB59" s="23" t="n">
        <x:v>664.996170169271</x:v>
      </x:c>
      <x:c r="EC59" s="23" t="n">
        <x:v>889.7146228178046</x:v>
      </x:c>
      <x:c r="ED59" s="23" t="n">
        <x:v>1370.2392578125</x:v>
      </x:c>
      <x:c r="EE59" s="23" t="n">
        <x:v>550.7790120442708</x:v>
      </x:c>
      <x:c r="EF59" s="23" t="n">
        <x:v>549.8327229817708</x:v>
      </x:c>
      <x:c r="EG59" s="23" t="n">
        <x:v>550.8933512369791</x:v>
      </x:c>
      <x:c r="EH59" s="23" t="n">
        <x:v>554.7423502604166</x:v>
      </x:c>
      <x:c r="EI59" s="23" t="n">
        <x:v>552.1611328125</x:v>
      </x:c>
      <x:c r="EJ59" s="23" t="n">
        <x:v>1387.8577473958333</x:v>
      </x:c>
      <x:c r="EK59" s="23" t="n">
        <x:v>1390.3221435546875</x:v>
      </x:c>
      <x:c r="EL59" s="23" t="n">
        <x:v>1387.9784749348958</x:v>
      </x:c>
      <x:c r="EM59" s="23" t="n">
        <x:v>1388.3245442708333</x:v>
      </x:c>
      <x:c r="EN59" s="23" t="n">
        <x:v>1393.5325520833333</x:v>
      </x:c>
      <x:c r="EO59" s="23" t="n">
        <x:v>567.275634765625</x:v>
      </x:c>
      <x:c r="EP59" s="23" t="n">
        <x:f>SUM(B59:EO59)</x:f>
        <x:v>58559.14942931387</x:v>
      </x:c>
      <x:c r="EQ59" s="23" t="n">
        <x:f>SUMPRODUCT(B59:EO59,{0.4365,0.4162,0.4179,0.4313,0.4278,0.3951,0.3557,0.3839,0.4472,0.4408,0.4448,0.4566,0.3958,0.3843,0.4336,0.433,0.4317,0.4537,0.4599,0.4292,0.4026,0.4422,0.4668,0.4641,0.4903,0.4617,0.4001,0.4204,0.4476,0.4382,0.4294,0.456,0.4501,0.3599,0.5744,0.973,1.0096,0.9118,0.8454,0.7579,0.7649,0.8356,0.8111,0.7792,0.7443,0.6595,0.8385,1.1656,1.1791,1.106,1.1021,1.0955,1.098,1.0981,1.0538,0.99,0.9463,0.9458,0.9553,0.9628,0.9759,0.944,0.8951,0.8855,0.7243,0.4906,0.4751,0.4933,0.4583,0.4637,0.4477,0.3995,0.3821,0.3851,0.3783,0.3746,0.5492,0.7977,0.8188,0.7988,0.8473,0.8816,0.8619,0.8583,0.9657,1.0003,0.9779,1.0619,0.9448,0.6782,0.654,0.7166,0.7508,0.8021,0.8329,0.8215,0.7971,0.8338,0.8958,0.8781,0.8778,0.9417,1.0163,1.0547,1.0519,1.0491,1.1126,1.2162,1.2638,1.2727,1.2669,1.2553,1.2724,1.2992,1.2807,1.2566,1.2492,1.2485,1.2833,1.3168,1.2754,1.2372,1.2543,1.2797,1.14,0.9285,0.9207,0.9383,0.9353,0.9943,0.7463,0.3471,0.3628,0.4523,0.4102,0.3732,0.368,0.37,0.3514,0.3501,0.3839,0.4282,0.4365,0.4163})</x:f>
        <x:v>34949.4123390135</x:v>
      </x:c>
    </x:row>
    <x:row r="60" ht="14" customHeight="1">
      <x:c r="A60" s="3">
        <x:v>45747</x:v>
      </x:c>
      <x:c r="B60" s="23" t="n">
        <x:v>576.2250162760416</x:v>
      </x:c>
      <x:c r="C60" s="23" t="n">
        <x:v>572.1272786458333</x:v>
      </x:c>
      <x:c r="D60" s="23" t="n">
        <x:v>553.0308430989583</x:v>
      </x:c>
      <x:c r="E60" s="23" t="n">
        <x:v>1394.1890869140625</x:v>
      </x:c>
      <x:c r="F60" s="23" t="n">
        <x:v>558.3862711588541</x:v>
      </x:c>
      <x:c r="G60" s="23" t="n">
        <x:v>564.6671956380208</x:v>
      </x:c>
      <x:c r="H60" s="23" t="n">
        <x:v>1402.9273681640625</x:v>
      </x:c>
      <x:c r="I60" s="23" t="n">
        <x:v>1401.8151041666665</x:v>
      </x:c>
      <x:c r="J60" s="23" t="n">
        <x:v>568.4175618489583</x:v>
      </x:c>
      <x:c r="K60" s="23" t="n">
        <x:v>578.3051350911458</x:v>
      </x:c>
      <x:c r="L60" s="23" t="n">
        <x:v>587.1058349609375</x:v>
      </x:c>
      <x:c r="M60" s="23" t="n">
        <x:v>591.3003336588541</x:v>
      </x:c>
      <x:c r="N60" s="23" t="n">
        <x:v>589.8365071614583</x:v>
      </x:c>
      <x:c r="O60" s="23" t="n">
        <x:v>590.62939453125</x:v>
      </x:c>
      <x:c r="P60" s="23" t="n">
        <x:v>591.4878336588541</x:v>
      </x:c>
      <x:c r="Q60" s="23" t="n">
        <x:v>1410.3858642578125</x:v>
      </x:c>
      <x:c r="R60" s="23" t="n">
        <x:v>971.423524039673</x:v>
      </x:c>
      <x:c r="S60" s="23" t="n">
        <x:v>587.7216796875</x:v>
      </x:c>
      <x:c r="T60" s="23" t="n">
        <x:v>579.6798909505208</x:v>
      </x:c>
      <x:c r="U60" s="23" t="n">
        <x:v>582.5125325520833</x:v>
      </x:c>
      <x:c r="V60" s="23" t="n">
        <x:v>601.6920979817708</x:v>
      </x:c>
      <x:c r="W60" s="23" t="n">
        <x:v>593.9377034505208</x:v>
      </x:c>
      <x:c r="X60" s="23" t="n">
        <x:v>1421.7753499348958</x:v>
      </x:c>
      <x:c r="Y60" s="23" t="n">
        <x:v>607.6495361328125</x:v>
      </x:c>
      <x:c r="Z60" s="23" t="n">
        <x:v>592.4745686848958</x:v>
      </x:c>
      <x:c r="AA60" s="23" t="n">
        <x:v>582.5570882161458</x:v>
      </x:c>
      <x:c r="AB60" s="23" t="n">
        <x:v>590.9037272135416</x:v>
      </x:c>
      <x:c r="AC60" s="23" t="n">
        <x:v>596.1872965494791</x:v>
      </x:c>
      <x:c r="AD60" s="23" t="n">
        <x:v>600.6322021484375</x:v>
      </x:c>
      <x:c r="AE60" s="23" t="n">
        <x:v>595.9071044921875</x:v>
      </x:c>
      <x:c r="AF60" s="23" t="n">
        <x:v>589.4658203125</x:v>
      </x:c>
      <x:c r="AG60" s="23" t="n">
        <x:v>602.2380039537086</x:v>
      </x:c>
      <x:c r="AH60" s="23" t="n">
        <x:v>616.0025227864583</x:v>
      </x:c>
      <x:c r="AI60" s="23" t="n">
        <x:v>1411.7048848286504</x:v>
      </x:c>
      <x:c r="AJ60" s="23" t="n">
        <x:v>631.8769294844411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0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0</x:v>
      </x:c>
      <x:c r="BQ60" s="23" t="n">
        <x:v>0</x:v>
      </x:c>
      <x:c r="BR60" s="23" t="n">
        <x:v>141.5170200546685</x:v>
      </x:c>
      <x:c r="BS60" s="23" t="n">
        <x:v>0</x:v>
      </x:c>
      <x:c r="BT60" s="23" t="n">
        <x:v>0</x:v>
      </x:c>
      <x:c r="BU60" s="23" t="n">
        <x:v>388.7836670778994</x:v>
      </x:c>
      <x:c r="BV60" s="23" t="n">
        <x:v>384.173278545945</x:v>
      </x:c>
      <x:c r="BW60" s="23" t="n">
        <x:v>388.1215422801227</x:v>
      </x:c>
      <x:c r="BX60" s="23" t="n">
        <x:v>403.5039351471014</x:v>
      </x:c>
      <x:c r="BY60" s="23" t="n">
        <x:v>387.59616457508065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114.80745597265195</x:v>
      </x:c>
      <x:c r="CN60" s="23" t="n">
        <x:v>118.57119830783463</x:v>
      </x:c>
      <x:c r="CO60" s="23" t="n">
        <x:v>169.02311613763806</x:v>
      </x:c>
      <x:c r="CP60" s="23" t="n">
        <x:v>217.3377455390032</x:v>
      </x:c>
      <x:c r="CQ60" s="23" t="n">
        <x:v>271.18087127836634</x:v>
      </x:c>
      <x:c r="CR60" s="23" t="n">
        <x:v>324.97344966019955</x:v>
      </x:c>
      <x:c r="CS60" s="23" t="n">
        <x:v>392.43586747912207</x:v>
      </x:c>
      <x:c r="CT60" s="23" t="n">
        <x:v>443.3387854072401</x:v>
      </x:c>
      <x:c r="CU60" s="23" t="n">
        <x:v>496.3025010750604</x:v>
      </x:c>
      <x:c r="CV60" s="23" t="n">
        <x:v>552.1813520883527</x:v>
      </x:c>
      <x:c r="CW60" s="23" t="n">
        <x:v>603.6916160289685</x:v>
      </x:c>
      <x:c r="CX60" s="23" t="n">
        <x:v>651.0632145836898</x:v>
      </x:c>
      <x:c r="CY60" s="23" t="n">
        <x:v>708.433673683449</x:v>
      </x:c>
      <x:c r="CZ60" s="23" t="n">
        <x:v>762.8450491750989</x:v>
      </x:c>
      <x:c r="DA60" s="23" t="n">
        <x:v>811.5191406035701</x:v>
      </x:c>
      <x:c r="DB60" s="23" t="n">
        <x:v>866.4001549214836</x:v>
      </x:c>
      <x:c r="DC60" s="23" t="n">
        <x:v>946.9294122185476</x:v>
      </x:c>
      <x:c r="DD60" s="23" t="n">
        <x:v>860.1138385874539</x:v>
      </x:c>
      <x:c r="DE60" s="23" t="n">
        <x:v>0</x:v>
      </x:c>
      <x:c r="DF60" s="23" t="n">
        <x:v>0</x:v>
      </x:c>
      <x:c r="DG60" s="23" t="n">
        <x:v>0</x:v>
      </x:c>
      <x:c r="DH60" s="23" t="n">
        <x:v>0</x:v>
      </x:c>
      <x:c r="DI60" s="23" t="n">
        <x:v>0</x:v>
      </x:c>
      <x:c r="DJ60" s="23" t="n">
        <x:v>0</x:v>
      </x:c>
      <x:c r="DK60" s="23" t="n">
        <x:v>713.1910807291666</x:v>
      </x:c>
      <x:c r="DL60" s="23" t="n">
        <x:v>715.8107096354166</x:v>
      </x:c>
      <x:c r="DM60" s="23" t="n">
        <x:v>0</x:v>
      </x:c>
      <x:c r="DN60" s="23" t="n">
        <x:v>0</x:v>
      </x:c>
      <x:c r="DO60" s="23" t="n">
        <x:v>631.1041868435797</x:v>
      </x:c>
      <x:c r="DP60" s="23" t="n">
        <x:v>0</x:v>
      </x:c>
      <x:c r="DQ60" s="23" t="n">
        <x:v>0</x:v>
      </x:c>
      <x:c r="DR60" s="23" t="n">
        <x:v>720.0572916666666</x:v>
      </x:c>
      <x:c r="DS60" s="23" t="n">
        <x:v>713.0997721354166</x:v>
      </x:c>
      <x:c r="DT60" s="23" t="n">
        <x:v>0</x:v>
      </x:c>
      <x:c r="DU60" s="23" t="n">
        <x:v>0</x:v>
      </x:c>
      <x:c r="DV60" s="23" t="n">
        <x:v>724.0503743489583</x:v>
      </x:c>
      <x:c r="DW60" s="23" t="n">
        <x:v>722.229370161394</x:v>
      </x:c>
      <x:c r="DX60" s="23" t="n">
        <x:v>727.7921441534852</x:v>
      </x:c>
      <x:c r="DY60" s="23" t="n">
        <x:v>722.5135091145833</x:v>
      </x:c>
      <x:c r="DZ60" s="23" t="n">
        <x:v>725.4274088541666</x:v>
      </x:c>
      <x:c r="EA60" s="23" t="n">
        <x:v>740.5598958333333</x:v>
      </x:c>
      <x:c r="EB60" s="23" t="n">
        <x:v>670.0081476171873</x:v>
      </x:c>
      <x:c r="EC60" s="23" t="n">
        <x:v>1380.6724853515625</x:v>
      </x:c>
      <x:c r="ED60" s="23" t="n">
        <x:v>1347.96533203125</x:v>
      </x:c>
      <x:c r="EE60" s="23" t="n">
        <x:v>550.578369140625</x:v>
      </x:c>
      <x:c r="EF60" s="23" t="n">
        <x:v>555.4661865234375</x:v>
      </x:c>
      <x:c r="EG60" s="23" t="n">
        <x:v>1384.5382893880208</x:v>
      </x:c>
      <x:c r="EH60" s="23" t="n">
        <x:v>1384.5266927083333</x:v>
      </x:c>
      <x:c r="EI60" s="23" t="n">
        <x:v>547.186279296875</x:v>
      </x:c>
      <x:c r="EJ60" s="23" t="n">
        <x:v>1391.0343424479165</x:v>
      </x:c>
      <x:c r="EK60" s="23" t="n">
        <x:v>1388.7086588541665</x:v>
      </x:c>
      <x:c r="EL60" s="23" t="n">
        <x:v>858.4313928755142</x:v>
      </x:c>
      <x:c r="EM60" s="23" t="n">
        <x:v>573.2941080729166</x:v>
      </x:c>
      <x:c r="EN60" s="23" t="n">
        <x:v>580.2361246744791</x:v>
      </x:c>
      <x:c r="EO60" s="23" t="n">
        <x:v>573.0436604817708</x:v>
      </x:c>
      <x:c r="EP60" s="23" t="n">
        <x:f>SUM(B60:EO60)</x:f>
        <x:v>58333.548956000755</x:v>
      </x:c>
      <x:c r="EQ60" s="23" t="n">
        <x:f>SUMPRODUCT(B60:EO60,{0.4131,0.3948,0.3819,0.4334,0.4737,0.4566,0.4087,0.3883,0.4018,0.4113,0.4318,0.4463,0.4202,0.4283,0.4603,0.4356,0.4389,0.462,0.4137,0.4061,0.4545,0.4543,0.4218,0.4058,0.4282,0.409,0.3647,0.3932,0.4311,0.4357,0.4288,0.4409,0.4499,0.4443,0.6503,0.9552,0.9853,0.9112,0.8859,0.8917,0.866,0.7952,0.7326,0.7575,0.7738,0.6514,0.817,1.1773,1.1837,1.0969,1.0901,1.0674,1.0428,1.0169,0.9652,0.9323,0.9524,1.0056,0.9757,0.8775,0.8465,0.8812,0.9301,0.9152,0.7234,0.4763,0.4393,0.4824,0.4916,0.4731,0.4454,0.445,0.4955,0.5071,0.4451,0.4003,0.6088,0.9343,0.9801,0.9293,0.9237,0.9265,0.951,0.9807,0.9696,0.9318,0.9406,1.0302,0.924,0.7017,0.7243,0.7531,0.7155,0.7841,0.8376,0.829,0.8397,0.8627,0.895,0.9477,0.9795,0.9687,0.9455,1.0059,1.0824,1.023,1.0442,1.1904,1.2773,1.2752,1.2433,1.2566,1.2674,1.2535,1.2441,1.2456,1.2552,1.2661,1.2673,1.2666,1.278,1.2681,1.2745,1.3379,1.1939,0.9239,0.8945,0.9341,0.9675,1.045,0.8032,0.3862,0.3473,0.4326,0.4376,0.4148,0.4121,0.4146,0.3803,0.3918,0.446,0.454,0.449,0.4523})</x:f>
        <x:v>35275.08631872004</x:v>
      </x:c>
    </x:row>
    <x:row r="61" ht="14" customHeight="1">
      <x:c r="A61" s="3">
        <x:v>45748</x:v>
      </x:c>
      <x:c r="B61" s="23" t="n">
        <x:v>568.0109456380208</x:v>
      </x:c>
      <x:c r="C61" s="23" t="n">
        <x:v>1403.4170735677083</x:v>
      </x:c>
      <x:c r="D61" s="23" t="n">
        <x:v>570.6686197916666</x:v>
      </x:c>
      <x:c r="E61" s="23" t="n">
        <x:v>1401.183349609375</x:v>
      </x:c>
      <x:c r="F61" s="23" t="n">
        <x:v>569.2264811197916</x:v>
      </x:c>
      <x:c r="G61" s="23" t="n">
        <x:v>574.5899251302083</x:v>
      </x:c>
      <x:c r="H61" s="23" t="n">
        <x:v>572.127685546875</x:v>
      </x:c>
      <x:c r="I61" s="23" t="n">
        <x:v>1401.206583658854</x:v>
      </x:c>
      <x:c r="J61" s="23" t="n">
        <x:v>1405.670206705729</x:v>
      </x:c>
      <x:c r="K61" s="23" t="n">
        <x:v>590.7171630859375</x:v>
      </x:c>
      <x:c r="L61" s="23" t="n">
        <x:v>592.1429850260416</x:v>
      </x:c>
      <x:c r="M61" s="23" t="n">
        <x:v>585.0548095703125</x:v>
      </x:c>
      <x:c r="N61" s="23" t="n">
        <x:v>591.9221598307291</x:v>
      </x:c>
      <x:c r="O61" s="23" t="n">
        <x:v>598.1949869791666</x:v>
      </x:c>
      <x:c r="P61" s="23" t="n">
        <x:v>577.4643147786458</x:v>
      </x:c>
      <x:c r="Q61" s="23" t="n">
        <x:v>587.7237141927083</x:v>
      </x:c>
      <x:c r="R61" s="23" t="n">
        <x:v>588.1948649088541</x:v>
      </x:c>
      <x:c r="S61" s="23" t="n">
        <x:v>592.9530843098958</x:v>
      </x:c>
      <x:c r="T61" s="23" t="n">
        <x:v>591.0347900390625</x:v>
      </x:c>
      <x:c r="U61" s="23" t="n">
        <x:v>592.1291097005208</x:v>
      </x:c>
      <x:c r="V61" s="23" t="n">
        <x:v>583.84619140625</x:v>
      </x:c>
      <x:c r="W61" s="23" t="n">
        <x:v>592.6812337239583</x:v>
      </x:c>
      <x:c r="X61" s="23" t="n">
        <x:v>866.5235826192762</x:v>
      </x:c>
      <x:c r="Y61" s="23" t="n">
        <x:v>591.2647705078125</x:v>
      </x:c>
      <x:c r="Z61" s="23" t="n">
        <x:v>602.8225911458333</x:v>
      </x:c>
      <x:c r="AA61" s="23" t="n">
        <x:v>597.9355875651041</x:v>
      </x:c>
      <x:c r="AB61" s="23" t="n">
        <x:v>588.4246419270833</x:v>
      </x:c>
      <x:c r="AC61" s="23" t="n">
        <x:v>593.3094889322916</x:v>
      </x:c>
      <x:c r="AD61" s="23" t="n">
        <x:v>601.51611328125</x:v>
      </x:c>
      <x:c r="AE61" s="23" t="n">
        <x:v>590.4952799479166</x:v>
      </x:c>
      <x:c r="AF61" s="23" t="n">
        <x:v>1427.6976318359375</x:v>
      </x:c>
      <x:c r="AG61" s="23" t="n">
        <x:v>595.9806413168917</x:v>
      </x:c>
      <x:c r="AH61" s="23" t="n">
        <x:v>607.3182779947916</x:v>
      </x:c>
      <x:c r="AI61" s="23" t="n">
        <x:v>1410.1250650344423</x:v>
      </x:c>
      <x:c r="AJ61" s="23" t="n">
        <x:v>617.8221320837074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0</x:v>
      </x:c>
      <x:c r="AU61" s="23" t="n">
        <x:v>0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531.8182417151938</x:v>
      </x:c>
      <x:c r="BQ61" s="23" t="n">
        <x:v>0</x:v>
      </x:c>
      <x:c r="BR61" s="23" t="n">
        <x:v>0</x:v>
      </x:c>
      <x:c r="BS61" s="23" t="n">
        <x:v>0</x:v>
      </x:c>
      <x:c r="BT61" s="23" t="n">
        <x:v>471.4947027356996</x:v>
      </x:c>
      <x:c r="BU61" s="23" t="n">
        <x:v>400.74769240012694</x:v>
      </x:c>
      <x:c r="BV61" s="23" t="n">
        <x:v>401.6418383076667</x:v>
      </x:c>
      <x:c r="BW61" s="23" t="n">
        <x:v>162.49451596532617</x:v>
      </x:c>
      <x:c r="BX61" s="23" t="n">
        <x:v>395.2745683862216</x:v>
      </x:c>
      <x:c r="BY61" s="23" t="n">
        <x:v>398.0238038226489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45.65912039772775</x:v>
      </x:c>
      <x:c r="CM61" s="23" t="n">
        <x:v>88.73483846752205</x:v>
      </x:c>
      <x:c r="CN61" s="23" t="n">
        <x:v>130.96061141807482</x:v>
      </x:c>
      <x:c r="CO61" s="23" t="n">
        <x:v>180.34342691243094</x:v>
      </x:c>
      <x:c r="CP61" s="23" t="n">
        <x:v>230.0272741703681</x:v>
      </x:c>
      <x:c r="CQ61" s="23" t="n">
        <x:v>279.8376692477133</x:v>
      </x:c>
      <x:c r="CR61" s="23" t="n">
        <x:v>331.6116113888527</x:v>
      </x:c>
      <x:c r="CS61" s="23" t="n">
        <x:v>380.88973474483305</x:v>
      </x:c>
      <x:c r="CT61" s="23" t="n">
        <x:v>442.8341167481024</x:v>
      </x:c>
      <x:c r="CU61" s="23" t="n">
        <x:v>502.67603800294603</x:v>
      </x:c>
      <x:c r="CV61" s="23" t="n">
        <x:v>547.6555321526046</x:v>
      </x:c>
      <x:c r="CW61" s="23" t="n">
        <x:v>607.8720359138166</x:v>
      </x:c>
      <x:c r="CX61" s="23" t="n">
        <x:v>668.3689313758825</x:v>
      </x:c>
      <x:c r="CY61" s="23" t="n">
        <x:v>711.2942024447211</x:v>
      </x:c>
      <x:c r="CZ61" s="23" t="n">
        <x:v>765.2941004678834</x:v>
      </x:c>
      <x:c r="DA61" s="23" t="n">
        <x:v>812.7479454739191</x:v>
      </x:c>
      <x:c r="DB61" s="23" t="n">
        <x:v>864.4554999880463</x:v>
      </x:c>
      <x:c r="DC61" s="23" t="n">
        <x:v>937.5028161290294</x:v>
      </x:c>
      <x:c r="DD61" s="23" t="n">
        <x:v>855.312976623241</x:v>
      </x:c>
      <x:c r="DE61" s="23" t="n">
        <x:v>0</x:v>
      </x:c>
      <x:c r="DF61" s="23" t="n">
        <x:v>660.3176282134281</x:v>
      </x:c>
      <x:c r="DG61" s="23" t="n">
        <x:v>707.7117633909539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725.9951985677083</x:v>
      </x:c>
      <x:c r="DR61" s="23" t="n">
        <x:v>0</x:v>
      </x:c>
      <x:c r="DS61" s="23" t="n">
        <x:v>723.6689453125</x:v>
      </x:c>
      <x:c r="DT61" s="23" t="n">
        <x:v>662.709999453807</x:v>
      </x:c>
      <x:c r="DU61" s="23" t="n">
        <x:v>0</x:v>
      </x:c>
      <x:c r="DV61" s="23" t="n">
        <x:v>718.7377115885416</x:v>
      </x:c>
      <x:c r="DW61" s="23" t="n">
        <x:v>724.4659016927083</x:v>
      </x:c>
      <x:c r="DX61" s="23" t="n">
        <x:v>730.2896760464891</x:v>
      </x:c>
      <x:c r="DY61" s="23" t="n">
        <x:v>726.6378580729166</x:v>
      </x:c>
      <x:c r="DZ61" s="23" t="n">
        <x:v>729.2639973958333</x:v>
      </x:c>
      <x:c r="EA61" s="23" t="n">
        <x:v>732.9827473958333</x:v>
      </x:c>
      <x:c r="EB61" s="23" t="n">
        <x:v>653.0277218489581</x:v>
      </x:c>
      <x:c r="EC61" s="23" t="n">
        <x:v>552.3734537760416</x:v>
      </x:c>
      <x:c r="ED61" s="23" t="n">
        <x:v>1384.9883626302083</x:v>
      </x:c>
      <x:c r="EE61" s="23" t="n">
        <x:v>559.5025634765625</x:v>
      </x:c>
      <x:c r="EF61" s="23" t="n">
        <x:v>1385.6353352864583</x:v>
      </x:c>
      <x:c r="EG61" s="23" t="n">
        <x:v>557.421142578125</x:v>
      </x:c>
      <x:c r="EH61" s="23" t="n">
        <x:v>556.9093017578125</x:v>
      </x:c>
      <x:c r="EI61" s="23" t="n">
        <x:v>556.767822265625</x:v>
      </x:c>
      <x:c r="EJ61" s="23" t="n">
        <x:v>1391.8745930989583</x:v>
      </x:c>
      <x:c r="EK61" s="23" t="n">
        <x:v>1397.344523111979</x:v>
      </x:c>
      <x:c r="EL61" s="23" t="n">
        <x:v>557.0958658854166</x:v>
      </x:c>
      <x:c r="EM61" s="23" t="n">
        <x:v>1400.1639811197915</x:v>
      </x:c>
      <x:c r="EN61" s="23" t="n">
        <x:v>1396.639404296875</x:v>
      </x:c>
      <x:c r="EO61" s="23" t="n">
        <x:v>875.7426322900593</x:v>
      </x:c>
      <x:c r="EP61" s="23" t="n">
        <x:f>SUM(B61:EO61)</x:f>
        <x:v>59035.23805846684</x:v>
      </x:c>
      <x:c r="EQ61" s="23" t="n">
        <x:f>SUMPRODUCT(B61:EO61,{0.4439,0.4153,0.4035,0.4523,0.4696,0.4291,0.4003,0.4274,0.4726,0.4514,0.3919,0.3649,0.4146,0.4287,0.4028,0.4386,0.4756,0.4685,0.4403,0.452,0.4943,0.4993,0.4807,0.4467,0.3989,0.4137,0.4692,0.4652,0.4543,0.466,0.4729,0.4676,0.4479,0.4491,0.6447,0.9317,0.9918,0.8902,0.8116,0.8787,0.8952,0.8035,0.7378,0.7246,0.6968,0.6166,0.7962,1.1296,1.169,1.1136,1.0846,1.0036,0.9718,1.0086,1.0261,1.0237,1.0097,0.9886,1.0051,1.0214,0.9509,0.8784,0.8792,0.9242,0.795,0.5852,0.6119,0.663,0.6159,0.5589,0.5199,0.5046,0.5155,0.5551,0.5575,0.4819,0.6428,0.9351,0.9258,0.8902,0.9507,0.9472,0.9279,0.9318,0.9368,0.934,0.9691,1.0603,0.9326,0.6764,0.6792,0.7667,0.7943,0.7936,0.801,0.837,0.8954,0.9222,0.897,0.8574,0.8875,0.9675,0.9996,1.0323,1.0654,1.0571,1.1377,1.2758,1.2916,1.2324,1.1951,1.2368,1.2961,1.3084,1.2621,1.2448,1.2804,1.3048,1.2632,1.2103,1.2534,1.2907,1.2981,1.3193,1.1578,0.9073,0.8874,0.9247,0.948,1.0142,0.8016,0.4233,0.3582,0.4259,0.4433,0.4107,0.3867,0.3944,0.4094,0.4145,0.4113,0.4183,0.4537,0.4811})</x:f>
        <x:v>36480.97492205437</x:v>
      </x:c>
    </x:row>
    <x:row r="62" ht="14" customHeight="1">
      <x:c r="A62" s="3">
        <x:v>45749</x:v>
      </x:c>
      <x:c r="B62" s="23" t="n">
        <x:v>568.6617838541666</x:v>
      </x:c>
      <x:c r="C62" s="23" t="n">
        <x:v>1400.4646809895833</x:v>
      </x:c>
      <x:c r="D62" s="23" t="n">
        <x:v>1383.6473388671875</x:v>
      </x:c>
      <x:c r="E62" s="23" t="n">
        <x:v>1399.1737060546875</x:v>
      </x:c>
      <x:c r="F62" s="23" t="n">
        <x:v>570.2778727213541</x:v>
      </x:c>
      <x:c r="G62" s="23" t="n">
        <x:v>573.505859375</x:v>
      </x:c>
      <x:c r="H62" s="23" t="n">
        <x:v>1404.7897542317708</x:v>
      </x:c>
      <x:c r="I62" s="23" t="n">
        <x:v>574.8336181640625</x:v>
      </x:c>
      <x:c r="J62" s="23" t="n">
        <x:v>582.1636962890625</x:v>
      </x:c>
      <x:c r="K62" s="23" t="n">
        <x:v>587.1399332682291</x:v>
      </x:c>
      <x:c r="L62" s="23" t="n">
        <x:v>593.2725830078125</x:v>
      </x:c>
      <x:c r="M62" s="23" t="n">
        <x:v>595.006103515625</x:v>
      </x:c>
      <x:c r="N62" s="23" t="n">
        <x:v>595.7402750651041</x:v>
      </x:c>
      <x:c r="O62" s="23" t="n">
        <x:v>592.5059000651041</x:v>
      </x:c>
      <x:c r="P62" s="23" t="n">
        <x:v>587.9798583984375</x:v>
      </x:c>
      <x:c r="Q62" s="23" t="n">
        <x:v>590.6090494791666</x:v>
      </x:c>
      <x:c r="R62" s="23" t="n">
        <x:v>1428.0304768880208</x:v>
      </x:c>
      <x:c r="S62" s="23" t="n">
        <x:v>598.6942138671875</x:v>
      </x:c>
      <x:c r="T62" s="23" t="n">
        <x:v>897.9086365981857</x:v>
      </x:c>
      <x:c r="U62" s="23" t="n">
        <x:v>600.2522379557291</x:v>
      </x:c>
      <x:c r="V62" s="23" t="n">
        <x:v>598.2444254557291</x:v>
      </x:c>
      <x:c r="W62" s="23" t="n">
        <x:v>598.8080240885416</x:v>
      </x:c>
      <x:c r="X62" s="23" t="n">
        <x:v>595.2662760416666</x:v>
      </x:c>
      <x:c r="Y62" s="23" t="n">
        <x:v>588.8736165364583</x:v>
      </x:c>
      <x:c r="Z62" s="23" t="n">
        <x:v>596.8368326822916</x:v>
      </x:c>
      <x:c r="AA62" s="23" t="n">
        <x:v>601.2571614583333</x:v>
      </x:c>
      <x:c r="AB62" s="23" t="n">
        <x:v>600.0891520182291</x:v>
      </x:c>
      <x:c r="AC62" s="23" t="n">
        <x:v>602.760498046875</x:v>
      </x:c>
      <x:c r="AD62" s="23" t="n">
        <x:v>602.7428792317708</x:v>
      </x:c>
      <x:c r="AE62" s="23" t="n">
        <x:v>599.1830240885416</x:v>
      </x:c>
      <x:c r="AF62" s="23" t="n">
        <x:v>592.0313313802083</x:v>
      </x:c>
      <x:c r="AG62" s="23" t="n">
        <x:v>588.3673297798528</x:v>
      </x:c>
      <x:c r="AH62" s="23" t="n">
        <x:v>599.02099609375</x:v>
      </x:c>
      <x:c r="AI62" s="23" t="n">
        <x:v>1420.7208610952948</x:v>
      </x:c>
      <x:c r="AJ62" s="23" t="n">
        <x:v>317.3683743323693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544.6159237478171</x:v>
      </x:c>
      <x:c r="BP62" s="23" t="n">
        <x:v>551.6461700029176</x:v>
      </x:c>
      <x:c r="BQ62" s="23" t="n">
        <x:v>0</x:v>
      </x:c>
      <x:c r="BR62" s="23" t="n">
        <x:v>525.7214728651818</x:v>
      </x:c>
      <x:c r="BS62" s="23" t="n">
        <x:v>0</x:v>
      </x:c>
      <x:c r="BT62" s="23" t="n">
        <x:v>0</x:v>
      </x:c>
      <x:c r="BU62" s="23" t="n">
        <x:v>448.5514274298645</x:v>
      </x:c>
      <x:c r="BV62" s="23" t="n">
        <x:v>455.4923818980181</x:v>
      </x:c>
      <x:c r="BW62" s="23" t="n">
        <x:v>0</x:v>
      </x:c>
      <x:c r="BX62" s="23" t="n">
        <x:v>471.8787449032664</x:v>
      </x:c>
      <x:c r="BY62" s="23" t="n">
        <x:v>468.93773069182134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97.99161155712348</x:v>
      </x:c>
      <x:c r="CN62" s="23" t="n">
        <x:v>240.52523744111897</x:v>
      </x:c>
      <x:c r="CO62" s="23" t="n">
        <x:v>176.36029371186805</x:v>
      </x:c>
      <x:c r="CP62" s="23" t="n">
        <x:v>222.9706189881446</x:v>
      </x:c>
      <x:c r="CQ62" s="23" t="n">
        <x:v>275.73310779269997</x:v>
      </x:c>
      <x:c r="CR62" s="23" t="n">
        <x:v>340.0156297758107</x:v>
      </x:c>
      <x:c r="CS62" s="23" t="n">
        <x:v>390.690928890018</x:v>
      </x:c>
      <x:c r="CT62" s="23" t="n">
        <x:v>430.3117894604737</x:v>
      </x:c>
      <x:c r="CU62" s="23" t="n">
        <x:v>494.1560358269456</x:v>
      </x:c>
      <x:c r="CV62" s="23" t="n">
        <x:v>556.9934672251795</x:v>
      </x:c>
      <x:c r="CW62" s="23" t="n">
        <x:v>604.6038560390706</x:v>
      </x:c>
      <x:c r="CX62" s="23" t="n">
        <x:v>652.8108691994075</x:v>
      </x:c>
      <x:c r="CY62" s="23" t="n">
        <x:v>706.095699360746</x:v>
      </x:c>
      <x:c r="CZ62" s="23" t="n">
        <x:v>761.0141091877437</x:v>
      </x:c>
      <x:c r="DA62" s="23" t="n">
        <x:v>807.3209632381217</x:v>
      </x:c>
      <x:c r="DB62" s="23" t="n">
        <x:v>861.745729103118</x:v>
      </x:c>
      <x:c r="DC62" s="23" t="n">
        <x:v>937.8264600360604</x:v>
      </x:c>
      <x:c r="DD62" s="23" t="n">
        <x:v>863.2457558916587</x:v>
      </x:c>
      <x:c r="DE62" s="23" t="n">
        <x:v>0</x:v>
      </x:c>
      <x:c r="DF62" s="23" t="n">
        <x:v>663.3622241118826</x:v>
      </x:c>
      <x:c r="DG62" s="23" t="n">
        <x:v>708.352684650419</x:v>
      </x:c>
      <x:c r="DH62" s="23" t="n">
        <x:v>0</x:v>
      </x:c>
      <x:c r="DI62" s="23" t="n">
        <x:v>0</x:v>
      </x:c>
      <x:c r="DJ62" s="23" t="n">
        <x:v>0</x:v>
      </x:c>
      <x:c r="DK62" s="23" t="n">
        <x:v>0</x:v>
      </x:c>
      <x:c r="DL62" s="23" t="n">
        <x:v>721.1165364583333</x:v>
      </x:c>
      <x:c r="DM62" s="23" t="n">
        <x:v>720.2526041666666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679.7216580702495</x:v>
      </x:c>
      <x:c r="DT62" s="23" t="n">
        <x:v>0</x:v>
      </x:c>
      <x:c r="DU62" s="23" t="n">
        <x:v>0</x:v>
      </x:c>
      <x:c r="DV62" s="23" t="n">
        <x:v>722.1904296875</x:v>
      </x:c>
      <x:c r="DW62" s="23" t="n">
        <x:v>723.488037109375</x:v>
      </x:c>
      <x:c r="DX62" s="23" t="n">
        <x:v>731.1369807179141</x:v>
      </x:c>
      <x:c r="DY62" s="23" t="n">
        <x:v>726.47021484375</x:v>
      </x:c>
      <x:c r="DZ62" s="23" t="n">
        <x:v>729.9329427083333</x:v>
      </x:c>
      <x:c r="EA62" s="23" t="n">
        <x:v>755.9781087239583</x:v>
      </x:c>
      <x:c r="EB62" s="23" t="n">
        <x:v>677.238763515625</x:v>
      </x:c>
      <x:c r="EC62" s="23" t="n">
        <x:v>548.6459554036458</x:v>
      </x:c>
      <x:c r="ED62" s="23" t="n">
        <x:v>1381.5513916015625</x:v>
      </x:c>
      <x:c r="EE62" s="23" t="n">
        <x:v>561.2488199869791</x:v>
      </x:c>
      <x:c r="EF62" s="23" t="n">
        <x:v>541.0786946614583</x:v>
      </x:c>
      <x:c r="EG62" s="23" t="n">
        <x:v>865.5649345220872</x:v>
      </x:c>
      <x:c r="EH62" s="23" t="n">
        <x:v>1387.848876953125</x:v>
      </x:c>
      <x:c r="EI62" s="23" t="n">
        <x:v>552.9337565104166</x:v>
      </x:c>
      <x:c r="EJ62" s="23" t="n">
        <x:v>1391.5830078125</x:v>
      </x:c>
      <x:c r="EK62" s="23" t="n">
        <x:v>1390.1593831380208</x:v>
      </x:c>
      <x:c r="EL62" s="23" t="n">
        <x:v>1402.9009602864583</x:v>
      </x:c>
      <x:c r="EM62" s="23" t="n">
        <x:v>1397.0509847005208</x:v>
      </x:c>
      <x:c r="EN62" s="23" t="n">
        <x:v>559.5982259114583</x:v>
      </x:c>
      <x:c r="EO62" s="23" t="n">
        <x:v>566.9177652994791</x:v>
      </x:c>
      <x:c r="EP62" s="23" t="n">
        <x:f>SUM(B62:EO62)</x:f>
        <x:v>59619.80831680132</x:v>
      </x:c>
      <x:c r="EQ62" s="23" t="n">
        <x:f>SUMPRODUCT(B62:EO62,{0.4443,0.4246,0.443,0.4498,0.4873,0.5104,0.4268,0.3953,0.4368,0.422,0.4219,0.4426,0.4108,0.4002,0.4289,0.4369,0.4278,0.4288,0.4591,0.4767,0.4653,0.4523,0.4709,0.4932,0.4611,0.4422,0.4623,0.472,0.4245,0.3735,0.4254,0.4989,0.4929,0.4227,0.6328,0.9932,1.0048,0.9063,0.8687,0.829,0.8169,0.8212,0.7898,0.7705,0.7455,0.6902,0.8987,1.2363,1.2439,1.1859,1.203,1.1669,1.1094,1.0805,1.0903,1.0906,1.0674,1.0536,1.0718,1.0731,0.9896,0.9463,0.9842,0.9991,0.8456,0.6274,0.6006,0.6067,0.5565,0.5195,0.5005,0.4914,0.4899,0.4954,0.4835,0.4609,0.6348,0.8838,0.8668,0.8655,0.9382,0.8663,0.844,0.9153,0.9209,0.9162,0.9606,1.0155,0.874,0.638,0.6326,0.6824,0.6763,0.6853,0.7302,0.787,0.8176,0.8489,0.8768,0.8716,0.887,0.9232,0.927,0.9295,0.9556,1.0084,1.1107,1.2108,1.2256,1.2585,1.3051,1.2625,1.2489,1.2751,1.2395,1.2431,1.2977,1.3032,1.2782,1.2648,1.2817,1.2853,1.2936,1.3316,1.1619,0.9015,0.9231,0.9544,0.9289,1.0061,0.7899,0.3963,0.3786,0.4351,0.4,0.4108,0.3953,0.3693,0.4361,0.4768,0.4377,0.3848,0.3719,0.3918})</x:f>
        <x:v>36052.3336867345</x:v>
      </x:c>
    </x:row>
    <x:row r="63" ht="14" customHeight="1">
      <x:c r="A63" s="3">
        <x:v>45750</x:v>
      </x:c>
      <x:c r="B63" s="23" t="n">
        <x:v>563.5511881510416</x:v>
      </x:c>
      <x:c r="C63" s="23" t="n">
        <x:v>1402.8959147135415</x:v>
      </x:c>
      <x:c r="D63" s="23" t="n">
        <x:v>1405.5875244140625</x:v>
      </x:c>
      <x:c r="E63" s="23" t="n">
        <x:v>1402.245646158854</x:v>
      </x:c>
      <x:c r="F63" s="23" t="n">
        <x:v>874.3297233868636</x:v>
      </x:c>
      <x:c r="G63" s="23" t="n">
        <x:v>572.2926839192708</x:v>
      </x:c>
      <x:c r="H63" s="23" t="n">
        <x:v>576.324951171875</x:v>
      </x:c>
      <x:c r="I63" s="23" t="n">
        <x:v>578.3917236328125</x:v>
      </x:c>
      <x:c r="J63" s="23" t="n">
        <x:v>587.4656575520833</x:v>
      </x:c>
      <x:c r="K63" s="23" t="n">
        <x:v>588.6336669921875</x:v>
      </x:c>
      <x:c r="L63" s="23" t="n">
        <x:v>590.7841796875</x:v>
      </x:c>
      <x:c r="M63" s="23" t="n">
        <x:v>595.0553385416666</x:v>
      </x:c>
      <x:c r="N63" s="23" t="n">
        <x:v>585.8179931640625</x:v>
      </x:c>
      <x:c r="O63" s="23" t="n">
        <x:v>583.7294108072916</x:v>
      </x:c>
      <x:c r="P63" s="23" t="n">
        <x:v>586.4827473958333</x:v>
      </x:c>
      <x:c r="Q63" s="23" t="n">
        <x:v>595.1674397786458</x:v>
      </x:c>
      <x:c r="R63" s="23" t="n">
        <x:v>598.6081949869791</x:v>
      </x:c>
      <x:c r="S63" s="23" t="n">
        <x:v>594.0702311197916</x:v>
      </x:c>
      <x:c r="T63" s="23" t="n">
        <x:v>1426.357462565104</x:v>
      </x:c>
      <x:c r="U63" s="23" t="n">
        <x:v>594.0367431640625</x:v>
      </x:c>
      <x:c r="V63" s="23" t="n">
        <x:v>598.9950358072916</x:v>
      </x:c>
      <x:c r="W63" s="23" t="n">
        <x:v>597.7180989583333</x:v>
      </x:c>
      <x:c r="X63" s="23" t="n">
        <x:v>599.9112141927083</x:v>
      </x:c>
      <x:c r="Y63" s="23" t="n">
        <x:v>601.7572021484375</x:v>
      </x:c>
      <x:c r="Z63" s="23" t="n">
        <x:v>595.8273518880208</x:v>
      </x:c>
      <x:c r="AA63" s="23" t="n">
        <x:v>592.1155598958333</x:v>
      </x:c>
      <x:c r="AB63" s="23" t="n">
        <x:v>595.3577473958333</x:v>
      </x:c>
      <x:c r="AC63" s="23" t="n">
        <x:v>604.7348225911458</x:v>
      </x:c>
      <x:c r="AD63" s="23" t="n">
        <x:v>610.5771891276041</x:v>
      </x:c>
      <x:c r="AE63" s="23" t="n">
        <x:v>610.5247802734375</x:v>
      </x:c>
      <x:c r="AF63" s="23" t="n">
        <x:v>1436.027587890625</x:v>
      </x:c>
      <x:c r="AG63" s="23" t="n">
        <x:v>596.6613800390351</x:v>
      </x:c>
      <x:c r="AH63" s="23" t="n">
        <x:v>602.2283121744791</x:v>
      </x:c>
      <x:c r="AI63" s="23" t="n">
        <x:v>1413.841188475897</x:v>
      </x:c>
      <x:c r="AJ63" s="23" t="n">
        <x:v>647.9744435622737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0</x:v>
      </x:c>
      <x:c r="AU63" s="23" t="n">
        <x:v>196.98428268392698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580.941729008579</x:v>
      </x:c>
      <x:c r="BP63" s="23" t="n">
        <x:v>0</x:v>
      </x:c>
      <x:c r="BQ63" s="23" t="n">
        <x:v>0</x:v>
      </x:c>
      <x:c r="BR63" s="23" t="n">
        <x:v>0</x:v>
      </x:c>
      <x:c r="BS63" s="23" t="n">
        <x:v>561.2379337764949</x:v>
      </x:c>
      <x:c r="BT63" s="23" t="n">
        <x:v>518.3109341513548</x:v>
      </x:c>
      <x:c r="BU63" s="23" t="n">
        <x:v>487.6397890326225</x:v>
      </x:c>
      <x:c r="BV63" s="23" t="n">
        <x:v>483.34449525778865</x:v>
      </x:c>
      <x:c r="BW63" s="23" t="n">
        <x:v>487.52596006898386</x:v>
      </x:c>
      <x:c r="BX63" s="23" t="n">
        <x:v>502.00089909319615</x:v>
      </x:c>
      <x:c r="BY63" s="23" t="n">
        <x:v>520.5415475930804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76.91627532788213</x:v>
      </x:c>
      <x:c r="CN63" s="23" t="n">
        <x:v>178.88936495021102</x:v>
      </x:c>
      <x:c r="CO63" s="23" t="n">
        <x:v>162.76297488394053</x:v>
      </x:c>
      <x:c r="CP63" s="23" t="n">
        <x:v>223.43999212779454</x:v>
      </x:c>
      <x:c r="CQ63" s="23" t="n">
        <x:v>268.48178639495336</x:v>
      </x:c>
      <x:c r="CR63" s="23" t="n">
        <x:v>319.04232390680863</x:v>
      </x:c>
      <x:c r="CS63" s="23" t="n">
        <x:v>377.61823619762765</x:v>
      </x:c>
      <x:c r="CT63" s="23" t="n">
        <x:v>442.0570068593511</x:v>
      </x:c>
      <x:c r="CU63" s="23" t="n">
        <x:v>497.75703596019105</x:v>
      </x:c>
      <x:c r="CV63" s="23" t="n">
        <x:v>550.5680254699373</x:v>
      </x:c>
      <x:c r="CW63" s="23" t="n">
        <x:v>601.4043211025198</x:v>
      </x:c>
      <x:c r="CX63" s="23" t="n">
        <x:v>656.3634802456173</x:v>
      </x:c>
      <x:c r="CY63" s="23" t="n">
        <x:v>700.6438957769884</x:v>
      </x:c>
      <x:c r="CZ63" s="23" t="n">
        <x:v>753.5856526993994</x:v>
      </x:c>
      <x:c r="DA63" s="23" t="n">
        <x:v>796.3887746896594</x:v>
      </x:c>
      <x:c r="DB63" s="23" t="n">
        <x:v>849.2827611880767</x:v>
      </x:c>
      <x:c r="DC63" s="23" t="n">
        <x:v>925.7120850412341</x:v>
      </x:c>
      <x:c r="DD63" s="23" t="n">
        <x:v>842.5733310368832</x:v>
      </x:c>
      <x:c r="DE63" s="23" t="n">
        <x:v>0</x:v>
      </x:c>
      <x:c r="DF63" s="23" t="n">
        <x:v>0</x:v>
      </x:c>
      <x:c r="DG63" s="23" t="n">
        <x:v>612.5920421632734</x:v>
      </x:c>
      <x:c r="DH63" s="23" t="n">
        <x:v>717.5620930989583</x:v>
      </x:c>
      <x:c r="DI63" s="23" t="n">
        <x:v>0</x:v>
      </x:c>
      <x:c r="DJ63" s="23" t="n">
        <x:v>0</x:v>
      </x:c>
      <x:c r="DK63" s="23" t="n">
        <x:v>719.5519205729166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725.4661458333333</x:v>
      </x:c>
      <x:c r="DR63" s="23" t="n">
        <x:v>0</x:v>
      </x:c>
      <x:c r="DS63" s="23" t="n">
        <x:v>0</x:v>
      </x:c>
      <x:c r="DT63" s="23" t="n">
        <x:v>719.4778645833333</x:v>
      </x:c>
      <x:c r="DU63" s="23" t="n">
        <x:v>0</x:v>
      </x:c>
      <x:c r="DV63" s="23" t="n">
        <x:v>725.14453125</x:v>
      </x:c>
      <x:c r="DW63" s="23" t="n">
        <x:v>727.0146484375</x:v>
      </x:c>
      <x:c r="DX63" s="23" t="n">
        <x:v>733.0425796762474</x:v>
      </x:c>
      <x:c r="DY63" s="23" t="n">
        <x:v>728.563720703125</x:v>
      </x:c>
      <x:c r="DZ63" s="23" t="n">
        <x:v>736.38134765625</x:v>
      </x:c>
      <x:c r="EA63" s="23" t="n">
        <x:v>759.1648763020833</x:v>
      </x:c>
      <x:c r="EB63" s="23" t="n">
        <x:v>686.1323182031251</x:v>
      </x:c>
      <x:c r="EC63" s="23" t="n">
        <x:v>550.7839762369791</x:v>
      </x:c>
      <x:c r="ED63" s="23" t="n">
        <x:v>1379.170166015625</x:v>
      </x:c>
      <x:c r="EE63" s="23" t="n">
        <x:v>863.018751253858</x:v>
      </x:c>
      <x:c r="EF63" s="23" t="n">
        <x:v>1388.7274983723958</x:v>
      </x:c>
      <x:c r="EG63" s="23" t="n">
        <x:v>544.2131754557291</x:v>
      </x:c>
      <x:c r="EH63" s="23" t="n">
        <x:v>546.8722330729166</x:v>
      </x:c>
      <x:c r="EI63" s="23" t="n">
        <x:v>556.032958984375</x:v>
      </x:c>
      <x:c r="EJ63" s="23" t="n">
        <x:v>560.5705973307291</x:v>
      </x:c>
      <x:c r="EK63" s="23" t="n">
        <x:v>567.3652750651041</x:v>
      </x:c>
      <x:c r="EL63" s="23" t="n">
        <x:v>1396.971964518229</x:v>
      </x:c>
      <x:c r="EM63" s="23" t="n">
        <x:v>1399.843790690104</x:v>
      </x:c>
      <x:c r="EN63" s="23" t="n">
        <x:v>1373.6855061848958</x:v>
      </x:c>
      <x:c r="EO63" s="23" t="n">
        <x:v>1252.0879720052083</x:v>
      </x:c>
      <x:c r="EP63" s="23" t="n">
        <x:f>SUM(B63:EO63)</x:f>
        <x:v>60537.53318391588</x:v>
      </x:c>
      <x:c r="EQ63" s="23" t="n">
        <x:f>SUMPRODUCT(B63:EO63,{0.4026,0.443,0.4773,0.4258,0.4067,0.4263,0.3821,0.3819,0.4306,0.427,0.4701,0.5366,0.4923,0.4483,0.4603,0.468,0.4259,0.3714,0.386,0.4206,0.4411,0.4626,0.5002,0.5106,0.4397,0.4145,0.4388,0.4064,0.4395,0.5242,0.5157,0.5149,0.4997,0.3898,0.59,0.9747,0.9797,0.8886,0.8883,0.8769,0.8579,0.8198,0.7433,0.7517,0.7863,0.7068,0.89,1.237,1.2356,1.1358,1.121,1.1218,1.1151,1.0961,1.0687,1.0536,1.0243,0.9366,0.8761,0.8757,0.8828,0.8486,0.8326,0.9026,0.7531,0.4551,0.4077,0.4482,0.4632,0.5021,0.4913,0.4234,0.3802,0.3987,0.4186,0.3745,0.5056,0.7711,0.864,0.8414,0.8272,0.8812,0.9235,0.9167,0.9041,0.9371,1.0052,1.0238,0.8743,0.6766,0.6869,0.7291,0.7289,0.7788,0.7929,0.7723,0.8106,0.839,0.8563,0.9282,0.957,0.9359,0.9647,1.0362,1.0823,1.057,1.1195,1.2509,1.2692,1.2535,1.2587,1.2592,1.2742,1.3081,1.3373,1.3389,1.3159,1.2954,1.2971,1.3013,1.2729,1.2617,1.3139,1.3867,1.2052,0.9174,0.9557,0.9866,0.9285,0.993,0.7983,0.4358,0.4148,0.4311,0.3669,0.4186,0.4572,0.4281,0.4158,0.4246,0.4492,0.4767,0.4222,0.3202})</x:f>
        <x:v>36894.99892987849</x:v>
      </x:c>
    </x:row>
    <x:row r="64" ht="14" customHeight="1">
      <x:c r="A64" s="3">
        <x:v>45751</x:v>
      </x:c>
      <x:c r="B64" s="23" t="n">
        <x:v>416.62528483072913</x:v>
      </x:c>
      <x:c r="C64" s="23" t="n">
        <x:v>427.7305908203125</x:v>
      </x:c>
      <x:c r="D64" s="23" t="n">
        <x:v>407.424560546875</x:v>
      </x:c>
      <x:c r="E64" s="23" t="n">
        <x:v>405.3067220052083</x:v>
      </x:c>
      <x:c r="F64" s="23" t="n">
        <x:v>0</x:v>
      </x:c>
      <x:c r="G64" s="23" t="n">
        <x:v>355.47339370662576</x:v>
      </x:c>
      <x:c r="H64" s="23" t="n">
        <x:v>410.920166015625</x:v>
      </x:c>
      <x:c r="I64" s="23" t="n">
        <x:v>406.60990397135413</x:v>
      </x:c>
      <x:c r="J64" s="23" t="n">
        <x:v>422.0846761067708</x:v>
      </x:c>
      <x:c r="K64" s="23" t="n">
        <x:v>410.3127034505208</x:v>
      </x:c>
      <x:c r="L64" s="23" t="n">
        <x:v>409.93143717447913</x:v>
      </x:c>
      <x:c r="M64" s="23" t="n">
        <x:v>441.55094401041663</x:v>
      </x:c>
      <x:c r="N64" s="23" t="n">
        <x:v>438.3784993489583</x:v>
      </x:c>
      <x:c r="O64" s="23" t="n">
        <x:v>440.71415201822913</x:v>
      </x:c>
      <x:c r="P64" s="23" t="n">
        <x:v>435.54081217447913</x:v>
      </x:c>
      <x:c r="Q64" s="23" t="n">
        <x:v>436.612548828125</x:v>
      </x:c>
      <x:c r="R64" s="23" t="n">
        <x:v>445.2442220052083</x:v>
      </x:c>
      <x:c r="S64" s="23" t="n">
        <x:v>440.12638346354163</x:v>
      </x:c>
      <x:c r="T64" s="23" t="n">
        <x:v>443.2082112630208</x:v>
      </x:c>
      <x:c r="U64" s="23" t="n">
        <x:v>442.9825439453125</x:v>
      </x:c>
      <x:c r="V64" s="23" t="n">
        <x:v>445.23636881510413</x:v>
      </x:c>
      <x:c r="W64" s="23" t="n">
        <x:v>448.197998046875</x:v>
      </x:c>
      <x:c r="X64" s="23" t="n">
        <x:v>444.2000325520833</x:v>
      </x:c>
      <x:c r="Y64" s="23" t="n">
        <x:v>0</x:v>
      </x:c>
      <x:c r="Z64" s="23" t="n">
        <x:v>0</x:v>
      </x:c>
      <x:c r="AA64" s="23" t="n">
        <x:v>442.15380859375</x:v>
      </x:c>
      <x:c r="AB64" s="23" t="n">
        <x:v>438.5882161458333</x:v>
      </x:c>
      <x:c r="AC64" s="23" t="n">
        <x:v>441.5351155598958</x:v>
      </x:c>
      <x:c r="AD64" s="23" t="n">
        <x:v>446.67484537760413</x:v>
      </x:c>
      <x:c r="AE64" s="23" t="n">
        <x:v>451.1314290364583</x:v>
      </x:c>
      <x:c r="AF64" s="23" t="n">
        <x:v>446.82958984375</x:v>
      </x:c>
      <x:c r="AG64" s="23" t="n">
        <x:v>0</x:v>
      </x:c>
      <x:c r="AH64" s="23" t="n">
        <x:v>448.31327311197913</x:v>
      </x:c>
      <x:c r="AI64" s="23" t="n">
        <x:v>1287.7532592004477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24.219895595498883</x:v>
      </x:c>
      <x:c r="CV64" s="23" t="n">
        <x:v>75.00746706927256</x:v>
      </x:c>
      <x:c r="CW64" s="23" t="n">
        <x:v>138.33996780033294</x:v>
      </x:c>
      <x:c r="CX64" s="23" t="n">
        <x:v>173.4403207243694</x:v>
      </x:c>
      <x:c r="CY64" s="23" t="n">
        <x:v>146.22835806534172</x:v>
      </x:c>
      <x:c r="CZ64" s="23" t="n">
        <x:v>201.38488990860776</x:v>
      </x:c>
      <x:c r="DA64" s="23" t="n">
        <x:v>252.74788499016864</x:v>
      </x:c>
      <x:c r="DB64" s="23" t="n">
        <x:v>303.5744406965576</x:v>
      </x:c>
      <x:c r="DC64" s="23" t="n">
        <x:v>327.1904914195534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464.47001139322913</x:v>
      </x:c>
      <x:c r="DX64" s="23" t="n">
        <x:v>456.0161946614583</x:v>
      </x:c>
      <x:c r="DY64" s="23" t="n">
        <x:v>501.8609619140625</x:v>
      </x:c>
      <x:c r="DZ64" s="23" t="n">
        <x:v>456.1082763671875</x:v>
      </x:c>
      <x:c r="EA64" s="23" t="n">
        <x:v>362.18209280044914</x:v>
      </x:c>
      <x:c r="EB64" s="23" t="n">
        <x:v>436.57961824218734</x:v>
      </x:c>
      <x:c r="EC64" s="23" t="n">
        <x:v>1233.4666748046875</x:v>
      </x:c>
      <x:c r="ED64" s="23" t="n">
        <x:v>1235.95068359375</x:v>
      </x:c>
      <x:c r="EE64" s="23" t="n">
        <x:v>701.3589931721003</x:v>
      </x:c>
      <x:c r="EF64" s="23" t="n">
        <x:v>401.1341145833333</x:v>
      </x:c>
      <x:c r="EG64" s="23" t="n">
        <x:v>404.5252685546875</x:v>
      </x:c>
      <x:c r="EH64" s="23" t="n">
        <x:v>1242.3243001302083</x:v>
      </x:c>
      <x:c r="EI64" s="23" t="n">
        <x:v>1239.0829264322915</x:v>
      </x:c>
      <x:c r="EJ64" s="23" t="n">
        <x:v>1237.247802734375</x:v>
      </x:c>
      <x:c r="EK64" s="23" t="n">
        <x:v>1242.5721842447915</x:v>
      </x:c>
      <x:c r="EL64" s="23" t="n">
        <x:v>402.3150227864583</x:v>
      </x:c>
      <x:c r="EM64" s="23" t="n">
        <x:v>408.77775065104163</x:v>
      </x:c>
      <x:c r="EN64" s="23" t="n">
        <x:v>405.7721761067708</x:v>
      </x:c>
      <x:c r="EO64" s="23" t="n">
        <x:v>412.23124186197913</x:v>
      </x:c>
      <x:c r="EP64" s="23" t="n">
        <x:f>SUM(B64:EO64)</x:f>
        <x:v>28663.501703274327</x:v>
      </x:c>
      <x:c r="EQ64" s="23" t="n">
        <x:f>SUMPRODUCT(B64:EO64,{0.2995,0.3192,0.3326,0.3363,0.3436,0.3367,0.2926,0.3008,0.3539,0.3549,0.3498,0.3568,0.3436,0.3306,0.3353,0.3498,0.3351,0.3096,0.3289,0.3421,0.3413,0.3645,0.3529,0.3195,0.3391,0.3516,0.3326,0.324,0.346,0.371,0.3573,0.3686,0.3698,0.2983,0.4601,0.7616,0.7779,0.72,0.7113,0.6689,0.6849,0.7324,0.6824,0.6526,0.6263,0.5014,0.5995,0.8545,0.8536,0.7756,0.7608,0.7608,0.7418,0.7179,0.7241,0.7159,0.6823,0.6542,0.6173,0.6032,0.6545,0.6371,0.5825,0.6217,0.4593,0.179,0.1873,0.2433,0.2209,0.2354,0.2408,0.222,0.2243,0.2376,0.1971,0.0905,0.2499,0.5547,0.5365,0.481,0.5154,0.4844,0.507,0.5884,0.5945,0.5747,0.5944,0.6464,0.5691,0.4069,0.3775,0.4152,0.4412,0.453,0.5093,0.5702,0.5372,0.5266,0.5887,0.6527,0.6506,0.6125,0.6326,0.6787,0.7129,0.7459,0.864,1.0231,1.0818,1.1037,1.1258,1.1233,1.1393,1.1532,1.0993,1.0558,1.0637,1.0949,1.1344,1.1467,1.1022,1.0926,1.1535,1.2001,1.0279,0.7705,0.7775,0.8061,0.7801,0.8287,0.6509,0.3123,0.2266,0.293,0.3459,0.3279,0.3328,0.3611,0.3228,0.2858,0.2814,0.2783,0.2994,0.3311})</x:f>
        <x:v>11025.762470481424</x:v>
      </x:c>
    </x:row>
    <x:row r="65" ht="14" customHeight="1">
      <x:c r="A65" s="3">
        <x:v>45752</x:v>
      </x:c>
      <x:c r="B65" s="23" t="n">
        <x:v>406.83964029947913</x:v>
      </x:c>
      <x:c r="C65" s="23" t="n">
        <x:v>408.2568359375</x:v>
      </x:c>
      <x:c r="D65" s="23" t="n">
        <x:v>406.9904378255208</x:v>
      </x:c>
      <x:c r="E65" s="23" t="n">
        <x:v>406.34305826822913</x:v>
      </x:c>
      <x:c r="F65" s="23" t="n">
        <x:v>404.98380533854163</x:v>
      </x:c>
      <x:c r="G65" s="23" t="n">
        <x:v>405.82792154947913</x:v>
      </x:c>
      <x:c r="H65" s="23" t="n">
        <x:v>406.95414225260413</x:v>
      </x:c>
      <x:c r="I65" s="23" t="n">
        <x:v>406.78702799479163</x:v>
      </x:c>
      <x:c r="J65" s="23" t="n">
        <x:v>0</x:v>
      </x:c>
      <x:c r="K65" s="23" t="n">
        <x:v>0</x:v>
      </x:c>
      <x:c r="L65" s="23" t="n">
        <x:v>0</x:v>
      </x:c>
      <x:c r="M65" s="23" t="n">
        <x:v>414.03763834635413</x:v>
      </x:c>
      <x:c r="N65" s="23" t="n">
        <x:v>418.98417154947913</x:v>
      </x:c>
      <x:c r="O65" s="23" t="n">
        <x:v>418.8214111328125</x:v>
      </x:c>
      <x:c r="P65" s="23" t="n">
        <x:v>348.08373966891725</x:v>
      </x:c>
      <x:c r="Q65" s="23" t="n">
        <x:v>414.0513916015625</x:v>
      </x:c>
      <x:c r="R65" s="23" t="n">
        <x:v>424.1549886067708</x:v>
      </x:c>
      <x:c r="S65" s="23" t="n">
        <x:v>417.91495768229163</x:v>
      </x:c>
      <x:c r="T65" s="23" t="n">
        <x:v>418.65067545572913</x:v>
      </x:c>
      <x:c r="U65" s="23" t="n">
        <x:v>418.20438639322913</x:v>
      </x:c>
      <x:c r="V65" s="23" t="n">
        <x:v>417.56400553385413</x:v>
      </x:c>
      <x:c r="W65" s="23" t="n">
        <x:v>416.9581298828125</x:v>
      </x:c>
      <x:c r="X65" s="23" t="n">
        <x:v>424.481689453125</x:v>
      </x:c>
      <x:c r="Y65" s="23" t="n">
        <x:v>421.2103271484375</x:v>
      </x:c>
      <x:c r="Z65" s="23" t="n">
        <x:v>421.9464111328125</x:v>
      </x:c>
      <x:c r="AA65" s="23" t="n">
        <x:v>424.74991861979163</x:v>
      </x:c>
      <x:c r="AB65" s="23" t="n">
        <x:v>0</x:v>
      </x:c>
      <x:c r="AC65" s="23" t="n">
        <x:v>424.0443115234375</x:v>
      </x:c>
      <x:c r="AD65" s="23" t="n">
        <x:v>435.80948893229163</x:v>
      </x:c>
      <x:c r="AE65" s="23" t="n">
        <x:v>423.0862630208333</x:v>
      </x:c>
      <x:c r="AF65" s="23" t="n">
        <x:v>424.744384765625</x:v>
      </x:c>
      <x:c r="AG65" s="23" t="n">
        <x:v>423.011762787511</x:v>
      </x:c>
      <x:c r="AH65" s="23" t="n">
        <x:v>430.4119466145833</x:v>
      </x:c>
      <x:c r="AI65" s="23" t="n">
        <x:v>411.3086855241645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2.9060662564111226</x:v>
      </x:c>
      <x:c r="CV65" s="23" t="n">
        <x:v>39.16294083985167</x:v>
      </x:c>
      <x:c r="CW65" s="23" t="n">
        <x:v>95.1723011453724</x:v>
      </x:c>
      <x:c r="CX65" s="23" t="n">
        <x:v>125.44824704032604</x:v>
      </x:c>
      <x:c r="CY65" s="23" t="n">
        <x:v>113.70355130034359</x:v>
      </x:c>
      <x:c r="CZ65" s="23" t="n">
        <x:v>171.77312053279832</x:v>
      </x:c>
      <x:c r="DA65" s="23" t="n">
        <x:v>218.5217216344236</x:v>
      </x:c>
      <x:c r="DB65" s="23" t="n">
        <x:v>268.80203012858107</x:v>
      </x:c>
      <x:c r="DC65" s="23" t="n">
        <x:v>318.57163417438863</x:v>
      </x:c>
      <x:c r="DD65" s="23" t="n">
        <x:v>0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441.9378662109375</x:v>
      </x:c>
      <x:c r="DX65" s="23" t="n">
        <x:v>442.71244303385413</x:v>
      </x:c>
      <x:c r="DY65" s="23" t="n">
        <x:v>445.71659342447913</x:v>
      </x:c>
      <x:c r="DZ65" s="23" t="n">
        <x:v>459.5601806640625</x:v>
      </x:c>
      <x:c r="EA65" s="23" t="n">
        <x:v>67.08926032762481</x:v>
      </x:c>
      <x:c r="EB65" s="23" t="n">
        <x:v>435.8430866666665</x:v>
      </x:c>
      <x:c r="EC65" s="23" t="n">
        <x:v>401.616943359375</x:v>
      </x:c>
      <x:c r="ED65" s="23" t="n">
        <x:v>1232.3880208333333</x:v>
      </x:c>
      <x:c r="EE65" s="23" t="n">
        <x:v>1224.5580240885415</x:v>
      </x:c>
      <x:c r="EF65" s="23" t="n">
        <x:v>399.9715169270833</x:v>
      </x:c>
      <x:c r="EG65" s="23" t="n">
        <x:v>396.47623697916663</x:v>
      </x:c>
      <x:c r="EH65" s="23" t="n">
        <x:v>397.7289632161458</x:v>
      </x:c>
      <x:c r="EI65" s="23" t="n">
        <x:v>1233.126953125</x:v>
      </x:c>
      <x:c r="EJ65" s="23" t="n">
        <x:v>1236.056193033854</x:v>
      </x:c>
      <x:c r="EK65" s="23" t="n">
        <x:v>1232.8333740234375</x:v>
      </x:c>
      <x:c r="EL65" s="23" t="n">
        <x:v>398.9685872395833</x:v>
      </x:c>
      <x:c r="EM65" s="23" t="n">
        <x:v>716.3418626382461</x:v>
      </x:c>
      <x:c r="EN65" s="23" t="n">
        <x:v>1242.8013509114583</x:v>
      </x:c>
      <x:c r="EO65" s="23" t="n">
        <x:v>537.4694010416666</x:v>
      </x:c>
      <x:c r="EP65" s="23" t="n">
        <x:f>SUM(B65:EO65)</x:f>
        <x:v>26742.47202563958</x:v>
      </x:c>
      <x:c r="EQ65" s="23" t="n">
        <x:f>SUMPRODUCT(B65:EO65,{0.3292,0.3275,0.342,0.3535,0.3516,0.345,0.3509,0.354,0.3592,0.3818,0.3697,0.3342,0.3398,0.3448,0.3267,0.3065,0.2924,0.3038,0.3499,0.3489,0.3067,0.3161,0.37,0.4026,0.3565,0.3298,0.3335,0.2968,0.3186,0.3708,0.3242,0.3186,0.352,0.3125,0.4754,0.7562,0.7673,0.7307,0.7286,0.6253,0.593,0.6395,0.5946,0.548,0.5296,0.4963,0.6135,0.8076,0.8162,0.783,0.7866,0.7674,0.7877,0.8171,0.7522,0.6907,0.6962,0.7222,0.6362,0.5464,0.6853,0.7546,0.6735,0.6351,0.5265,0.3544,0.2754,0.2454,0.2279,0.2327,0.2165,0.174,0.1482,0.1657,0.1885,0.1776,0.3156,0.54,0.5914,0.6184,0.6878,0.703,0.6651,0.6362,0.6775,0.7103,0.7354,0.796,0.6592,0.4101,0.3996,0.4992,0.5572,0.5494,0.551,0.5655,0.5344,0.5279,0.5822,0.6519,0.6389,0.5825,0.6197,0.679,0.685,0.6647,0.8425,1.1122,1.1289,1.0978,1.1138,1.0754,1.0962,1.1526,1.1008,1.0802,1.1332,1.1525,1.1154,1.0816,1.1254,1.1472,1.1432,1.1736,1.0119,0.7732,0.8201,0.862,0.8089,0.8219,0.6194,0.3036,0.3001,0.3462,0.3207,0.3593,0.3565,0.3076,0.327,0.3521,0.3322,0.2925,0.325,0.4204})</x:f>
        <x:v>10366.97236051761</x:v>
      </x:c>
    </x:row>
    <x:row r="66" ht="14" customHeight="1">
      <x:c r="A66" s="3">
        <x:v>45753</x:v>
      </x:c>
      <x:c r="B66" s="23" t="n">
        <x:v>1387.6701253255208</x:v>
      </x:c>
      <x:c r="C66" s="23" t="n">
        <x:v>1384.5572102864583</x:v>
      </x:c>
      <x:c r="D66" s="23" t="n">
        <x:v>549.7912190755208</x:v>
      </x:c>
      <x:c r="E66" s="23" t="n">
        <x:v>549.76904296875</x:v>
      </x:c>
      <x:c r="F66" s="23" t="n">
        <x:v>549.8953043619791</x:v>
      </x:c>
      <x:c r="G66" s="23" t="n">
        <x:v>544.5575358072916</x:v>
      </x:c>
      <x:c r="H66" s="23" t="n">
        <x:v>1374.1837972005208</x:v>
      </x:c>
      <x:c r="I66" s="23" t="n">
        <x:v>1373.7887369791665</x:v>
      </x:c>
      <x:c r="J66" s="23" t="n">
        <x:v>547.568603515625</x:v>
      </x:c>
      <x:c r="K66" s="23" t="n">
        <x:v>552.850341796875</x:v>
      </x:c>
      <x:c r="L66" s="23" t="n">
        <x:v>560.6382242838541</x:v>
      </x:c>
      <x:c r="M66" s="23" t="n">
        <x:v>561.8645833333333</x:v>
      </x:c>
      <x:c r="N66" s="23" t="n">
        <x:v>559.6429036458333</x:v>
      </x:c>
      <x:c r="O66" s="23" t="n">
        <x:v>1038.5309346281824</x:v>
      </x:c>
      <x:c r="P66" s="23" t="n">
        <x:v>590.4088134765625</x:v>
      </x:c>
      <x:c r="Q66" s="23" t="n">
        <x:v>577.6060791015625</x:v>
      </x:c>
      <x:c r="R66" s="23" t="n">
        <x:v>566.8432210286458</x:v>
      </x:c>
      <x:c r="S66" s="23" t="n">
        <x:v>565.2825113932291</x:v>
      </x:c>
      <x:c r="T66" s="23" t="n">
        <x:v>568.8360595703125</x:v>
      </x:c>
      <x:c r="U66" s="23" t="n">
        <x:v>578.2884928385416</x:v>
      </x:c>
      <x:c r="V66" s="23" t="n">
        <x:v>599.2820231119791</x:v>
      </x:c>
      <x:c r="W66" s="23" t="n">
        <x:v>611.9752604166666</x:v>
      </x:c>
      <x:c r="X66" s="23" t="n">
        <x:v>581.10107421875</x:v>
      </x:c>
      <x:c r="Y66" s="23" t="n">
        <x:v>569.2656656901041</x:v>
      </x:c>
      <x:c r="Z66" s="23" t="n">
        <x:v>615.6573893229166</x:v>
      </x:c>
      <x:c r="AA66" s="23" t="n">
        <x:v>604.1777750651041</x:v>
      </x:c>
      <x:c r="AB66" s="23" t="n">
        <x:v>565.4864908854166</x:v>
      </x:c>
      <x:c r="AC66" s="23" t="n">
        <x:v>1428.054239908854</x:v>
      </x:c>
      <x:c r="AD66" s="23" t="n">
        <x:v>599.7450358072916</x:v>
      </x:c>
      <x:c r="AE66" s="23" t="n">
        <x:v>586.9418538411458</x:v>
      </x:c>
      <x:c r="AF66" s="23" t="n">
        <x:v>607.517333984375</x:v>
      </x:c>
      <x:c r="AG66" s="23" t="n">
        <x:v>603.768447200717</x:v>
      </x:c>
      <x:c r="AH66" s="23" t="n">
        <x:v>610.5515543619791</x:v>
      </x:c>
      <x:c r="AI66" s="23" t="n">
        <x:v>1387.821843698661</x:v>
      </x:c>
      <x:c r="AJ66" s="23" t="n">
        <x:v>0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0</x:v>
      </x:c>
      <x:c r="AU66" s="23" t="n">
        <x:v>0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0</x:v>
      </x:c>
      <x:c r="BQ66" s="23" t="n">
        <x:v>0</x:v>
      </x:c>
      <x:c r="BR66" s="23" t="n">
        <x:v>0</x:v>
      </x:c>
      <x:c r="BS66" s="23" t="n">
        <x:v>0</x:v>
      </x:c>
      <x:c r="BT66" s="23" t="n">
        <x:v>0</x:v>
      </x:c>
      <x:c r="BU66" s="23" t="n">
        <x:v>138.07942710152443</x:v>
      </x:c>
      <x:c r="BV66" s="23" t="n">
        <x:v>352.48578868345913</x:v>
      </x:c>
      <x:c r="BW66" s="23" t="n">
        <x:v>0</x:v>
      </x:c>
      <x:c r="BX66" s="23" t="n">
        <x:v>0</x:v>
      </x:c>
      <x:c r="BY66" s="23" t="n">
        <x:v>335.8042400727536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47.43803551485264</x:v>
      </x:c>
      <x:c r="CN66" s="23" t="n">
        <x:v>105.07888807509829</x:v>
      </x:c>
      <x:c r="CO66" s="23" t="n">
        <x:v>148.9844309497618</x:v>
      </x:c>
      <x:c r="CP66" s="23" t="n">
        <x:v>195.3960651442356</x:v>
      </x:c>
      <x:c r="CQ66" s="23" t="n">
        <x:v>242.90193678644755</x:v>
      </x:c>
      <x:c r="CR66" s="23" t="n">
        <x:v>296.9402785510671</x:v>
      </x:c>
      <x:c r="CS66" s="23" t="n">
        <x:v>359.69377850484136</x:v>
      </x:c>
      <x:c r="CT66" s="23" t="n">
        <x:v>412.27856189525846</x:v>
      </x:c>
      <x:c r="CU66" s="23" t="n">
        <x:v>436.9163564576917</x:v>
      </x:c>
      <x:c r="CV66" s="23" t="n">
        <x:v>517.8740455106308</x:v>
      </x:c>
      <x:c r="CW66" s="23" t="n">
        <x:v>564.2307668302042</x:v>
      </x:c>
      <x:c r="CX66" s="23" t="n">
        <x:v>589.4889531191712</x:v>
      </x:c>
      <x:c r="CY66" s="23" t="n">
        <x:v>668.8896971887632</x:v>
      </x:c>
      <x:c r="CZ66" s="23" t="n">
        <x:v>719.127227995176</x:v>
      </x:c>
      <x:c r="DA66" s="23" t="n">
        <x:v>747.8619719430783</x:v>
      </x:c>
      <x:c r="DB66" s="23" t="n">
        <x:v>826.2915664901994</x:v>
      </x:c>
      <x:c r="DC66" s="23" t="n">
        <x:v>890.7400008564498</x:v>
      </x:c>
      <x:c r="DD66" s="23" t="n">
        <x:v>821.7378667354593</x:v>
      </x:c>
      <x:c r="DE66" s="23" t="n">
        <x:v>0</x:v>
      </x:c>
      <x:c r="DF66" s="23" t="n">
        <x:v>0</x:v>
      </x:c>
      <x:c r="DG66" s="23" t="n">
        <x:v>719.6365918074646</x:v>
      </x:c>
      <x:c r="DH66" s="23" t="n">
        <x:v>0</x:v>
      </x:c>
      <x:c r="DI66" s="23" t="n">
        <x:v>0</x:v>
      </x:c>
      <x:c r="DJ66" s="23" t="n">
        <x:v>0</x:v>
      </x:c>
      <x:c r="DK66" s="23" t="n">
        <x:v>0</x:v>
      </x:c>
      <x:c r="DL66" s="23" t="n">
        <x:v>446.97142366406666</x:v>
      </x:c>
      <x:c r="DM66" s="23" t="n">
        <x:v>0</x:v>
      </x:c>
      <x:c r="DN66" s="23" t="n">
        <x:v>0</x:v>
      </x:c>
      <x:c r="DO66" s="23" t="n">
        <x:v>0</x:v>
      </x:c>
      <x:c r="DP66" s="23" t="n">
        <x:v>709.2875162760416</x:v>
      </x:c>
      <x:c r="DQ66" s="23" t="n">
        <x:v>0</x:v>
      </x:c>
      <x:c r="DR66" s="23" t="n">
        <x:v>657.4102783203125</x:v>
      </x:c>
      <x:c r="DS66" s="23" t="n">
        <x:v>685.8243001302083</x:v>
      </x:c>
      <x:c r="DT66" s="23" t="n">
        <x:v>0</x:v>
      </x:c>
      <x:c r="DU66" s="23" t="n">
        <x:v>0</x:v>
      </x:c>
      <x:c r="DV66" s="23" t="n">
        <x:v>696.7176106770833</x:v>
      </x:c>
      <x:c r="DW66" s="23" t="n">
        <x:v>694.0432942708333</x:v>
      </x:c>
      <x:c r="DX66" s="23" t="n">
        <x:v>704.1868386702674</x:v>
      </x:c>
      <x:c r="DY66" s="23" t="n">
        <x:v>704.3851725260416</x:v>
      </x:c>
      <x:c r="DZ66" s="23" t="n">
        <x:v>704.8528645833333</x:v>
      </x:c>
      <x:c r="EA66" s="23" t="n">
        <x:v>723.1444498697916</x:v>
      </x:c>
      <x:c r="EB66" s="23" t="n">
        <x:v>628.8107848177083</x:v>
      </x:c>
      <x:c r="EC66" s="23" t="n">
        <x:v>1368.8939208984375</x:v>
      </x:c>
      <x:c r="ED66" s="23" t="n">
        <x:v>1375.5487060546875</x:v>
      </x:c>
      <x:c r="EE66" s="23" t="n">
        <x:v>543.8893229166666</x:v>
      </x:c>
      <x:c r="EF66" s="23" t="n">
        <x:v>540.4652506510416</x:v>
      </x:c>
      <x:c r="EG66" s="23" t="n">
        <x:v>542.8967692057291</x:v>
      </x:c>
      <x:c r="EH66" s="23" t="n">
        <x:v>540.5074462890625</x:v>
      </x:c>
      <x:c r="EI66" s="23" t="n">
        <x:v>521.6953125</x:v>
      </x:c>
      <x:c r="EJ66" s="23" t="n">
        <x:v>1367.9586588541665</x:v>
      </x:c>
      <x:c r="EK66" s="23" t="n">
        <x:v>1375.0682779947915</x:v>
      </x:c>
      <x:c r="EL66" s="23" t="n">
        <x:v>1386.6715087890625</x:v>
      </x:c>
      <x:c r="EM66" s="23" t="n">
        <x:v>1383.09619140625</x:v>
      </x:c>
      <x:c r="EN66" s="23" t="n">
        <x:v>861.2805426512665</x:v>
      </x:c>
      <x:c r="EO66" s="23" t="n">
        <x:v>559.7157389322916</x:v>
      </x:c>
      <x:c r="EP66" s="23" t="n">
        <x:f>SUM(B66:EO66)</x:f>
        <x:v>54815.11838529446</x:v>
      </x:c>
      <x:c r="EQ66" s="23" t="n">
        <x:f>SUMPRODUCT(B66:EO66,{0.4693,0.4344,0.3755,0.3918,0.4313,0.4459,0.4384,0.4426,0.4623,0.468,0.445,0.4247,0.4507,0.4545,0.4403,0.4719,0.4529,0.3946,0.4147,0.4661,0.4846,0.4495,0.4087,0.4032,0.4414,0.4954,0.5059,0.4393,0.4463,0.5106,0.4732,0.4488,0.453,0.4203,0.6211,0.9422,0.9614,0.8892,0.8756,0.8627,0.8535,0.8381,0.7987,0.8023,0.794,0.6979,0.9006,1.2535,1.1885,1.0544,1.0803,1.1384,1.1064,1.0057,0.9638,0.9797,0.9889,0.9352,0.9101,0.9195,0.8782,0.8282,0.8234,0.8502,0.7262,0.5163,0.478,0.4906,0.4881,0.5273,0.5469,0.507,0.4357,0.4189,0.4195,0.3579,0.5116,0.811,0.8821,0.8765,0.8899,0.8569,0.8348,0.8427,0.8428,0.8516,0.9109,1.0063,0.8762,0.6332,0.6667,0.7399,0.7308,0.7564,0.787,0.7966,0.8037,0.8311,0.8624,0.8655,0.8976,0.942,0.9314,0.9762,1.0377,0.9812,1.0506,1.2419,1.289,1.2572,1.2362,1.243,1.2533,1.2595,1.2719,1.2699,1.2611,1.2751,1.2842,1.2844,1.2972,1.2937,1.2913,1.3107,1.1671,0.9352,0.9021,0.9618,1.0122,1.0138,0.7706,0.4309,0.3801,0.4197,0.4254,0.4579,0.4303,0.3763,0.4214,0.425,0.3766,0.4052,0.4096,0.3856})</x:f>
        <x:v>33184.47721044726</x:v>
      </x:c>
    </x:row>
    <x:row r="67" ht="14" customHeight="1">
      <x:c r="A67" s="3">
        <x:v>45754</x:v>
      </x:c>
      <x:c r="B67" s="23" t="n">
        <x:v>568.4178059895833</x:v>
      </x:c>
      <x:c r="C67" s="23" t="n">
        <x:v>1402.620890299479</x:v>
      </x:c>
      <x:c r="D67" s="23" t="n">
        <x:v>997.8402686310442</x:v>
      </x:c>
      <x:c r="E67" s="23" t="n">
        <x:v>560.8673502604166</x:v>
      </x:c>
      <x:c r="F67" s="23" t="n">
        <x:v>563.0340169270833</x:v>
      </x:c>
      <x:c r="G67" s="23" t="n">
        <x:v>572.268798828125</x:v>
      </x:c>
      <x:c r="H67" s="23" t="n">
        <x:v>1404.312784830729</x:v>
      </x:c>
      <x:c r="I67" s="23" t="n">
        <x:v>1407.3754475911458</x:v>
      </x:c>
      <x:c r="J67" s="23" t="n">
        <x:v>584.1042073567708</x:v>
      </x:c>
      <x:c r="K67" s="23" t="n">
        <x:v>1423.0768229166665</x:v>
      </x:c>
      <x:c r="L67" s="23" t="n">
        <x:v>592.261962890625</x:v>
      </x:c>
      <x:c r="M67" s="23" t="n">
        <x:v>591.1138509114583</x:v>
      </x:c>
      <x:c r="N67" s="23" t="n">
        <x:v>591.5264485677083</x:v>
      </x:c>
      <x:c r="O67" s="23" t="n">
        <x:v>591.8216959635416</x:v>
      </x:c>
      <x:c r="P67" s="23" t="n">
        <x:v>595.2312825520833</x:v>
      </x:c>
      <x:c r="Q67" s="23" t="n">
        <x:v>585.807373046875</x:v>
      </x:c>
      <x:c r="R67" s="23" t="n">
        <x:v>582.9034830729166</x:v>
      </x:c>
      <x:c r="S67" s="23" t="n">
        <x:v>594.8617350260416</x:v>
      </x:c>
      <x:c r="T67" s="23" t="n">
        <x:v>588.972900390625</x:v>
      </x:c>
      <x:c r="U67" s="23" t="n">
        <x:v>591.8783772786458</x:v>
      </x:c>
      <x:c r="V67" s="23" t="n">
        <x:v>599.4512532552083</x:v>
      </x:c>
      <x:c r="W67" s="23" t="n">
        <x:v>598.0217692057291</x:v>
      </x:c>
      <x:c r="X67" s="23" t="n">
        <x:v>590.719970703125</x:v>
      </x:c>
      <x:c r="Y67" s="23" t="n">
        <x:v>590.3848470052083</x:v>
      </x:c>
      <x:c r="Z67" s="23" t="n">
        <x:v>595.0887451171875</x:v>
      </x:c>
      <x:c r="AA67" s="23" t="n">
        <x:v>592.62890625</x:v>
      </x:c>
      <x:c r="AB67" s="23" t="n">
        <x:v>581.2830403645833</x:v>
      </x:c>
      <x:c r="AC67" s="23" t="n">
        <x:v>1428.5384521484375</x:v>
      </x:c>
      <x:c r="AD67" s="23" t="n">
        <x:v>598.8238525390625</x:v>
      </x:c>
      <x:c r="AE67" s="23" t="n">
        <x:v>606.152587890625</x:v>
      </x:c>
      <x:c r="AF67" s="23" t="n">
        <x:v>597.96630859375</x:v>
      </x:c>
      <x:c r="AG67" s="23" t="n">
        <x:v>599.3781831155931</x:v>
      </x:c>
      <x:c r="AH67" s="23" t="n">
        <x:v>613.2776692708333</x:v>
      </x:c>
      <x:c r="AI67" s="23" t="n">
        <x:v>1414.1058998104309</x:v>
      </x:c>
      <x:c r="AJ67" s="23" t="n">
        <x:v>644.3638238692349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0</x:v>
      </x:c>
      <x:c r="BQ67" s="23" t="n">
        <x:v>0</x:v>
      </x:c>
      <x:c r="BR67" s="23" t="n">
        <x:v>508.87062721040456</x:v>
      </x:c>
      <x:c r="BS67" s="23" t="n">
        <x:v>0</x:v>
      </x:c>
      <x:c r="BT67" s="23" t="n">
        <x:v>93.77696596892322</x:v>
      </x:c>
      <x:c r="BU67" s="23" t="n">
        <x:v>433.4536700060128</x:v>
      </x:c>
      <x:c r="BV67" s="23" t="n">
        <x:v>422.27712083857324</x:v>
      </x:c>
      <x:c r="BW67" s="23" t="n">
        <x:v>0</x:v>
      </x:c>
      <x:c r="BX67" s="23" t="n">
        <x:v>0</x:v>
      </x:c>
      <x:c r="BY67" s="23" t="n">
        <x:v>380.1996534172973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123.87108089721971</x:v>
      </x:c>
      <x:c r="CN67" s="23" t="n">
        <x:v>127.81161179917277</x:v>
      </x:c>
      <x:c r="CO67" s="23" t="n">
        <x:v>177.4030274199064</x:v>
      </x:c>
      <x:c r="CP67" s="23" t="n">
        <x:v>221.81716432953664</x:v>
      </x:c>
      <x:c r="CQ67" s="23" t="n">
        <x:v>268.68023401162884</x:v>
      </x:c>
      <x:c r="CR67" s="23" t="n">
        <x:v>319.8859351014031</x:v>
      </x:c>
      <x:c r="CS67" s="23" t="n">
        <x:v>363.42190918057156</x:v>
      </x:c>
      <x:c r="CT67" s="23" t="n">
        <x:v>409.1240916225759</x:v>
      </x:c>
      <x:c r="CU67" s="23" t="n">
        <x:v>469.9046667024262</x:v>
      </x:c>
      <x:c r="CV67" s="23" t="n">
        <x:v>526.5509817220678</x:v>
      </x:c>
      <x:c r="CW67" s="23" t="n">
        <x:v>575.6683780013963</x:v>
      </x:c>
      <x:c r="CX67" s="23" t="n">
        <x:v>621.0886119244819</x:v>
      </x:c>
      <x:c r="CY67" s="23" t="n">
        <x:v>677.2108538924685</x:v>
      </x:c>
      <x:c r="CZ67" s="23" t="n">
        <x:v>731.4339105673819</x:v>
      </x:c>
      <x:c r="DA67" s="23" t="n">
        <x:v>785.103313632456</x:v>
      </x:c>
      <x:c r="DB67" s="23" t="n">
        <x:v>838.7569086342867</x:v>
      </x:c>
      <x:c r="DC67" s="23" t="n">
        <x:v>903.7853052346445</x:v>
      </x:c>
      <x:c r="DD67" s="23" t="n">
        <x:v>814.6398205685206</x:v>
      </x:c>
      <x:c r="DE67" s="23" t="n">
        <x:v>648.2304392376758</x:v>
      </x:c>
      <x:c r="DF67" s="23" t="n">
        <x:v>0</x:v>
      </x:c>
      <x:c r="DG67" s="23" t="n">
        <x:v>0</x:v>
      </x:c>
      <x:c r="DH67" s="23" t="n">
        <x:v>0</x:v>
      </x:c>
      <x:c r="DI67" s="23" t="n">
        <x:v>683.6390200603743</x:v>
      </x:c>
      <x:c r="DJ67" s="23" t="n">
        <x:v>0</x:v>
      </x:c>
      <x:c r="DK67" s="23" t="n">
        <x:v>661.5596970908206</x:v>
      </x:c>
      <x:c r="DL67" s="23" t="n">
        <x:v>718.5210774739583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722.4203287760416</x:v>
      </x:c>
      <x:c r="DT67" s="23" t="n">
        <x:v>0</x:v>
      </x:c>
      <x:c r="DU67" s="23" t="n">
        <x:v>0</x:v>
      </x:c>
      <x:c r="DV67" s="23" t="n">
        <x:v>722.5303548177083</x:v>
      </x:c>
      <x:c r="DW67" s="23" t="n">
        <x:v>726.833251953125</x:v>
      </x:c>
      <x:c r="DX67" s="23" t="n">
        <x:v>728.0553078462576</x:v>
      </x:c>
      <x:c r="DY67" s="23" t="n">
        <x:v>715.3958333333333</x:v>
      </x:c>
      <x:c r="DZ67" s="23" t="n">
        <x:v>728.8516438802083</x:v>
      </x:c>
      <x:c r="EA67" s="23" t="n">
        <x:v>738.5091145833333</x:v>
      </x:c>
      <x:c r="EB67" s="23" t="n">
        <x:v>657.4645011848958</x:v>
      </x:c>
      <x:c r="EC67" s="23" t="n">
        <x:v>1385.1307373046875</x:v>
      </x:c>
      <x:c r="ED67" s="23" t="n">
        <x:v>1374.7555745442708</x:v>
      </x:c>
      <x:c r="EE67" s="23" t="n">
        <x:v>551.2169596354166</x:v>
      </x:c>
      <x:c r="EF67" s="23" t="n">
        <x:v>551.5995686848958</x:v>
      </x:c>
      <x:c r="EG67" s="23" t="n">
        <x:v>1386.6673177083333</x:v>
      </x:c>
      <x:c r="EH67" s="23" t="n">
        <x:v>1388.9320068359375</x:v>
      </x:c>
      <x:c r="EI67" s="23" t="n">
        <x:v>560.1024983723958</x:v>
      </x:c>
      <x:c r="EJ67" s="23" t="n">
        <x:v>1391.37939453125</x:v>
      </x:c>
      <x:c r="EK67" s="23" t="n">
        <x:v>1390.4586995442708</x:v>
      </x:c>
      <x:c r="EL67" s="23" t="n">
        <x:v>868.1515620941037</x:v>
      </x:c>
      <x:c r="EM67" s="23" t="n">
        <x:v>569.923583984375</x:v>
      </x:c>
      <x:c r="EN67" s="23" t="n">
        <x:v>573.7210286458333</x:v>
      </x:c>
      <x:c r="EO67" s="23" t="n">
        <x:v>564.3859049479166</x:v>
      </x:c>
      <x:c r="EP67" s="23" t="n">
        <x:f>SUM(B67:EO67)</x:f>
        <x:v>57843.65406222537</x:v>
      </x:c>
      <x:c r="EQ67" s="23" t="n">
        <x:f>SUMPRODUCT(B67:EO67,{0.4325,0.4467,0.4052,0.3901,0.3763,0.374,0.4231,0.4312,0.4019,0.425,0.4203,0.3957,0.4437,0.4739,0.4516,0.4335,0.4295,0.4294,0.4245,0.4406,0.4599,0.435,0.4068,0.4181,0.4675,0.4675,0.4229,0.423,0.4441,0.4631,0.4822,0.4839,0.4465,0.4042,0.5911,0.8999,0.9606,0.9121,0.884,0.8671,0.8633,0.8617,0.8432,0.8185,0.7557,0.6557,0.8325,1.165,1.1896,1.1145,1.0973,1.079,1.0332,0.9956,1.0171,1.0087,0.9579,0.9386,0.924,0.8815,0.8113,0.7587,0.7465,0.7369,0.5976,0.4282,0.4679,0.5022,0.4561,0.4666,0.4947,0.4864,0.4391,0.4264,0.4468,0.4543,0.5915,0.8094,0.8867,0.8686,0.8481,0.8729,0.8974,0.904,0.9164,0.9214,0.959,1.0523,0.9217,0.6586,0.6572,0.7411,0.7635,0.7602,0.7872,0.8251,0.8109,0.8168,0.8612,0.8886,0.8999,0.9128,0.9404,0.9714,0.9928,1.0155,1.1172,1.2405,1.2443,1.2542,1.2999,1.2852,1.2634,1.2574,1.2395,1.2514,1.2848,1.2832,1.2704,1.2677,1.2698,1.2629,1.2793,1.3349,1.2022,0.9558,0.9102,0.8971,0.9093,1.0608,0.8433,0.3886,0.3758,0.4931,0.4703,0.3677,0.3671,0.446,0.4263,0.4252,0.461,0.4254,0.4,0.4228})</x:f>
        <x:v>34682.059188315696</x:v>
      </x:c>
    </x:row>
    <x:row r="68" ht="14" customHeight="1">
      <x:c r="A68" s="3">
        <x:v>45755</x:v>
      </x:c>
      <x:c r="B68" s="23" t="n">
        <x:v>571.8863118489583</x:v>
      </x:c>
      <x:c r="C68" s="23" t="n">
        <x:v>1405.98046875</x:v>
      </x:c>
      <x:c r="D68" s="23" t="n">
        <x:v>569.3338623046875</x:v>
      </x:c>
      <x:c r="E68" s="23" t="n">
        <x:v>562.6424967447916</x:v>
      </x:c>
      <x:c r="F68" s="23" t="n">
        <x:v>567.3776448567708</x:v>
      </x:c>
      <x:c r="G68" s="23" t="n">
        <x:v>565.4262288411458</x:v>
      </x:c>
      <x:c r="H68" s="23" t="n">
        <x:v>570.9319254557291</x:v>
      </x:c>
      <x:c r="I68" s="23" t="n">
        <x:v>1409.6249593098958</x:v>
      </x:c>
      <x:c r="J68" s="23" t="n">
        <x:v>583.5100504557291</x:v>
      </x:c>
      <x:c r="K68" s="23" t="n">
        <x:v>588.5491943359375</x:v>
      </x:c>
      <x:c r="L68" s="23" t="n">
        <x:v>591.6862386067708</x:v>
      </x:c>
      <x:c r="M68" s="23" t="n">
        <x:v>1425.5975748697915</x:v>
      </x:c>
      <x:c r="N68" s="23" t="n">
        <x:v>1430.7438151041665</x:v>
      </x:c>
      <x:c r="O68" s="23" t="n">
        <x:v>594.7873942057291</x:v>
      </x:c>
      <x:c r="P68" s="23" t="n">
        <x:v>585.3398030598958</x:v>
      </x:c>
      <x:c r="Q68" s="23" t="n">
        <x:v>592.5696614583333</x:v>
      </x:c>
      <x:c r="R68" s="23" t="n">
        <x:v>599.0469156901041</x:v>
      </x:c>
      <x:c r="S68" s="23" t="n">
        <x:v>593.1197509765625</x:v>
      </x:c>
      <x:c r="T68" s="23" t="n">
        <x:v>599.9237060546875</x:v>
      </x:c>
      <x:c r="U68" s="23" t="n">
        <x:v>597.3559163411458</x:v>
      </x:c>
      <x:c r="V68" s="23" t="n">
        <x:v>584.2887369791666</x:v>
      </x:c>
      <x:c r="W68" s="23" t="n">
        <x:v>592.5597330729166</x:v>
      </x:c>
      <x:c r="X68" s="23" t="n">
        <x:v>600.2318929036458</x:v>
      </x:c>
      <x:c r="Y68" s="23" t="n">
        <x:v>596.5552164713541</x:v>
      </x:c>
      <x:c r="Z68" s="23" t="n">
        <x:v>609.5968831380208</x:v>
      </x:c>
      <x:c r="AA68" s="23" t="n">
        <x:v>603.8991292317708</x:v>
      </x:c>
      <x:c r="AB68" s="23" t="n">
        <x:v>586.4305419921875</x:v>
      </x:c>
      <x:c r="AC68" s="23" t="n">
        <x:v>931.5695200575833</x:v>
      </x:c>
      <x:c r="AD68" s="23" t="n">
        <x:v>1439.105997721354</x:v>
      </x:c>
      <x:c r="AE68" s="23" t="n">
        <x:v>598.615966796875</x:v>
      </x:c>
      <x:c r="AF68" s="23" t="n">
        <x:v>592.2270914713541</x:v>
      </x:c>
      <x:c r="AG68" s="23" t="n">
        <x:v>599.3746891905712</x:v>
      </x:c>
      <x:c r="AH68" s="23" t="n">
        <x:v>614.0135498046875</x:v>
      </x:c>
      <x:c r="AI68" s="23" t="n">
        <x:v>1414.4553584930272</x:v>
      </x:c>
      <x:c r="AJ68" s="23" t="n">
        <x:v>630.8295718503252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190.2763626174322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0</x:v>
      </x:c>
      <x:c r="BQ68" s="23" t="n">
        <x:v>0</x:v>
      </x:c>
      <x:c r="BR68" s="23" t="n">
        <x:v>0</x:v>
      </x:c>
      <x:c r="BS68" s="23" t="n">
        <x:v>0</x:v>
      </x:c>
      <x:c r="BT68" s="23" t="n">
        <x:v>60.20006916882244</x:v>
      </x:c>
      <x:c r="BU68" s="23" t="n">
        <x:v>435.3914427754722</x:v>
      </x:c>
      <x:c r="BV68" s="23" t="n">
        <x:v>425.3325749326759</x:v>
      </x:c>
      <x:c r="BW68" s="23" t="n">
        <x:v>0</x:v>
      </x:c>
      <x:c r="BX68" s="23" t="n">
        <x:v>456.1518988174039</x:v>
      </x:c>
      <x:c r="BY68" s="23" t="n">
        <x:v>457.73738042479874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131.12821158329723</x:v>
      </x:c>
      <x:c r="CN68" s="23" t="n">
        <x:v>126.45587825075108</x:v>
      </x:c>
      <x:c r="CO68" s="23" t="n">
        <x:v>181.00972934216497</x:v>
      </x:c>
      <x:c r="CP68" s="23" t="n">
        <x:v>229.6787136261919</x:v>
      </x:c>
      <x:c r="CQ68" s="23" t="n">
        <x:v>273.3710203718721</x:v>
      </x:c>
      <x:c r="CR68" s="23" t="n">
        <x:v>312.62194257471083</x:v>
      </x:c>
      <x:c r="CS68" s="23" t="n">
        <x:v>359.29001239222043</x:v>
      </x:c>
      <x:c r="CT68" s="23" t="n">
        <x:v>413.0783135493384</x:v>
      </x:c>
      <x:c r="CU68" s="23" t="n">
        <x:v>466.8058328010462</x:v>
      </x:c>
      <x:c r="CV68" s="23" t="n">
        <x:v>510.7085880643133</x:v>
      </x:c>
      <x:c r="CW68" s="23" t="n">
        <x:v>572.5631057552459</x:v>
      </x:c>
      <x:c r="CX68" s="23" t="n">
        <x:v>623.9201665805258</x:v>
      </x:c>
      <x:c r="CY68" s="23" t="n">
        <x:v>644.54626190775</x:v>
      </x:c>
      <x:c r="CZ68" s="23" t="n">
        <x:v>724.5833457901773</x:v>
      </x:c>
      <x:c r="DA68" s="23" t="n">
        <x:v>769.6008400877108</x:v>
      </x:c>
      <x:c r="DB68" s="23" t="n">
        <x:v>826.6847179134566</x:v>
      </x:c>
      <x:c r="DC68" s="23" t="n">
        <x:v>899.6634825250621</x:v>
      </x:c>
      <x:c r="DD68" s="23" t="n">
        <x:v>833.6811650798063</x:v>
      </x:c>
      <x:c r="DE68" s="23" t="n">
        <x:v>0</x:v>
      </x:c>
      <x:c r="DF68" s="23" t="n">
        <x:v>0</x:v>
      </x:c>
      <x:c r="DG68" s="23" t="n">
        <x:v>708.2870702843436</x:v>
      </x:c>
      <x:c r="DH68" s="23" t="n">
        <x:v>715.9839680989583</x:v>
      </x:c>
      <x:c r="DI68" s="23" t="n">
        <x:v>711.9836434517134</x:v>
      </x:c>
      <x:c r="DJ68" s="23" t="n">
        <x:v>0</x:v>
      </x:c>
      <x:c r="DK68" s="23" t="n">
        <x:v>0</x:v>
      </x:c>
      <x:c r="DL68" s="23" t="n">
        <x:v>609.4292930865806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722.1486002604166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715.0022786458333</x:v>
      </x:c>
      <x:c r="DW68" s="23" t="n">
        <x:v>724.1787109375</x:v>
      </x:c>
      <x:c r="DX68" s="23" t="n">
        <x:v>733.4741717785492</x:v>
      </x:c>
      <x:c r="DY68" s="23" t="n">
        <x:v>722.7646484375</x:v>
      </x:c>
      <x:c r="DZ68" s="23" t="n">
        <x:v>714.154541015625</x:v>
      </x:c>
      <x:c r="EA68" s="23" t="n">
        <x:v>748.8094889322916</x:v>
      </x:c>
      <x:c r="EB68" s="23" t="n">
        <x:v>682.5833210677083</x:v>
      </x:c>
      <x:c r="EC68" s="23" t="n">
        <x:v>552.2696126302083</x:v>
      </x:c>
      <x:c r="ED68" s="23" t="n">
        <x:v>1379.5755208333333</x:v>
      </x:c>
      <x:c r="EE68" s="23" t="n">
        <x:v>554.1273193359375</x:v>
      </x:c>
      <x:c r="EF68" s="23" t="n">
        <x:v>859.6414399313591</x:v>
      </x:c>
      <x:c r="EG68" s="23" t="n">
        <x:v>561.0821126302083</x:v>
      </x:c>
      <x:c r="EH68" s="23" t="n">
        <x:v>1393.2894694010415</x:v>
      </x:c>
      <x:c r="EI68" s="23" t="n">
        <x:v>1392.7972005208333</x:v>
      </x:c>
      <x:c r="EJ68" s="23" t="n">
        <x:v>1394.0538330078125</x:v>
      </x:c>
      <x:c r="EK68" s="23" t="n">
        <x:v>562.7119954427083</x:v>
      </x:c>
      <x:c r="EL68" s="23" t="n">
        <x:v>1403.2887369791665</x:v>
      </x:c>
      <x:c r="EM68" s="23" t="n">
        <x:v>1397.6339925130208</x:v>
      </x:c>
      <x:c r="EN68" s="23" t="n">
        <x:v>558.6846110026041</x:v>
      </x:c>
      <x:c r="EO68" s="23" t="n">
        <x:v>561.6575927734375</x:v>
      </x:c>
      <x:c r="EP68" s="23" t="n">
        <x:f>SUM(B68:EO68)</x:f>
        <x:v>58003.282028376605</x:v>
      </x:c>
      <x:c r="EQ68" s="23" t="n">
        <x:f>SUMPRODUCT(B68:EO68,{0.447,0.4581,0.4438,0.4032,0.4057,0.436,0.4141,0.405,0.423,0.4173,0.4256,0.4446,0.4273,0.4034,0.4008,0.4155,0.408,0.3896,0.4133,0.4575,0.4659,0.4072,0.4069,0.4673,0.4711,0.4686,0.4794,0.4675,0.4692,0.4739,0.4358,0.4275,0.4356,0.4133,0.627,0.9686,1.0203,0.937,0.8889,0.8915,0.8724,0.82,0.7911,0.7899,0.7591,0.6832,0.8838,1.2275,1.2316,1.1604,1.1643,1.1254,1.0763,1.0384,0.991,0.9547,0.9446,0.9523,0.9406,0.9095,0.8952,0.9038,0.9218,0.899,0.6969,0.4396,0.4158,0.4461,0.4226,0.4086,0.3853,0.3684,0.4043,0.436,0.4004,0.3246,0.4925,0.7776,0.7622,0.7422,0.837,0.8592,0.8351,0.8492,0.9378,0.9471,0.9062,0.9639,0.8471,0.6178,0.639,0.7171,0.7289,0.7482,0.7777,0.7939,0.7878,0.8287,0.9024,0.9208,0.9102,0.9218,0.9834,1.0519,1.0767,1.0556,1.1278,1.2551,1.2629,1.27,1.3151,1.309,1.2736,1.2628,1.2971,1.2615,1.2047,1.2901,1.3572,1.3319,1.2962,1.2802,1.3087,1.3574,1.1843,0.9123,0.9196,0.9432,0.9056,0.9548,0.7625,0.4192,0.3819,0.4204,0.3941,0.4053,0.4514,0.4569,0.3626,0.3434,0.4007,0.3765,0.3977,0.4574})</x:f>
        <x:v>34947.91395880845</x:v>
      </x:c>
    </x:row>
    <x:row r="69" ht="14" customHeight="1">
      <x:c r="A69" s="3">
        <x:v>45756</x:v>
      </x:c>
      <x:c r="B69" s="23" t="n">
        <x:v>572.0831298828125</x:v>
      </x:c>
      <x:c r="C69" s="23" t="n">
        <x:v>1007.105046343235</x:v>
      </x:c>
      <x:c r="D69" s="23" t="n">
        <x:v>566.1880696614583</x:v>
      </x:c>
      <x:c r="E69" s="23" t="n">
        <x:v>1397.44775390625</x:v>
      </x:c>
      <x:c r="F69" s="23" t="n">
        <x:v>564.8262532552083</x:v>
      </x:c>
      <x:c r="G69" s="23" t="n">
        <x:v>570.9383951822916</x:v>
      </x:c>
      <x:c r="H69" s="23" t="n">
        <x:v>572.8899332682291</x:v>
      </x:c>
      <x:c r="I69" s="23" t="n">
        <x:v>575.3344319661458</x:v>
      </x:c>
      <x:c r="J69" s="23" t="n">
        <x:v>580.0615641276041</x:v>
      </x:c>
      <x:c r="K69" s="23" t="n">
        <x:v>1428.2251790364583</x:v>
      </x:c>
      <x:c r="L69" s="23" t="n">
        <x:v>594.5491129557291</x:v>
      </x:c>
      <x:c r="M69" s="23" t="n">
        <x:v>588.5252278645833</x:v>
      </x:c>
      <x:c r="N69" s="23" t="n">
        <x:v>588.1791585286458</x:v>
      </x:c>
      <x:c r="O69" s="23" t="n">
        <x:v>1421.4573974609375</x:v>
      </x:c>
      <x:c r="P69" s="23" t="n">
        <x:v>583.5960286458333</x:v>
      </x:c>
      <x:c r="Q69" s="23" t="n">
        <x:v>588.5340576171875</x:v>
      </x:c>
      <x:c r="R69" s="23" t="n">
        <x:v>585.1010335286458</x:v>
      </x:c>
      <x:c r="S69" s="23" t="n">
        <x:v>1427.5899658203125</x:v>
      </x:c>
      <x:c r="T69" s="23" t="n">
        <x:v>601.44091796875</x:v>
      </x:c>
      <x:c r="U69" s="23" t="n">
        <x:v>601.1493326822916</x:v>
      </x:c>
      <x:c r="V69" s="23" t="n">
        <x:v>595.0267740885416</x:v>
      </x:c>
      <x:c r="W69" s="23" t="n">
        <x:v>598.011962890625</x:v>
      </x:c>
      <x:c r="X69" s="23" t="n">
        <x:v>602.8271484375</x:v>
      </x:c>
      <x:c r="Y69" s="23" t="n">
        <x:v>596.24658203125</x:v>
      </x:c>
      <x:c r="Z69" s="23" t="n">
        <x:v>601.5342610677083</x:v>
      </x:c>
      <x:c r="AA69" s="23" t="n">
        <x:v>607.935546875</x:v>
      </x:c>
      <x:c r="AB69" s="23" t="n">
        <x:v>613.4766031901041</x:v>
      </x:c>
      <x:c r="AC69" s="23" t="n">
        <x:v>608.5136311848958</x:v>
      </x:c>
      <x:c r="AD69" s="23" t="n">
        <x:v>1437.2726236979165</x:v>
      </x:c>
      <x:c r="AE69" s="23" t="n">
        <x:v>596.7135009765625</x:v>
      </x:c>
      <x:c r="AF69" s="23" t="n">
        <x:v>592.2240397135416</x:v>
      </x:c>
      <x:c r="AG69" s="23" t="n">
        <x:v>601.9450636369668</x:v>
      </x:c>
      <x:c r="AH69" s="23" t="n">
        <x:v>612.1845296223958</x:v>
      </x:c>
      <x:c r="AI69" s="23" t="n">
        <x:v>1435.043986002604</x:v>
      </x:c>
      <x:c r="AJ69" s="23" t="n">
        <x:v>0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0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0</x:v>
      </x:c>
      <x:c r="BQ69" s="23" t="n">
        <x:v>0</x:v>
      </x:c>
      <x:c r="BR69" s="23" t="n">
        <x:v>474.81279226567676</x:v>
      </x:c>
      <x:c r="BS69" s="23" t="n">
        <x:v>0</x:v>
      </x:c>
      <x:c r="BT69" s="23" t="n">
        <x:v>0</x:v>
      </x:c>
      <x:c r="BU69" s="23" t="n">
        <x:v>404.70309900367585</x:v>
      </x:c>
      <x:c r="BV69" s="23" t="n">
        <x:v>418.2325150586536</x:v>
      </x:c>
      <x:c r="BW69" s="23" t="n">
        <x:v>174.3104339938975</x:v>
      </x:c>
      <x:c r="BX69" s="23" t="n">
        <x:v>397.4978300855024</x:v>
      </x:c>
      <x:c r="BY69" s="23" t="n">
        <x:v>415.39504535878586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69.39909511765887</x:v>
      </x:c>
      <x:c r="CN69" s="23" t="n">
        <x:v>107.4258980539577</x:v>
      </x:c>
      <x:c r="CO69" s="23" t="n">
        <x:v>151.95281474198737</x:v>
      </x:c>
      <x:c r="CP69" s="23" t="n">
        <x:v>201.23874400488194</x:v>
      </x:c>
      <x:c r="CQ69" s="23" t="n">
        <x:v>253.37206407665235</x:v>
      </x:c>
      <x:c r="CR69" s="23" t="n">
        <x:v>293.6053838412205</x:v>
      </x:c>
      <x:c r="CS69" s="23" t="n">
        <x:v>350.7742476706445</x:v>
      </x:c>
      <x:c r="CT69" s="23" t="n">
        <x:v>405.76342396500036</x:v>
      </x:c>
      <x:c r="CU69" s="23" t="n">
        <x:v>462.3552447177831</x:v>
      </x:c>
      <x:c r="CV69" s="23" t="n">
        <x:v>511.7931339731611</x:v>
      </x:c>
      <x:c r="CW69" s="23" t="n">
        <x:v>563.9223815212388</x:v>
      </x:c>
      <x:c r="CX69" s="23" t="n">
        <x:v>620.0841041584147</x:v>
      </x:c>
      <x:c r="CY69" s="23" t="n">
        <x:v>667.1749874511875</x:v>
      </x:c>
      <x:c r="CZ69" s="23" t="n">
        <x:v>725.3249309722697</x:v>
      </x:c>
      <x:c r="DA69" s="23" t="n">
        <x:v>779.2018013661224</x:v>
      </x:c>
      <x:c r="DB69" s="23" t="n">
        <x:v>826.4589785412481</x:v>
      </x:c>
      <x:c r="DC69" s="23" t="n">
        <x:v>898.7513463075771</x:v>
      </x:c>
      <x:c r="DD69" s="23" t="n">
        <x:v>833.8144300125971</x:v>
      </x:c>
      <x:c r="DE69" s="23" t="n">
        <x:v>7.006182004563167</x:v>
      </x:c>
      <x:c r="DF69" s="23" t="n">
        <x:v>679.7793308823941</x:v>
      </x:c>
      <x:c r="DG69" s="23" t="n">
        <x:v>718.5509440104166</x:v>
      </x:c>
      <x:c r="DH69" s="23" t="n">
        <x:v>0</x:v>
      </x:c>
      <x:c r="DI69" s="23" t="n">
        <x:v>716.0136062507795</x:v>
      </x:c>
      <x:c r="DJ69" s="23" t="n">
        <x:v>721.1426595052083</x:v>
      </x:c>
      <x:c r="DK69" s="23" t="n">
        <x:v>0</x:v>
      </x:c>
      <x:c r="DL69" s="23" t="n">
        <x:v>720.416259765625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724.07080078125</x:v>
      </x:c>
      <x:c r="DW69" s="23" t="n">
        <x:v>728.5694173177083</x:v>
      </x:c>
      <x:c r="DX69" s="23" t="n">
        <x:v>732.1666359712576</x:v>
      </x:c>
      <x:c r="DY69" s="23" t="n">
        <x:v>724.1346842447916</x:v>
      </x:c>
      <x:c r="DZ69" s="23" t="n">
        <x:v>725.6773274739583</x:v>
      </x:c>
      <x:c r="EA69" s="23" t="n">
        <x:v>743.0743001302083</x:v>
      </x:c>
      <x:c r="EB69" s="23" t="n">
        <x:v>666.6121296614583</x:v>
      </x:c>
      <x:c r="EC69" s="23" t="n">
        <x:v>850.2276215719842</x:v>
      </x:c>
      <x:c r="ED69" s="23" t="n">
        <x:v>1379.550048828125</x:v>
      </x:c>
      <x:c r="EE69" s="23" t="n">
        <x:v>553.678955078125</x:v>
      </x:c>
      <x:c r="EF69" s="23" t="n">
        <x:v>560.0302327473958</x:v>
      </x:c>
      <x:c r="EG69" s="23" t="n">
        <x:v>1392.3396809895833</x:v>
      </x:c>
      <x:c r="EH69" s="23" t="n">
        <x:v>1392.1962890625</x:v>
      </x:c>
      <x:c r="EI69" s="23" t="n">
        <x:v>562.1339518229166</x:v>
      </x:c>
      <x:c r="EJ69" s="23" t="n">
        <x:v>548.1901448567708</x:v>
      </x:c>
      <x:c r="EK69" s="23" t="n">
        <x:v>565.611083984375</x:v>
      </x:c>
      <x:c r="EL69" s="23" t="n">
        <x:v>568.2239176432291</x:v>
      </x:c>
      <x:c r="EM69" s="23" t="n">
        <x:v>1401.7191569010415</x:v>
      </x:c>
      <x:c r="EN69" s="23" t="n">
        <x:v>1397.2685139973958</x:v>
      </x:c>
      <x:c r="EO69" s="23" t="n">
        <x:v>1402.5123697916665</x:v>
      </x:c>
      <x:c r="EP69" s="23" t="n">
        <x:f>SUM(B69:EO69)</x:f>
        <x:v>57702.43921465275</x:v>
      </x:c>
      <x:c r="EQ69" s="23" t="n">
        <x:f>SUMPRODUCT(B69:EO69,{0.4143,0.409,0.4602,0.4355,0.3776,0.3771,0.4698,0.4748,0.3968,0.4094,0.4104,0.3763,0.398,0.4241,0.4289,0.4377,0.4306,0.4162,0.4282,0.441,0.4502,0.4746,0.4801,0.4671,0.4678,0.4532,0.4322,0.4424,0.4245,0.382,0.3843,0.4148,0.4157,0.3847,0.5959,0.9491,1.0297,0.9381,0.8552,0.8662,0.8883,0.8619,0.8027,0.7663,0.7247,0.6486,0.8473,1.181,1.1721,1.1155,1.1362,1.0626,1.0043,1.0187,1.0438,1.0466,1.0189,0.9762,0.96,0.9561,0.9142,0.8857,0.91,0.9455,0.7933,0.564,0.5744,0.5864,0.5241,0.5479,0.5482,0.4886,0.4569,0.4631,0.4553,0.416,0.6064,0.9216,0.9636,0.9004,0.8773,0.8748,0.8935,0.9279,0.9605,0.9763,1.0052,1.0602,0.9269,0.6889,0.6736,0.7671,0.8229,0.8082,0.8141,0.8412,0.8156,0.8431,0.9036,0.8714,0.8757,0.9514,0.9954,0.9964,0.9899,1.0298,1.1497,1.2765,1.2859,1.2504,1.2191,1.1832,1.197,1.2535,1.2809,1.2637,1.25,1.2957,1.2982,1.2572,1.272,1.2756,1.2759,1.321,1.1679,0.9089,0.8983,0.9104,0.8937,0.9859,0.8141,0.4493,0.3756,0.4338,0.4622,0.4596,0.4147,0.3771,0.4227,0.4697,0.4612,0.4171,0.3983,0.405})</x:f>
        <x:v>34542.55122788266</x:v>
      </x:c>
    </x:row>
    <x:row r="70" ht="14" customHeight="1">
      <x:c r="A70" s="3">
        <x:v>45757</x:v>
      </x:c>
      <x:c r="B70" s="23" t="n">
        <x:v>1401.370402018229</x:v>
      </x:c>
      <x:c r="C70" s="23" t="n">
        <x:v>572.5480143229166</x:v>
      </x:c>
      <x:c r="D70" s="23" t="n">
        <x:v>570.4530029296875</x:v>
      </x:c>
      <x:c r="E70" s="23" t="n">
        <x:v>1402.7840576171875</x:v>
      </x:c>
      <x:c r="F70" s="23" t="n">
        <x:v>1402.80224609375</x:v>
      </x:c>
      <x:c r="G70" s="23" t="n">
        <x:v>567.5060221354166</x:v>
      </x:c>
      <x:c r="H70" s="23" t="n">
        <x:v>571.5679524739583</x:v>
      </x:c>
      <x:c r="I70" s="23" t="n">
        <x:v>574.7006022135416</x:v>
      </x:c>
      <x:c r="J70" s="23" t="n">
        <x:v>595.0931803385416</x:v>
      </x:c>
      <x:c r="K70" s="23" t="n">
        <x:v>589.4097086588541</x:v>
      </x:c>
      <x:c r="L70" s="23" t="n">
        <x:v>587.3198649088541</x:v>
      </x:c>
      <x:c r="M70" s="23" t="n">
        <x:v>591.4684651692708</x:v>
      </x:c>
      <x:c r="N70" s="23" t="n">
        <x:v>596.1189371744791</x:v>
      </x:c>
      <x:c r="O70" s="23" t="n">
        <x:v>592.5190022786458</x:v>
      </x:c>
      <x:c r="P70" s="23" t="n">
        <x:v>595.1526692708333</x:v>
      </x:c>
      <x:c r="Q70" s="23" t="n">
        <x:v>601.1915690104166</x:v>
      </x:c>
      <x:c r="R70" s="23" t="n">
        <x:v>602.2419840494791</x:v>
      </x:c>
      <x:c r="S70" s="23" t="n">
        <x:v>1430.2433675130208</x:v>
      </x:c>
      <x:c r="T70" s="23" t="n">
        <x:v>1421.9579671223958</x:v>
      </x:c>
      <x:c r="U70" s="23" t="n">
        <x:v>1014.0145261477614</x:v>
      </x:c>
      <x:c r="V70" s="23" t="n">
        <x:v>594.2608235677083</x:v>
      </x:c>
      <x:c r="W70" s="23" t="n">
        <x:v>593.6764729817708</x:v>
      </x:c>
      <x:c r="X70" s="23" t="n">
        <x:v>601.8094889322916</x:v>
      </x:c>
      <x:c r="Y70" s="23" t="n">
        <x:v>606.2352294921875</x:v>
      </x:c>
      <x:c r="Z70" s="23" t="n">
        <x:v>601.329833984375</x:v>
      </x:c>
      <x:c r="AA70" s="23" t="n">
        <x:v>597.3809407552083</x:v>
      </x:c>
      <x:c r="AB70" s="23" t="n">
        <x:v>609.6836344401041</x:v>
      </x:c>
      <x:c r="AC70" s="23" t="n">
        <x:v>608.8079020182291</x:v>
      </x:c>
      <x:c r="AD70" s="23" t="n">
        <x:v>606.6036376953125</x:v>
      </x:c>
      <x:c r="AE70" s="23" t="n">
        <x:v>601.3304443359375</x:v>
      </x:c>
      <x:c r="AF70" s="23" t="n">
        <x:v>600.5148518880208</x:v>
      </x:c>
      <x:c r="AG70" s="23" t="n">
        <x:v>596.3952931884389</x:v>
      </x:c>
      <x:c r="AH70" s="23" t="n">
        <x:v>605.9250895182291</x:v>
      </x:c>
      <x:c r="AI70" s="23" t="n">
        <x:v>1423.4666341145833</x:v>
      </x:c>
      <x:c r="AJ70" s="23" t="n">
        <x:v>438.8741385363869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0</x:v>
      </x:c>
      <x:c r="BQ70" s="23" t="n">
        <x:v>0</x:v>
      </x:c>
      <x:c r="BR70" s="23" t="n">
        <x:v>0</x:v>
      </x:c>
      <x:c r="BS70" s="23" t="n">
        <x:v>0</x:v>
      </x:c>
      <x:c r="BT70" s="23" t="n">
        <x:v>0</x:v>
      </x:c>
      <x:c r="BU70" s="23" t="n">
        <x:v>433.4941180275255</x:v>
      </x:c>
      <x:c r="BV70" s="23" t="n">
        <x:v>382.4220544510141</x:v>
      </x:c>
      <x:c r="BW70" s="23" t="n">
        <x:v>397.4884401341763</x:v>
      </x:c>
      <x:c r="BX70" s="23" t="n">
        <x:v>428.4790176154141</x:v>
      </x:c>
      <x:c r="BY70" s="23" t="n">
        <x:v>431.71828189027775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65.16255823243682</x:v>
      </x:c>
      <x:c r="CN70" s="23" t="n">
        <x:v>153.88997863713126</x:v>
      </x:c>
      <x:c r="CO70" s="23" t="n">
        <x:v>170.68520244151324</x:v>
      </x:c>
      <x:c r="CP70" s="23" t="n">
        <x:v>217.1823491371195</x:v>
      </x:c>
      <x:c r="CQ70" s="23" t="n">
        <x:v>279.1328598071377</x:v>
      </x:c>
      <x:c r="CR70" s="23" t="n">
        <x:v>325.3276895161874</x:v>
      </x:c>
      <x:c r="CS70" s="23" t="n">
        <x:v>371.0319047506892</x:v>
      </x:c>
      <x:c r="CT70" s="23" t="n">
        <x:v>421.2992776082531</x:v>
      </x:c>
      <x:c r="CU70" s="23" t="n">
        <x:v>469.98932949970737</x:v>
      </x:c>
      <x:c r="CV70" s="23" t="n">
        <x:v>521.1280268550722</x:v>
      </x:c>
      <x:c r="CW70" s="23" t="n">
        <x:v>564.6358326957148</x:v>
      </x:c>
      <x:c r="CX70" s="23" t="n">
        <x:v>612.7433704392188</x:v>
      </x:c>
      <x:c r="CY70" s="23" t="n">
        <x:v>665.8733408296306</x:v>
      </x:c>
      <x:c r="CZ70" s="23" t="n">
        <x:v>724.67691178534</x:v>
      </x:c>
      <x:c r="DA70" s="23" t="n">
        <x:v>772.5436615823621</x:v>
      </x:c>
      <x:c r="DB70" s="23" t="n">
        <x:v>820.8076913679904</x:v>
      </x:c>
      <x:c r="DC70" s="23" t="n">
        <x:v>900.4584630945361</x:v>
      </x:c>
      <x:c r="DD70" s="23" t="n">
        <x:v>816.8164349455807</x:v>
      </x:c>
      <x:c r="DE70" s="23" t="n">
        <x:v>0</x:v>
      </x:c>
      <x:c r="DF70" s="23" t="n">
        <x:v>0</x:v>
      </x:c>
      <x:c r="DG70" s="23" t="n">
        <x:v>716.3671875</x:v>
      </x:c>
      <x:c r="DH70" s="23" t="n">
        <x:v>721.744140625</x:v>
      </x:c>
      <x:c r="DI70" s="23" t="n">
        <x:v>709.5741656538478</x:v>
      </x:c>
      <x:c r="DJ70" s="23" t="n">
        <x:v>720.73046875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622.1803850674393</x:v>
      </x:c>
      <x:c r="DT70" s="23" t="n">
        <x:v>0</x:v>
      </x:c>
      <x:c r="DU70" s="23" t="n">
        <x:v>0</x:v>
      </x:c>
      <x:c r="DV70" s="23" t="n">
        <x:v>721.634521484375</x:v>
      </x:c>
      <x:c r="DW70" s="23" t="n">
        <x:v>732.2367857108409</x:v>
      </x:c>
      <x:c r="DX70" s="23" t="n">
        <x:v>727.9776204427083</x:v>
      </x:c>
      <x:c r="DY70" s="23" t="n">
        <x:v>725.3006998697916</x:v>
      </x:c>
      <x:c r="DZ70" s="23" t="n">
        <x:v>726.0716959635416</x:v>
      </x:c>
      <x:c r="EA70" s="23" t="n">
        <x:v>748.5076497395833</x:v>
      </x:c>
      <x:c r="EB70" s="23" t="n">
        <x:v>681.1041137109376</x:v>
      </x:c>
      <x:c r="EC70" s="23" t="n">
        <x:v>550.7362874348958</x:v>
      </x:c>
      <x:c r="ED70" s="23" t="n">
        <x:v>1377.901652018229</x:v>
      </x:c>
      <x:c r="EE70" s="23" t="n">
        <x:v>861.7244477438592</x:v>
      </x:c>
      <x:c r="EF70" s="23" t="n">
        <x:v>1376.8483479817708</x:v>
      </x:c>
      <x:c r="EG70" s="23" t="n">
        <x:v>1393.0235188802083</x:v>
      </x:c>
      <x:c r="EH70" s="23" t="n">
        <x:v>564.2007242838541</x:v>
      </x:c>
      <x:c r="EI70" s="23" t="n">
        <x:v>562.1847737630208</x:v>
      </x:c>
      <x:c r="EJ70" s="23" t="n">
        <x:v>562.7090657552083</x:v>
      </x:c>
      <x:c r="EK70" s="23" t="n">
        <x:v>564.3829752604166</x:v>
      </x:c>
      <x:c r="EL70" s="23" t="n">
        <x:v>1401.1398518880208</x:v>
      </x:c>
      <x:c r="EM70" s="23" t="n">
        <x:v>580.0072021484375</x:v>
      </x:c>
      <x:c r="EN70" s="23" t="n">
        <x:v>1375.7618408203125</x:v>
      </x:c>
      <x:c r="EO70" s="23" t="n">
        <x:v>1255.0501302083333</x:v>
      </x:c>
      <x:c r="EP70" s="23" t="n">
        <x:f>SUM(B70:EO70)</x:f>
        <x:v>57892.8450049447</x:v>
      </x:c>
      <x:c r="EQ70" s="23" t="n">
        <x:f>SUMPRODUCT(B70:EO70,{0.3872,0.3772,0.4048,0.4592,0.4674,0.4366,0.4431,0.459,0.4599,0.455,0.4613,0.4573,0.408,0.382,0.4104,0.453,0.4417,0.3938,0.3946,0.4337,0.4785,0.4976,0.4568,0.4033,0.4284,0.4727,0.4838,0.4581,0.406,0.3922,0.479,0.519,0.4343,0.3341,0.5596,0.9571,1.0025,0.8906,0.8334,0.8471,0.8409,0.8036,0.8039,0.8117,0.7543,0.6422,0.8608,1.256,1.2582,1.1561,1.1224,1.044,1.0095,1.043,1.0683,1.0804,1.0642,1.0024,0.9809,0.9946,0.9545,0.9023,0.8872,0.8912,0.7459,0.5156,0.4428,0.4101,0.377,0.4211,0.4216,0.3605,0.3459,0.3736,0.3912,0.3845,0.5528,0.8239,0.8952,0.8397,0.7995,0.8446,0.8774,0.8624,0.8604,0.9013,0.9702,0.9998,0.8716,0.6808,0.667,0.7427,0.7887,0.7696,0.7717,0.8287,0.8948,0.9395,0.9332,0.8724,0.8651,0.9305,0.9869,1.0151,1.0203,1.0302,1.1257,1.2651,1.307,1.2593,1.2166,1.266,1.2804,1.2527,1.2999,1.3433,1.3354,1.3089,1.2887,1.2822,1.2784,1.2552,1.2507,1.2984,1.1766,0.9574,0.9477,0.9711,0.9547,0.9664,0.7446,0.4197,0.4187,0.462,0.4092,0.3999,0.4118,0.4175,0.4234,0.4188,0.4266,0.4645,0.3909,0.2828})</x:f>
        <x:v>34629.08459019739</x:v>
      </x:c>
    </x:row>
    <x:row r="71" ht="14" customHeight="1">
      <x:c r="A71" s="3">
        <x:v>45758</x:v>
      </x:c>
      <x:c r="B71" s="23" t="n">
        <x:v>405.658447265625</x:v>
      </x:c>
      <x:c r="C71" s="23" t="n">
        <x:v>412.934814453125</x:v>
      </x:c>
      <x:c r="D71" s="23" t="n">
        <x:v>409.23990885416663</x:v>
      </x:c>
      <x:c r="E71" s="23" t="n">
        <x:v>407.859375</x:v>
      </x:c>
      <x:c r="F71" s="23" t="n">
        <x:v>0</x:v>
      </x:c>
      <x:c r="G71" s="23" t="n">
        <x:v>0</x:v>
      </x:c>
      <x:c r="H71" s="23" t="n">
        <x:v>407.7780354817708</x:v>
      </x:c>
      <x:c r="I71" s="23" t="n">
        <x:v>413.410888671875</x:v>
      </x:c>
      <x:c r="J71" s="23" t="n">
        <x:v>431.4555257161458</x:v>
      </x:c>
      <x:c r="K71" s="23" t="n">
        <x:v>0</x:v>
      </x:c>
      <x:c r="L71" s="23" t="n">
        <x:v>0</x:v>
      </x:c>
      <x:c r="M71" s="23" t="n">
        <x:v>435.8819173177083</x:v>
      </x:c>
      <x:c r="N71" s="23" t="n">
        <x:v>424.9222412109375</x:v>
      </x:c>
      <x:c r="O71" s="23" t="n">
        <x:v>415.181884765625</x:v>
      </x:c>
      <x:c r="P71" s="23" t="n">
        <x:v>424.3492024739583</x:v>
      </x:c>
      <x:c r="Q71" s="23" t="n">
        <x:v>436.4705810546875</x:v>
      </x:c>
      <x:c r="R71" s="23" t="n">
        <x:v>439.9606526692708</x:v>
      </x:c>
      <x:c r="S71" s="23" t="n">
        <x:v>435.40494791666663</x:v>
      </x:c>
      <x:c r="T71" s="23" t="n">
        <x:v>441.1398518880208</x:v>
      </x:c>
      <x:c r="U71" s="23" t="n">
        <x:v>440.3034261067708</x:v>
      </x:c>
      <x:c r="V71" s="23" t="n">
        <x:v>437.351318359375</x:v>
      </x:c>
      <x:c r="W71" s="23" t="n">
        <x:v>441.569091796875</x:v>
      </x:c>
      <x:c r="X71" s="23" t="n">
        <x:v>449.58475748697913</x:v>
      </x:c>
      <x:c r="Y71" s="23" t="n">
        <x:v>452.62040201822913</x:v>
      </x:c>
      <x:c r="Z71" s="23" t="n">
        <x:v>451.7303059895833</x:v>
      </x:c>
      <x:c r="AA71" s="23" t="n">
        <x:v>450.5946858723958</x:v>
      </x:c>
      <x:c r="AB71" s="23" t="n">
        <x:v>454.95487467447913</x:v>
      </x:c>
      <x:c r="AC71" s="23" t="n">
        <x:v>459.3538818359375</x:v>
      </x:c>
      <x:c r="AD71" s="23" t="n">
        <x:v>458.7262776692708</x:v>
      </x:c>
      <x:c r="AE71" s="23" t="n">
        <x:v>0</x:v>
      </x:c>
      <x:c r="AF71" s="23" t="n">
        <x:v>434.81742350260413</x:v>
      </x:c>
      <x:c r="AG71" s="23" t="n">
        <x:v>434.28808198091747</x:v>
      </x:c>
      <x:c r="AH71" s="23" t="n">
        <x:v>442.1126708984375</x:v>
      </x:c>
      <x:c r="AI71" s="23" t="n">
        <x:v>928.4474129121327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46.450491527429065</x:v>
      </x:c>
      <x:c r="CW71" s="23" t="n">
        <x:v>112.25629149962197</x:v>
      </x:c>
      <x:c r="CX71" s="23" t="n">
        <x:v>124.590974742962</x:v>
      </x:c>
      <x:c r="CY71" s="23" t="n">
        <x:v>95.90802059855073</x:v>
      </x:c>
      <x:c r="CZ71" s="23" t="n">
        <x:v>146.8043898837707</x:v>
      </x:c>
      <x:c r="DA71" s="23" t="n">
        <x:v>199.3379336862438</x:v>
      </x:c>
      <x:c r="DB71" s="23" t="n">
        <x:v>249.07039854900313</x:v>
      </x:c>
      <x:c r="DC71" s="23" t="n">
        <x:v>303.1212496766589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456.4451497395833</x:v>
      </x:c>
      <x:c r="DX71" s="23" t="n">
        <x:v>455.9375813802083</x:v>
      </x:c>
      <x:c r="DY71" s="23" t="n">
        <x:v>252.29861189498968</x:v>
      </x:c>
      <x:c r="DZ71" s="23" t="n">
        <x:v>462.8495686848958</x:v>
      </x:c>
      <x:c r="EA71" s="23" t="n">
        <x:v>464.7967122395833</x:v>
      </x:c>
      <x:c r="EB71" s="23" t="n">
        <x:v>452.56046549479163</x:v>
      </x:c>
      <x:c r="EC71" s="23" t="n">
        <x:v>1218.23095703125</x:v>
      </x:c>
      <x:c r="ED71" s="23" t="n">
        <x:v>1214.7625732421875</x:v>
      </x:c>
      <x:c r="EE71" s="23" t="n">
        <x:v>1221.7642822265625</x:v>
      </x:c>
      <x:c r="EF71" s="23" t="n">
        <x:v>391.6982421875</x:v>
      </x:c>
      <x:c r="EG71" s="23" t="n">
        <x:v>392.638427734375</x:v>
      </x:c>
      <x:c r="EH71" s="23" t="n">
        <x:v>395.81766764322913</x:v>
      </x:c>
      <x:c r="EI71" s="23" t="n">
        <x:v>389.8136800130208</x:v>
      </x:c>
      <x:c r="EJ71" s="23" t="n">
        <x:v>388.5205078125</x:v>
      </x:c>
      <x:c r="EK71" s="23" t="n">
        <x:v>1238.9413248697915</x:v>
      </x:c>
      <x:c r="EL71" s="23" t="n">
        <x:v>1248.4525960286458</x:v>
      </x:c>
      <x:c r="EM71" s="23" t="n">
        <x:v>713.6540260939109</x:v>
      </x:c>
      <x:c r="EN71" s="23" t="n">
        <x:v>1241.448486328125</x:v>
      </x:c>
      <x:c r="EO71" s="23" t="n">
        <x:v>410.23588053385413</x:v>
      </x:c>
      <x:c r="EP71" s="23" t="n">
        <x:f>SUM(B71:EO71)</x:f>
        <x:v>27366.50937718682</x:v>
      </x:c>
      <x:c r="EQ71" s="23" t="n">
        <x:f>SUMPRODUCT(B71:EO71,{0.361,0.3992,0.3207,0.2837,0.3258,0.3772,0.3447,0.3321,0.3739,0.3988,0.3897,0.3723,0.3765,0.3435,0.3034,0.3426,0.3353,0.2809,0.3099,0.3638,0.3765,0.3449,0.3467,0.3785,0.3662,0.355,0.3779,0.4097,0.3699,0.3013,0.3355,0.4118,0.4209,0.3384,0.4572,0.7207,0.7665,0.7194,0.6813,0.6293,0.6323,0.6621,0.6191,0.6005,0.5967,0.5293,0.6585,0.8791,0.8071,0.7343,0.766,0.7253,0.7398,0.7974,0.7393,0.6934,0.6977,0.6629,0.6433,0.6511,0.6346,0.6093,0.6077,0.6165,0.4568,0.2059,0.1478,0.2049,0.2471,0.216,0.1763,0.1676,0.1696,0.1468,0.1092,0.1175,0.2349,0.4046,0.4878,0.4975,0.4955,0.5265,0.5331,0.5143,0.5337,0.5856,0.6274,0.6037,0.4896,0.3702,0.3797,0.4413,0.4487,0.3736,0.3941,0.5063,0.5391,0.5801,0.6381,0.6147,0.5614,0.5437,0.5842,0.6351,0.6527,0.6613,0.8576,1.1192,1.113,1.0938,1.1454,1.1029,1.0865,1.134,1.1471,1.1145,1.0869,1.1177,1.1233,1.1039,1.1315,1.0973,1.048,1.1124,0.9632,0.6881,0.7233,0.7873,0.7698,0.8092,0.6348,0.3294,0.2921,0.3533,0.3528,0.3025,0.2768,0.3022,0.346,0.3818,0.3662,0.2785,0.257,0.2937})</x:f>
        <x:v>10664.963161852032</x:v>
      </x:c>
    </x:row>
    <x:row r="72" ht="14" customHeight="1">
      <x:c r="A72" s="3">
        <x:v>45759</x:v>
      </x:c>
      <x:c r="B72" s="23" t="n">
        <x:v>410.35758463541663</x:v>
      </x:c>
      <x:c r="C72" s="23" t="n">
        <x:v>407.30224609375</x:v>
      </x:c>
      <x:c r="D72" s="23" t="n">
        <x:v>415.55924479166663</x:v>
      </x:c>
      <x:c r="E72" s="23" t="n">
        <x:v>406.46512858072913</x:v>
      </x:c>
      <x:c r="F72" s="23" t="n">
        <x:v>409.4325764973958</x:v>
      </x:c>
      <x:c r="G72" s="23" t="n">
        <x:v>420.3846435546875</x:v>
      </x:c>
      <x:c r="H72" s="23" t="n">
        <x:v>416.2860921223958</x:v>
      </x:c>
      <x:c r="I72" s="23" t="n">
        <x:v>0</x:v>
      </x:c>
      <x:c r="J72" s="23" t="n">
        <x:v>436.6573486328125</x:v>
      </x:c>
      <x:c r="K72" s="23" t="n">
        <x:v>437.736328125</x:v>
      </x:c>
      <x:c r="L72" s="23" t="n">
        <x:v>20.36703320288317</x:v>
      </x:c>
      <x:c r="M72" s="23" t="n">
        <x:v>428.38077799479163</x:v>
      </x:c>
      <x:c r="N72" s="23" t="n">
        <x:v>424.5473225911458</x:v>
      </x:c>
      <x:c r="O72" s="23" t="n">
        <x:v>426.92887369791663</x:v>
      </x:c>
      <x:c r="P72" s="23" t="n">
        <x:v>427.63330078125</x:v>
      </x:c>
      <x:c r="Q72" s="23" t="n">
        <x:v>430.45817057291663</x:v>
      </x:c>
      <x:c r="R72" s="23" t="n">
        <x:v>427.6525472005208</x:v>
      </x:c>
      <x:c r="S72" s="23" t="n">
        <x:v>429.8868408203125</x:v>
      </x:c>
      <x:c r="T72" s="23" t="n">
        <x:v>432.2180989583333</x:v>
      </x:c>
      <x:c r="U72" s="23" t="n">
        <x:v>441.9468587239583</x:v>
      </x:c>
      <x:c r="V72" s="23" t="n">
        <x:v>444.62744140625</x:v>
      </x:c>
      <x:c r="W72" s="23" t="n">
        <x:v>450.49564615885413</x:v>
      </x:c>
      <x:c r="X72" s="23" t="n">
        <x:v>450.0297444661458</x:v>
      </x:c>
      <x:c r="Y72" s="23" t="n">
        <x:v>452.4383138020833</x:v>
      </x:c>
      <x:c r="Z72" s="23" t="n">
        <x:v>447.824462890625</x:v>
      </x:c>
      <x:c r="AA72" s="23" t="n">
        <x:v>449.14322916666663</x:v>
      </x:c>
      <x:c r="AB72" s="23" t="n">
        <x:v>0</x:v>
      </x:c>
      <x:c r="AC72" s="23" t="n">
        <x:v>450.40104166666663</x:v>
      </x:c>
      <x:c r="AD72" s="23" t="n">
        <x:v>450.56217447916663</x:v>
      </x:c>
      <x:c r="AE72" s="23" t="n">
        <x:v>0</x:v>
      </x:c>
      <x:c r="AF72" s="23" t="n">
        <x:v>449.5927327473958</x:v>
      </x:c>
      <x:c r="AG72" s="23" t="n">
        <x:v>446.146607277791</x:v>
      </x:c>
      <x:c r="AH72" s="23" t="n">
        <x:v>450.8857014973958</x:v>
      </x:c>
      <x:c r="AI72" s="23" t="n">
        <x:v>429.02240401077813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6.650377517575558</x:v>
      </x:c>
      <x:c r="CV72" s="23" t="n">
        <x:v>53.94072533355529</x:v>
      </x:c>
      <x:c r="CW72" s="23" t="n">
        <x:v>96.81909977935098</x:v>
      </x:c>
      <x:c r="CX72" s="23" t="n">
        <x:v>103.20073213613537</x:v>
      </x:c>
      <x:c r="CY72" s="23" t="n">
        <x:v>97.09673978217923</x:v>
      </x:c>
      <x:c r="CZ72" s="23" t="n">
        <x:v>152.24182732073567</x:v>
      </x:c>
      <x:c r="DA72" s="23" t="n">
        <x:v>204.95868393076938</x:v>
      </x:c>
      <x:c r="DB72" s="23" t="n">
        <x:v>249.38403063672206</x:v>
      </x:c>
      <x:c r="DC72" s="23" t="n">
        <x:v>298.8913184998868</x:v>
      </x:c>
      <x:c r="DD72" s="23" t="n">
        <x:v>261.893765021014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452.53466796875</x:v>
      </x:c>
      <x:c r="DX72" s="23" t="n">
        <x:v>456.0663655598958</x:v>
      </x:c>
      <x:c r="DY72" s="23" t="n">
        <x:v>0</x:v>
      </x:c>
      <x:c r="DZ72" s="23" t="n">
        <x:v>462.8383382161458</x:v>
      </x:c>
      <x:c r="EA72" s="23" t="n">
        <x:v>457.37919108072913</x:v>
      </x:c>
      <x:c r="EB72" s="23" t="n">
        <x:v>439.11848462239595</x:v>
      </x:c>
      <x:c r="EC72" s="23" t="n">
        <x:v>1238.9936116536458</x:v>
      </x:c>
      <x:c r="ED72" s="23" t="n">
        <x:v>1230.76318359375</x:v>
      </x:c>
      <x:c r="EE72" s="23" t="n">
        <x:v>396.8290608723958</x:v>
      </x:c>
      <x:c r="EF72" s="23" t="n">
        <x:v>1240.7328694661458</x:v>
      </x:c>
      <x:c r="EG72" s="23" t="n">
        <x:v>407.86661783854163</x:v>
      </x:c>
      <x:c r="EH72" s="23" t="n">
        <x:v>400.07218424479163</x:v>
      </x:c>
      <x:c r="EI72" s="23" t="n">
        <x:v>1225.7482503255208</x:v>
      </x:c>
      <x:c r="EJ72" s="23" t="n">
        <x:v>1230.9258626302083</x:v>
      </x:c>
      <x:c r="EK72" s="23" t="n">
        <x:v>590.6646176938657</x:v>
      </x:c>
      <x:c r="EL72" s="23" t="n">
        <x:v>416.1535237630208</x:v>
      </x:c>
      <x:c r="EM72" s="23" t="n">
        <x:v>1237.658732096354</x:v>
      </x:c>
      <x:c r="EN72" s="23" t="n">
        <x:v>1274.7018229166665</x:v>
      </x:c>
      <x:c r="EO72" s="23" t="n">
        <x:v>0</x:v>
      </x:c>
      <x:c r="EP72" s="23" t="n">
        <x:f>SUM(B72:EO72)</x:f>
        <x:v>27705.49520164845</x:v>
      </x:c>
      <x:c r="EQ72" s="23" t="n">
        <x:f>SUMPRODUCT(B72:EO72,{0.2543,0.2369,0.2853,0.3343,0.3442,0.3386,0.3672,0.368,0.3465,0.3691,0.3653,0.3105,0.263,0.2847,0.3444,0.348,0.3232,0.3154,0.3371,0.3297,0.3117,0.3539,0.365,0.3298,0.3272,0.3439,0.3576,0.3601,0.3385,0.3077,0.3047,0.3365,0.3509,0.3186,0.4932,0.7725,0.768,0.6468,0.5911,0.6224,0.6365,0.6092,0.6037,0.5933,0.5408,0.4736,0.6073,0.8269,0.7884,0.7294,0.7432,0.6885,0.6592,0.7077,0.7783,0.7997,0.7395,0.6327,0.6081,0.6526,0.6332,0.5976,0.6151,0.672,0.5391,0.2937,0.2544,0.2743,0.2585,0.26,0.2389,0.226,0.2983,0.3407,0.2887,0.214,0.3172,0.5327,0.5873,0.5631,0.5681,0.6219,0.6586,0.6548,0.6425,0.6267,0.6714,0.8048,0.6712,0.3647,0.3585,0.4619,0.5089,0.5241,0.5116,0.499,0.5248,0.5478,0.5756,0.6405,0.6101,0.5346,0.603,0.6666,0.6619,0.6924,0.8386,1.0306,1.1068,1.1082,1.1045,1.1273,1.1481,1.1428,1.1187,1.1299,1.1558,1.1256,1.1065,1.1161,1.1015,1.0682,1.076,1.1411,0.9726,0.6863,0.7064,0.7679,0.7431,0.7455,0.6044,0.3631,0.2752,0.2877,0.3285,0.3758,0.369,0.3331,0.3452,0.3158,0.2759,0.3563,0.4386,0.465})</x:f>
        <x:v>10609.998789132336</x:v>
      </x:c>
    </x:row>
    <x:row r="73" ht="14" customHeight="1">
      <x:c r="A73" s="3">
        <x:v>45760</x:v>
      </x:c>
      <x:c r="B73" s="23" t="n">
        <x:v>578.1565348307291</x:v>
      </x:c>
      <x:c r="C73" s="23" t="n">
        <x:v>563.6704508463541</x:v>
      </x:c>
      <x:c r="D73" s="23" t="n">
        <x:v>1378.6102701822915</x:v>
      </x:c>
      <x:c r="E73" s="23" t="n">
        <x:v>1396.7974446614583</x:v>
      </x:c>
      <x:c r="F73" s="23" t="n">
        <x:v>575.6662190755208</x:v>
      </x:c>
      <x:c r="G73" s="23" t="n">
        <x:v>571.3668212890625</x:v>
      </x:c>
      <x:c r="H73" s="23" t="n">
        <x:v>1400.540079752604</x:v>
      </x:c>
      <x:c r="I73" s="23" t="n">
        <x:v>566.8389485677083</x:v>
      </x:c>
      <x:c r="J73" s="23" t="n">
        <x:v>569.4628092447916</x:v>
      </x:c>
      <x:c r="K73" s="23" t="n">
        <x:v>589.3695475260416</x:v>
      </x:c>
      <x:c r="L73" s="23" t="n">
        <x:v>590.3548177083333</x:v>
      </x:c>
      <x:c r="M73" s="23" t="n">
        <x:v>602.4693603515625</x:v>
      </x:c>
      <x:c r="N73" s="23" t="n">
        <x:v>592.4305013020833</x:v>
      </x:c>
      <x:c r="O73" s="23" t="n">
        <x:v>1419.4766845703125</x:v>
      </x:c>
      <x:c r="P73" s="23" t="n">
        <x:v>941.2952056228032</x:v>
      </x:c>
      <x:c r="Q73" s="23" t="n">
        <x:v>583.3803304036458</x:v>
      </x:c>
      <x:c r="R73" s="23" t="n">
        <x:v>590.4101155598958</x:v>
      </x:c>
      <x:c r="S73" s="23" t="n">
        <x:v>1424.947998046875</x:v>
      </x:c>
      <x:c r="T73" s="23" t="n">
        <x:v>590.3224690755208</x:v>
      </x:c>
      <x:c r="U73" s="23" t="n">
        <x:v>595.7262776692708</x:v>
      </x:c>
      <x:c r="V73" s="23" t="n">
        <x:v>592.0382893880208</x:v>
      </x:c>
      <x:c r="W73" s="23" t="n">
        <x:v>603.8588460286458</x:v>
      </x:c>
      <x:c r="X73" s="23" t="n">
        <x:v>618.8330891927083</x:v>
      </x:c>
      <x:c r="Y73" s="23" t="n">
        <x:v>609.7679036458333</x:v>
      </x:c>
      <x:c r="Z73" s="23" t="n">
        <x:v>603.4949544270833</x:v>
      </x:c>
      <x:c r="AA73" s="23" t="n">
        <x:v>596.5750732421875</x:v>
      </x:c>
      <x:c r="AB73" s="23" t="n">
        <x:v>601.1448160807291</x:v>
      </x:c>
      <x:c r="AC73" s="23" t="n">
        <x:v>596.6878255208333</x:v>
      </x:c>
      <x:c r="AD73" s="23" t="n">
        <x:v>602.259033203125</x:v>
      </x:c>
      <x:c r="AE73" s="23" t="n">
        <x:v>606.93017578125</x:v>
      </x:c>
      <x:c r="AF73" s="23" t="n">
        <x:v>602.2122395833333</x:v>
      </x:c>
      <x:c r="AG73" s="23" t="n">
        <x:v>599.5080883338751</x:v>
      </x:c>
      <x:c r="AH73" s="23" t="n">
        <x:v>614.2604166666666</x:v>
      </x:c>
      <x:c r="AI73" s="23" t="n">
        <x:v>1418.7431125759817</x:v>
      </x:c>
      <x:c r="AJ73" s="23" t="n">
        <x:v>0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0</x:v>
      </x:c>
      <x:c r="BU73" s="23" t="n">
        <x:v>0</x:v>
      </x:c>
      <x:c r="BV73" s="23" t="n">
        <x:v>381.0108234312929</x:v>
      </x:c>
      <x:c r="BW73" s="23" t="n">
        <x:v>378.9101445246518</x:v>
      </x:c>
      <x:c r="BX73" s="23" t="n">
        <x:v>246.10692714098514</x:v>
      </x:c>
      <x:c r="BY73" s="23" t="n">
        <x:v>389.03187266969627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49.75758042620888</x:v>
      </x:c>
      <x:c r="CN73" s="23" t="n">
        <x:v>100.03123344403532</x:v>
      </x:c>
      <x:c r="CO73" s="23" t="n">
        <x:v>145.13917860237945</x:v>
      </x:c>
      <x:c r="CP73" s="23" t="n">
        <x:v>181.50893093384093</x:v>
      </x:c>
      <x:c r="CQ73" s="23" t="n">
        <x:v>223.33802111732712</x:v>
      </x:c>
      <x:c r="CR73" s="23" t="n">
        <x:v>281.6346501803173</x:v>
      </x:c>
      <x:c r="CS73" s="23" t="n">
        <x:v>341.6418216522461</x:v>
      </x:c>
      <x:c r="CT73" s="23" t="n">
        <x:v>405.06762367133183</x:v>
      </x:c>
      <x:c r="CU73" s="23" t="n">
        <x:v>450.320223997519</x:v>
      </x:c>
      <x:c r="CV73" s="23" t="n">
        <x:v>496.92109395645423</x:v>
      </x:c>
      <x:c r="CW73" s="23" t="n">
        <x:v>533.9461547017704</x:v>
      </x:c>
      <x:c r="CX73" s="23" t="n">
        <x:v>600.4844404115256</x:v>
      </x:c>
      <x:c r="CY73" s="23" t="n">
        <x:v>658.0170265906804</x:v>
      </x:c>
      <x:c r="CZ73" s="23" t="n">
        <x:v>714.9663531274506</x:v>
      </x:c>
      <x:c r="DA73" s="23" t="n">
        <x:v>768.6071127973961</x:v>
      </x:c>
      <x:c r="DB73" s="23" t="n">
        <x:v>811.5192764269577</x:v>
      </x:c>
      <x:c r="DC73" s="23" t="n">
        <x:v>876.7015834314952</x:v>
      </x:c>
      <x:c r="DD73" s="23" t="n">
        <x:v>770.6056645750641</x:v>
      </x:c>
      <x:c r="DE73" s="23" t="n">
        <x:v>632.4255984649864</x:v>
      </x:c>
      <x:c r="DF73" s="23" t="n">
        <x:v>0</x:v>
      </x:c>
      <x:c r="DG73" s="23" t="n">
        <x:v>724.6015304883633</x:v>
      </x:c>
      <x:c r="DH73" s="23" t="n">
        <x:v>0</x:v>
      </x:c>
      <x:c r="DI73" s="23" t="n">
        <x:v>694.6310660723249</x:v>
      </x:c>
      <x:c r="DJ73" s="23" t="n">
        <x:v>721.5743815104166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691.9885031353874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720.97119140625</x:v>
      </x:c>
      <x:c r="DW73" s="23" t="n">
        <x:v>720.47509765625</x:v>
      </x:c>
      <x:c r="DX73" s="23" t="n">
        <x:v>715.4156901041666</x:v>
      </x:c>
      <x:c r="DY73" s="23" t="n">
        <x:v>711.6873372395833</x:v>
      </x:c>
      <x:c r="DZ73" s="23" t="n">
        <x:v>730.2605794270833</x:v>
      </x:c>
      <x:c r="EA73" s="23" t="n">
        <x:v>768.526247473958</x:v>
      </x:c>
      <x:c r="EB73" s="23" t="n">
        <x:v>656.7037303906251</x:v>
      </x:c>
      <x:c r="EC73" s="23" t="n">
        <x:v>541.7335771403998</x:v>
      </x:c>
      <x:c r="ED73" s="23" t="n">
        <x:v>1379.802775065104</x:v>
      </x:c>
      <x:c r="EE73" s="23" t="n">
        <x:v>554.4638671875</x:v>
      </x:c>
      <x:c r="EF73" s="23" t="n">
        <x:v>531.8855387369791</x:v>
      </x:c>
      <x:c r="EG73" s="23" t="n">
        <x:v>537.9764811197916</x:v>
      </x:c>
      <x:c r="EH73" s="23" t="n">
        <x:v>859.8322012763633</x:v>
      </x:c>
      <x:c r="EI73" s="23" t="n">
        <x:v>1374.5237630208333</x:v>
      </x:c>
      <x:c r="EJ73" s="23" t="n">
        <x:v>1381.3289794921875</x:v>
      </x:c>
      <x:c r="EK73" s="23" t="n">
        <x:v>1396.4152018229165</x:v>
      </x:c>
      <x:c r="EL73" s="23" t="n">
        <x:v>1408.411376953125</x:v>
      </x:c>
      <x:c r="EM73" s="23" t="n">
        <x:v>580.0321044921875</x:v>
      </x:c>
      <x:c r="EN73" s="23" t="n">
        <x:v>565.5419921875</x:v>
      </x:c>
      <x:c r="EO73" s="23" t="n">
        <x:v>1401.933634440104</x:v>
      </x:c>
      <x:c r="EP73" s="23" t="n">
        <x:f>SUM(B73:EO73)</x:f>
        <x:v>56196.01693407213</x:v>
      </x:c>
      <x:c r="EQ73" s="23" t="n">
        <x:f>SUMPRODUCT(B73:EO73,{0.4849,0.48,0.4443,0.4098,0.4333,0.4659,0.4092,0.4028,0.4429,0.3989,0.4411,0.5328,0.4568,0.4022,0.4405,0.4524,0.442,0.4411,0.458,0.4343,0.412,0.4888,0.5216,0.4648,0.421,0.4441,0.4869,0.4573,0.4286,0.4415,0.463,0.4637,0.4251,0.3947,0.6259,0.9631,0.9643,0.8743,0.856,0.8389,0.8481,0.8521,0.7792,0.7248,0.6892,0.6278,0.8451,1.2075,1.2301,1.1251,1.0828,1.0908,1.13,1.1403,1.0639,1.0116,1.0077,0.9783,0.9708,0.9772,0.9288,0.8617,0.858,0.9301,0.7599,0.4641,0.4909,0.558,0.5195,0.5113,0.498,0.458,0.4254,0.4149,0.406,0.3999,0.5902,0.8631,0.8858,0.8614,0.8861,0.8554,0.8377,0.858,0.8636,0.8502,0.8771,0.9781,0.9009,0.6839,0.6301,0.6535,0.6829,0.7424,0.778,0.7779,0.7903,0.8469,0.9165,0.9388,0.9635,0.9908,0.9768,1.0034,1.0484,1.0194,1.0779,1.2147,1.2481,1.244,1.2501,1.242,1.2344,1.2352,1.2405,1.2658,1.2874,1.2631,1.2478,1.2565,1.248,1.2146,1.2287,1.3312,1.1791,0.8871,0.9165,0.9205,0.8356,0.921,0.7869,0.4618,0.3951,0.3884,0.3493,0.4021,0.4409,0.4196,0.4008,0.4035,0.4216,0.4376,0.4437,0.4328})</x:f>
        <x:v>33791.89919433447</x:v>
      </x:c>
    </x:row>
    <x:row r="74" ht="14" customHeight="1">
      <x:c r="A74" s="3">
        <x:v>45761</x:v>
      </x:c>
      <x:c r="B74" s="23" t="n">
        <x:v>562.5318196614583</x:v>
      </x:c>
      <x:c r="C74" s="23" t="n">
        <x:v>568.9519856770833</x:v>
      </x:c>
      <x:c r="D74" s="23" t="n">
        <x:v>1399.453369140625</x:v>
      </x:c>
      <x:c r="E74" s="23" t="n">
        <x:v>1399.459716796875</x:v>
      </x:c>
      <x:c r="F74" s="23" t="n">
        <x:v>567.7195638020833</x:v>
      </x:c>
      <x:c r="G74" s="23" t="n">
        <x:v>574.6854654947916</x:v>
      </x:c>
      <x:c r="H74" s="23" t="n">
        <x:v>575.484375</x:v>
      </x:c>
      <x:c r="I74" s="23" t="n">
        <x:v>574.4588216145833</x:v>
      </x:c>
      <x:c r="J74" s="23" t="n">
        <x:v>1410.172892252604</x:v>
      </x:c>
      <x:c r="K74" s="23" t="n">
        <x:v>980.5767782608333</x:v>
      </x:c>
      <x:c r="L74" s="23" t="n">
        <x:v>596.2556966145833</x:v>
      </x:c>
      <x:c r="M74" s="23" t="n">
        <x:v>596.5988362630208</x:v>
      </x:c>
      <x:c r="N74" s="23" t="n">
        <x:v>588.8304036458333</x:v>
      </x:c>
      <x:c r="O74" s="23" t="n">
        <x:v>584.0821533203125</x:v>
      </x:c>
      <x:c r="P74" s="23" t="n">
        <x:v>592.2280680338541</x:v>
      </x:c>
      <x:c r="Q74" s="23" t="n">
        <x:v>589.7165120442708</x:v>
      </x:c>
      <x:c r="R74" s="23" t="n">
        <x:v>589.0283610026041</x:v>
      </x:c>
      <x:c r="S74" s="23" t="n">
        <x:v>587.8388671875</x:v>
      </x:c>
      <x:c r="T74" s="23" t="n">
        <x:v>1421.9520263671875</x:v>
      </x:c>
      <x:c r="U74" s="23" t="n">
        <x:v>592.3463948567708</x:v>
      </x:c>
      <x:c r="V74" s="23" t="n">
        <x:v>596.6683349609375</x:v>
      </x:c>
      <x:c r="W74" s="23" t="n">
        <x:v>594.9220784505208</x:v>
      </x:c>
      <x:c r="X74" s="23" t="n">
        <x:v>1425.5651041666665</x:v>
      </x:c>
      <x:c r="Y74" s="23" t="n">
        <x:v>588.0574137369791</x:v>
      </x:c>
      <x:c r="Z74" s="23" t="n">
        <x:v>586.3573404947916</x:v>
      </x:c>
      <x:c r="AA74" s="23" t="n">
        <x:v>587.8120930989583</x:v>
      </x:c>
      <x:c r="AB74" s="23" t="n">
        <x:v>1420.3573404947915</x:v>
      </x:c>
      <x:c r="AC74" s="23" t="n">
        <x:v>597.5937093098958</x:v>
      </x:c>
      <x:c r="AD74" s="23" t="n">
        <x:v>604.9238688151041</x:v>
      </x:c>
      <x:c r="AE74" s="23" t="n">
        <x:v>598.7714436848958</x:v>
      </x:c>
      <x:c r="AF74" s="23" t="n">
        <x:v>593.13330078125</x:v>
      </x:c>
      <x:c r="AG74" s="23" t="n">
        <x:v>588.4571567447248</x:v>
      </x:c>
      <x:c r="AH74" s="23" t="n">
        <x:v>599.3757731119791</x:v>
      </x:c>
      <x:c r="AI74" s="23" t="n">
        <x:v>577.0943481527811</x:v>
      </x:c>
      <x:c r="AJ74" s="23" t="n">
        <x:v>0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544.97067628979</x:v>
      </x:c>
      <x:c r="BP74" s="23" t="n">
        <x:v>531.8347580811433</x:v>
      </x:c>
      <x:c r="BQ74" s="23" t="n">
        <x:v>0</x:v>
      </x:c>
      <x:c r="BR74" s="23" t="n">
        <x:v>0</x:v>
      </x:c>
      <x:c r="BS74" s="23" t="n">
        <x:v>0</x:v>
      </x:c>
      <x:c r="BT74" s="23" t="n">
        <x:v>0</x:v>
      </x:c>
      <x:c r="BU74" s="23" t="n">
        <x:v>0</x:v>
      </x:c>
      <x:c r="BV74" s="23" t="n">
        <x:v>12.054207296513216</x:v>
      </x:c>
      <x:c r="BW74" s="23" t="n">
        <x:v>0</x:v>
      </x:c>
      <x:c r="BX74" s="23" t="n">
        <x:v>0</x:v>
      </x:c>
      <x:c r="BY74" s="23" t="n">
        <x:v>423.4140505615238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45.73373312576112</x:v>
      </x:c>
      <x:c r="CN74" s="23" t="n">
        <x:v>82.61602981439515</x:v>
      </x:c>
      <x:c r="CO74" s="23" t="n">
        <x:v>129.8066071517763</x:v>
      </x:c>
      <x:c r="CP74" s="23" t="n">
        <x:v>165.27940618812318</x:v>
      </x:c>
      <x:c r="CQ74" s="23" t="n">
        <x:v>220.20702142595943</x:v>
      </x:c>
      <x:c r="CR74" s="23" t="n">
        <x:v>273.9749235613077</x:v>
      </x:c>
      <x:c r="CS74" s="23" t="n">
        <x:v>330.55541187515576</x:v>
      </x:c>
      <x:c r="CT74" s="23" t="n">
        <x:v>392.94805394784737</x:v>
      </x:c>
      <x:c r="CU74" s="23" t="n">
        <x:v>450.03850601338956</x:v>
      </x:c>
      <x:c r="CV74" s="23" t="n">
        <x:v>494.5837462111461</x:v>
      </x:c>
      <x:c r="CW74" s="23" t="n">
        <x:v>551.3173187748375</x:v>
      </x:c>
      <x:c r="CX74" s="23" t="n">
        <x:v>607.6958044122134</x:v>
      </x:c>
      <x:c r="CY74" s="23" t="n">
        <x:v>644.0984002254684</x:v>
      </x:c>
      <x:c r="CZ74" s="23" t="n">
        <x:v>707.9040153496413</x:v>
      </x:c>
      <x:c r="DA74" s="23" t="n">
        <x:v>760.9516751448105</x:v>
      </x:c>
      <x:c r="DB74" s="23" t="n">
        <x:v>818.2893697174537</x:v>
      </x:c>
      <x:c r="DC74" s="23" t="n">
        <x:v>882.040396514064</x:v>
      </x:c>
      <x:c r="DD74" s="23" t="n">
        <x:v>806.8905915085876</x:v>
      </x:c>
      <x:c r="DE74" s="23" t="n">
        <x:v>623.9279122972117</x:v>
      </x:c>
      <x:c r="DF74" s="23" t="n">
        <x:v>581.9727190171392</x:v>
      </x:c>
      <x:c r="DG74" s="23" t="n">
        <x:v>700.3013422666664</x:v>
      </x:c>
      <x:c r="DH74" s="23" t="n">
        <x:v>0</x:v>
      </x:c>
      <x:c r="DI74" s="23" t="n">
        <x:v>0</x:v>
      </x:c>
      <x:c r="DJ74" s="23" t="n">
        <x:v>0</x:v>
      </x:c>
      <x:c r="DK74" s="23" t="n">
        <x:v>0</x:v>
      </x:c>
      <x:c r="DL74" s="23" t="n">
        <x:v>695.2538248697916</x:v>
      </x:c>
      <x:c r="DM74" s="23" t="n">
        <x:v>700.5608723958333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710.202392578125</x:v>
      </x:c>
      <x:c r="DW74" s="23" t="n">
        <x:v>734.7247721354166</x:v>
      </x:c>
      <x:c r="DX74" s="23" t="n">
        <x:v>733.3444412454987</x:v>
      </x:c>
      <x:c r="DY74" s="23" t="n">
        <x:v>723.9495442708333</x:v>
      </x:c>
      <x:c r="DZ74" s="23" t="n">
        <x:v>698.5743815104166</x:v>
      </x:c>
      <x:c r="EA74" s="23" t="n">
        <x:v>742.7164713541666</x:v>
      </x:c>
      <x:c r="EB74" s="23" t="n">
        <x:v>679.6596272786458</x:v>
      </x:c>
      <x:c r="EC74" s="23" t="n">
        <x:v>1384.12841796875</x:v>
      </x:c>
      <x:c r="ED74" s="23" t="n">
        <x:v>1371.5911458333333</x:v>
      </x:c>
      <x:c r="EE74" s="23" t="n">
        <x:v>543.8011067708333</x:v>
      </x:c>
      <x:c r="EF74" s="23" t="n">
        <x:v>549.2236735026041</x:v>
      </x:c>
      <x:c r="EG74" s="23" t="n">
        <x:v>1388.710001627604</x:v>
      </x:c>
      <x:c r="EH74" s="23" t="n">
        <x:v>1390.8076171875</x:v>
      </x:c>
      <x:c r="EI74" s="23" t="n">
        <x:v>547.03759765625</x:v>
      </x:c>
      <x:c r="EJ74" s="23" t="n">
        <x:v>1376.3370361328125</x:v>
      </x:c>
      <x:c r="EK74" s="23" t="n">
        <x:v>1396.0859375</x:v>
      </x:c>
      <x:c r="EL74" s="23" t="n">
        <x:v>568.8782958984375</x:v>
      </x:c>
      <x:c r="EM74" s="23" t="n">
        <x:v>558.5581461588541</x:v>
      </x:c>
      <x:c r="EN74" s="23" t="n">
        <x:v>561.9597574869791</x:v>
      </x:c>
      <x:c r="EO74" s="23" t="n">
        <x:v>868.760390026203</x:v>
      </x:c>
      <x:c r="EP74" s="23" t="n">
        <x:f>SUM(B74:EO74)</x:f>
        <x:v>56019.733541201975</x:v>
      </x:c>
      <x:c r="EQ74" s="23" t="n">
        <x:f>SUMPRODUCT(B74:EO74,{0.4065,0.4051,0.4355,0.458,0.4242,0.3736,0.3918,0.3934,0.3785,0.4305,0.455,0.4359,0.4484,0.4405,0.4086,0.4178,0.4785,0.5202,0.459,0.4146,0.4402,0.4777,0.4979,0.4898,0.4623,0.4638,0.479,0.4527,0.4601,0.4872,0.4457,0.432,0.4218,0.3441,0.5867,0.9956,0.9853,0.8631,0.8408,0.8298,0.8408,0.8575,0.8306,0.7975,0.7441,0.6627,0.8459,1.1574,1.1445,1.0897,1.1084,1.0341,0.9931,1.0232,1.0239,1.0064,0.9811,0.9417,0.9321,0.9297,0.8718,0.8523,0.8997,0.9167,0.734,0.4588,0.3936,0.4503,0.497,0.4823,0.447,0.4424,0.486,0.5098,0.4602,0.3779,0.5224,0.7898,0.8048,0.7645,0.8049,0.8592,0.8854,0.8981,0.9333,0.9283,0.9067,0.9352,0.823,0.6296,0.6207,0.6364,0.6242,0.6932,0.7374,0.7453,0.8109,0.8566,0.8621,0.8861,0.8966,0.8917,0.9133,0.9601,0.9989,1.0055,1.0679,1.1798,1.2353,1.2261,1.205,1.2358,1.2852,1.301,1.2586,1.2187,1.225,1.2747,1.3311,1.3446,1.2842,1.2153,1.2192,1.3015,1.2113,0.9976,0.9601,0.956,0.9458,1.001,0.7863,0.4069,0.3437,0.4105,0.4284,0.4135,0.4375,0.474,0.4279,0.3692,0.3638,0.4118,0.4389,0.4372})</x:f>
        <x:v>33425.535850873865</x:v>
      </x:c>
    </x:row>
    <x:row r="75" ht="14" customHeight="1">
      <x:c r="A75" s="3">
        <x:v>45762</x:v>
      </x:c>
      <x:c r="B75" s="23" t="n">
        <x:v>567.5733642578125</x:v>
      </x:c>
      <x:c r="C75" s="23" t="n">
        <x:v>563.7196451822916</x:v>
      </x:c>
      <x:c r="D75" s="23" t="n">
        <x:v>565.1521402994791</x:v>
      </x:c>
      <x:c r="E75" s="23" t="n">
        <x:v>568.3568929036458</x:v>
      </x:c>
      <x:c r="F75" s="23" t="n">
        <x:v>573.2805582682291</x:v>
      </x:c>
      <x:c r="G75" s="23" t="n">
        <x:v>572.3120524088541</x:v>
      </x:c>
      <x:c r="H75" s="23" t="n">
        <x:v>990.4817223532341</x:v>
      </x:c>
      <x:c r="I75" s="23" t="n">
        <x:v>581.4801432291666</x:v>
      </x:c>
      <x:c r="J75" s="23" t="n">
        <x:v>593.72021484375</x:v>
      </x:c>
      <x:c r="K75" s="23" t="n">
        <x:v>589.8943684895833</x:v>
      </x:c>
      <x:c r="L75" s="23" t="n">
        <x:v>1423.51318359375</x:v>
      </x:c>
      <x:c r="M75" s="23" t="n">
        <x:v>1430.937540690104</x:v>
      </x:c>
      <x:c r="N75" s="23" t="n">
        <x:v>594.9601643880208</x:v>
      </x:c>
      <x:c r="O75" s="23" t="n">
        <x:v>1421.9034016927083</x:v>
      </x:c>
      <x:c r="P75" s="23" t="n">
        <x:v>1425.6597493489583</x:v>
      </x:c>
      <x:c r="Q75" s="23" t="n">
        <x:v>1434.0843912760415</x:v>
      </x:c>
      <x:c r="R75" s="23" t="n">
        <x:v>605.0294596354166</x:v>
      </x:c>
      <x:c r="S75" s="23" t="n">
        <x:v>594.9611002604166</x:v>
      </x:c>
      <x:c r="T75" s="23" t="n">
        <x:v>1429.245402018229</x:v>
      </x:c>
      <x:c r="U75" s="23" t="n">
        <x:v>591.280517578125</x:v>
      </x:c>
      <x:c r="V75" s="23" t="n">
        <x:v>600.6814371744791</x:v>
      </x:c>
      <x:c r="W75" s="23" t="n">
        <x:v>600.2154541015625</x:v>
      </x:c>
      <x:c r="X75" s="23" t="n">
        <x:v>593.6703287760416</x:v>
      </x:c>
      <x:c r="Y75" s="23" t="n">
        <x:v>592.8307291666666</x:v>
      </x:c>
      <x:c r="Z75" s="23" t="n">
        <x:v>599.9703776041666</x:v>
      </x:c>
      <x:c r="AA75" s="23" t="n">
        <x:v>598.6156005859375</x:v>
      </x:c>
      <x:c r="AB75" s="23" t="n">
        <x:v>600.659912109375</x:v>
      </x:c>
      <x:c r="AC75" s="23" t="n">
        <x:v>607.2565104166666</x:v>
      </x:c>
      <x:c r="AD75" s="23" t="n">
        <x:v>610.5176188151041</x:v>
      </x:c>
      <x:c r="AE75" s="23" t="n">
        <x:v>601.8766682942708</x:v>
      </x:c>
      <x:c r="AF75" s="23" t="n">
        <x:v>599.1295596824389</x:v>
      </x:c>
      <x:c r="AG75" s="23" t="n">
        <x:v>598.7077306466219</x:v>
      </x:c>
      <x:c r="AH75" s="23" t="n">
        <x:v>603.3680013020833</x:v>
      </x:c>
      <x:c r="AI75" s="23" t="n">
        <x:v>581.3752679265882</x:v>
      </x:c>
      <x:c r="AJ75" s="23" t="n">
        <x:v>84.14518027278532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0</x:v>
      </x:c>
      <x:c r="BQ75" s="23" t="n">
        <x:v>0</x:v>
      </x:c>
      <x:c r="BR75" s="23" t="n">
        <x:v>0</x:v>
      </x:c>
      <x:c r="BS75" s="23" t="n">
        <x:v>0</x:v>
      </x:c>
      <x:c r="BT75" s="23" t="n">
        <x:v>473.6869946576656</x:v>
      </x:c>
      <x:c r="BU75" s="23" t="n">
        <x:v>421.1752876789575</x:v>
      </x:c>
      <x:c r="BV75" s="23" t="n">
        <x:v>409.47279273546457</x:v>
      </x:c>
      <x:c r="BW75" s="23" t="n">
        <x:v>0</x:v>
      </x:c>
      <x:c r="BX75" s="23" t="n">
        <x:v>0</x:v>
      </x:c>
      <x:c r="BY75" s="23" t="n">
        <x:v>428.43087479200733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16.896858737366983</x:v>
      </x:c>
      <x:c r="CN75" s="23" t="n">
        <x:v>66.9755762227669</x:v>
      </x:c>
      <x:c r="CO75" s="23" t="n">
        <x:v>116.5851550792319</x:v>
      </x:c>
      <x:c r="CP75" s="23" t="n">
        <x:v>158.2711842960989</x:v>
      </x:c>
      <x:c r="CQ75" s="23" t="n">
        <x:v>209.244550483294</x:v>
      </x:c>
      <x:c r="CR75" s="23" t="n">
        <x:v>267.01797790912343</x:v>
      </x:c>
      <x:c r="CS75" s="23" t="n">
        <x:v>327.37623485456453</x:v>
      </x:c>
      <x:c r="CT75" s="23" t="n">
        <x:v>387.454693990024</x:v>
      </x:c>
      <x:c r="CU75" s="23" t="n">
        <x:v>439.4589765379261</x:v>
      </x:c>
      <x:c r="CV75" s="23" t="n">
        <x:v>487.21999124575973</x:v>
      </x:c>
      <x:c r="CW75" s="23" t="n">
        <x:v>537.9773046350506</x:v>
      </x:c>
      <x:c r="CX75" s="23" t="n">
        <x:v>592.3979697260099</x:v>
      </x:c>
      <x:c r="CY75" s="23" t="n">
        <x:v>647.0869935403261</x:v>
      </x:c>
      <x:c r="CZ75" s="23" t="n">
        <x:v>706.3319863982877</x:v>
      </x:c>
      <x:c r="DA75" s="23" t="n">
        <x:v>755.502440867092</x:v>
      </x:c>
      <x:c r="DB75" s="23" t="n">
        <x:v>806.964773803955</x:v>
      </x:c>
      <x:c r="DC75" s="23" t="n">
        <x:v>884.7683086964757</x:v>
      </x:c>
      <x:c r="DD75" s="23" t="n">
        <x:v>813.6891998701824</x:v>
      </x:c>
      <x:c r="DE75" s="23" t="n">
        <x:v>613.181416343007</x:v>
      </x:c>
      <x:c r="DF75" s="23" t="n">
        <x:v>0</x:v>
      </x:c>
      <x:c r="DG75" s="23" t="n">
        <x:v>704.0761601138717</x:v>
      </x:c>
      <x:c r="DH75" s="23" t="n">
        <x:v>0</x:v>
      </x:c>
      <x:c r="DI75" s="23" t="n">
        <x:v>704.9150043781992</x:v>
      </x:c>
      <x:c r="DJ75" s="23" t="n">
        <x:v>0</x:v>
      </x:c>
      <x:c r="DK75" s="23" t="n">
        <x:v>0</x:v>
      </x:c>
      <x:c r="DL75" s="23" t="n">
        <x:v>0</x:v>
      </x:c>
      <x:c r="DM75" s="23" t="n">
        <x:v>718.7605794270833</x:v>
      </x:c>
      <x:c r="DN75" s="23" t="n">
        <x:v>723.8056640625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724.103271484375</x:v>
      </x:c>
      <x:c r="DW75" s="23" t="n">
        <x:v>729.5301508809154</x:v>
      </x:c>
      <x:c r="DX75" s="23" t="n">
        <x:v>726.11669921875</x:v>
      </x:c>
      <x:c r="DY75" s="23" t="n">
        <x:v>727.3687337239583</x:v>
      </x:c>
      <x:c r="DZ75" s="23" t="n">
        <x:v>726.4596354166666</x:v>
      </x:c>
      <x:c r="EA75" s="23" t="n">
        <x:v>752.098388671875</x:v>
      </x:c>
      <x:c r="EB75" s="23" t="n">
        <x:v>665.6111246744791</x:v>
      </x:c>
      <x:c r="EC75" s="23" t="n">
        <x:v>551.1024169921875</x:v>
      </x:c>
      <x:c r="ED75" s="23" t="n">
        <x:v>1378.8775634765625</x:v>
      </x:c>
      <x:c r="EE75" s="23" t="n">
        <x:v>554.1380615234375</x:v>
      </x:c>
      <x:c r="EF75" s="23" t="n">
        <x:v>547.4970703125</x:v>
      </x:c>
      <x:c r="EG75" s="23" t="n">
        <x:v>1379.790323893229</x:v>
      </x:c>
      <x:c r="EH75" s="23" t="n">
        <x:v>864.5359841017234</x:v>
      </x:c>
      <x:c r="EI75" s="23" t="n">
        <x:v>556.3720296223958</x:v>
      </x:c>
      <x:c r="EJ75" s="23" t="n">
        <x:v>1395.3373616536458</x:v>
      </x:c>
      <x:c r="EK75" s="23" t="n">
        <x:v>1400.1440022786458</x:v>
      </x:c>
      <x:c r="EL75" s="23" t="n">
        <x:v>1397.9407552083333</x:v>
      </x:c>
      <x:c r="EM75" s="23" t="n">
        <x:v>1393.791259765625</x:v>
      </x:c>
      <x:c r="EN75" s="23" t="n">
        <x:v>564.4276529947916</x:v>
      </x:c>
      <x:c r="EO75" s="23" t="n">
        <x:v>567.1771647135416</x:v>
      </x:c>
      <x:c r="EP75" s="23" t="n">
        <x:f>SUM(B75:EO75)</x:f>
        <x:v>56611.710991282554</x:v>
      </x:c>
      <x:c r="EQ75" s="23" t="n">
        <x:f>SUMPRODUCT(B75:EO75,{0.456,0.4383,0.3894,0.3817,0.4017,0.4128,0.4002,0.4367,0.4858,0.4435,0.449,0.4954,0.4409,0.4287,0.4688,0.4271,0.4128,0.4474,0.4377,0.4321,0.4356,0.4033,0.408,0.4449,0.4303,0.3937,0.3965,0.4611,0.4543,0.3861,0.4082,0.5074,0.5198,0.344,0.5256,0.9553,0.9554,0.8305,0.8113,0.8193,0.8538,0.8565,0.7525,0.7089,0.7176,0.6541,0.8515,1.1791,1.137,1.0511,1.0766,1.0402,0.9891,0.9761,0.9909,0.9825,0.9113,0.7907,0.7564,0.819,0.8549,0.8267,0.7998,0.8358,0.6842,0.4172,0.3878,0.4672,0.4816,0.3899,0.3535,0.3899,0.3744,0.3838,0.4087,0.3816,0.5437,0.8199,0.8674,0.8394,0.8584,0.8934,0.9376,0.9837,1.0049,0.9368,0.8659,0.9313,0.8557,0.6456,0.6057,0.677,0.744,0.7571,0.7722,0.7926,0.7723,0.778,0.8249,0.8622,0.8964,0.9411,0.9956,1.0359,1.0434,1.03,1.0814,1.1909,1.2656,1.3079,1.3245,1.3065,1.2684,1.2428,1.2619,1.3075,1.3283,1.2889,1.2908,1.3129,1.2442,1.2341,1.3043,1.3017,1.1576,0.9812,0.9536,0.9358,0.9171,0.9848,0.8007,0.4414,0.356,0.3952,0.4009,0.3818,0.4227,0.4695,0.3866,0.3275,0.3583,0.3949,0.4035,0.3964})</x:f>
        <x:v>33600.11401038958</x:v>
      </x:c>
    </x:row>
    <x:row r="76" ht="14" customHeight="1">
      <x:c r="A76" s="3">
        <x:v>45763</x:v>
      </x:c>
      <x:c r="B76" s="23" t="n">
        <x:v>562.7775065104166</x:v>
      </x:c>
      <x:c r="C76" s="23" t="n">
        <x:v>571.0259195963541</x:v>
      </x:c>
      <x:c r="D76" s="23" t="n">
        <x:v>570.4798583984375</x:v>
      </x:c>
      <x:c r="E76" s="23" t="n">
        <x:v>564.9522705078125</x:v>
      </x:c>
      <x:c r="F76" s="23" t="n">
        <x:v>564.576171875</x:v>
      </x:c>
      <x:c r="G76" s="23" t="n">
        <x:v>564.1927083333333</x:v>
      </x:c>
      <x:c r="H76" s="23" t="n">
        <x:v>564.8257649739583</x:v>
      </x:c>
      <x:c r="I76" s="23" t="n">
        <x:v>576.7943929036458</x:v>
      </x:c>
      <x:c r="J76" s="23" t="n">
        <x:v>591.5491129557291</x:v>
      </x:c>
      <x:c r="K76" s="23" t="n">
        <x:v>592.5425618489583</x:v>
      </x:c>
      <x:c r="L76" s="23" t="n">
        <x:v>584.5257161458333</x:v>
      </x:c>
      <x:c r="M76" s="23" t="n">
        <x:v>587.5799153645833</x:v>
      </x:c>
      <x:c r="N76" s="23" t="n">
        <x:v>884.4090817402908</x:v>
      </x:c>
      <x:c r="O76" s="23" t="n">
        <x:v>1406.7831624348958</x:v>
      </x:c>
      <x:c r="P76" s="23" t="n">
        <x:v>1415.8258056640625</x:v>
      </x:c>
      <x:c r="Q76" s="23" t="n">
        <x:v>599.412353515625</x:v>
      </x:c>
      <x:c r="R76" s="23" t="n">
        <x:v>598.4399820963541</x:v>
      </x:c>
      <x:c r="S76" s="23" t="n">
        <x:v>595.6656494140625</x:v>
      </x:c>
      <x:c r="T76" s="23" t="n">
        <x:v>599.7947184244791</x:v>
      </x:c>
      <x:c r="U76" s="23" t="n">
        <x:v>598.7032877604166</x:v>
      </x:c>
      <x:c r="V76" s="23" t="n">
        <x:v>597.1837972005208</x:v>
      </x:c>
      <x:c r="W76" s="23" t="n">
        <x:v>595.3600667317708</x:v>
      </x:c>
      <x:c r="X76" s="23" t="n">
        <x:v>599.6045328776041</x:v>
      </x:c>
      <x:c r="Y76" s="23" t="n">
        <x:v>599.5094807942708</x:v>
      </x:c>
      <x:c r="Z76" s="23" t="n">
        <x:v>602.1655680338541</x:v>
      </x:c>
      <x:c r="AA76" s="23" t="n">
        <x:v>600.5252278645833</x:v>
      </x:c>
      <x:c r="AB76" s="23" t="n">
        <x:v>596.901611328125</x:v>
      </x:c>
      <x:c r="AC76" s="23" t="n">
        <x:v>604.118896484375</x:v>
      </x:c>
      <x:c r="AD76" s="23" t="n">
        <x:v>1443.889892578125</x:v>
      </x:c>
      <x:c r="AE76" s="23" t="n">
        <x:v>1432.406982421875</x:v>
      </x:c>
      <x:c r="AF76" s="23" t="n">
        <x:v>1421.0204186238952</x:v>
      </x:c>
      <x:c r="AG76" s="23" t="n">
        <x:v>594.2259605327392</x:v>
      </x:c>
      <x:c r="AH76" s="23" t="n">
        <x:v>609.3203125</x:v>
      </x:c>
      <x:c r="AI76" s="23" t="n">
        <x:v>1416.9808107180565</x:v>
      </x:c>
      <x:c r="AJ76" s="23" t="n">
        <x:v>494.5382799758577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0</x:v>
      </x:c>
      <x:c r="BQ76" s="23" t="n">
        <x:v>0</x:v>
      </x:c>
      <x:c r="BR76" s="23" t="n">
        <x:v>0</x:v>
      </x:c>
      <x:c r="BS76" s="23" t="n">
        <x:v>0</x:v>
      </x:c>
      <x:c r="BT76" s="23" t="n">
        <x:v>0</x:v>
      </x:c>
      <x:c r="BU76" s="23" t="n">
        <x:v>0</x:v>
      </x:c>
      <x:c r="BV76" s="23" t="n">
        <x:v>409.05683837903837</x:v>
      </x:c>
      <x:c r="BW76" s="23" t="n">
        <x:v>0</x:v>
      </x:c>
      <x:c r="BX76" s="23" t="n">
        <x:v>0</x:v>
      </x:c>
      <x:c r="BY76" s="23" t="n">
        <x:v>394.9276500323822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26.686257523882734</x:v>
      </x:c>
      <x:c r="CN76" s="23" t="n">
        <x:v>65.00148059830963</x:v>
      </x:c>
      <x:c r="CO76" s="23" t="n">
        <x:v>125.06463261787394</x:v>
      </x:c>
      <x:c r="CP76" s="23" t="n">
        <x:v>168.9480743078053</x:v>
      </x:c>
      <x:c r="CQ76" s="23" t="n">
        <x:v>221.0260354943046</x:v>
      </x:c>
      <x:c r="CR76" s="23" t="n">
        <x:v>272.393434296883</x:v>
      </x:c>
      <x:c r="CS76" s="23" t="n">
        <x:v>323.88059333508465</x:v>
      </x:c>
      <x:c r="CT76" s="23" t="n">
        <x:v>379.9089724768115</x:v>
      </x:c>
      <x:c r="CU76" s="23" t="n">
        <x:v>425.6478755149152</x:v>
      </x:c>
      <x:c r="CV76" s="23" t="n">
        <x:v>479.5196090667076</x:v>
      </x:c>
      <x:c r="CW76" s="23" t="n">
        <x:v>524.1131180452596</x:v>
      </x:c>
      <x:c r="CX76" s="23" t="n">
        <x:v>563.7962946863636</x:v>
      </x:c>
      <x:c r="CY76" s="23" t="n">
        <x:v>627.5860497081646</x:v>
      </x:c>
      <x:c r="CZ76" s="23" t="n">
        <x:v>686.7878774634637</x:v>
      </x:c>
      <x:c r="DA76" s="23" t="n">
        <x:v>740.4928096483283</x:v>
      </x:c>
      <x:c r="DB76" s="23" t="n">
        <x:v>791.9467332443378</x:v>
      </x:c>
      <x:c r="DC76" s="23" t="n">
        <x:v>877.4089696300931</x:v>
      </x:c>
      <x:c r="DD76" s="23" t="n">
        <x:v>800.851740021794</x:v>
      </x:c>
      <x:c r="DE76" s="23" t="n">
        <x:v>627.8264132301077</x:v>
      </x:c>
      <x:c r="DF76" s="23" t="n">
        <x:v>656.1310868616247</x:v>
      </x:c>
      <x:c r="DG76" s="23" t="n">
        <x:v>703.6598280206455</x:v>
      </x:c>
      <x:c r="DH76" s="23" t="n">
        <x:v>0</x:v>
      </x:c>
      <x:c r="DI76" s="23" t="n">
        <x:v>711.7087061861378</x:v>
      </x:c>
      <x:c r="DJ76" s="23" t="n">
        <x:v>713.7290029330425</x:v>
      </x:c>
      <x:c r="DK76" s="23" t="n">
        <x:v>0</x:v>
      </x:c>
      <x:c r="DL76" s="23" t="n">
        <x:v>26.851804687500135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728.86962890625</x:v>
      </x:c>
      <x:c r="DW76" s="23" t="n">
        <x:v>727.9306677517361</x:v>
      </x:c>
      <x:c r="DX76" s="23" t="n">
        <x:v>725.4571940104166</x:v>
      </x:c>
      <x:c r="DY76" s="23" t="n">
        <x:v>723.8966471354166</x:v>
      </x:c>
      <x:c r="DZ76" s="23" t="n">
        <x:v>720.669609318737</x:v>
      </x:c>
      <x:c r="EA76" s="23" t="n">
        <x:v>740.8208821614583</x:v>
      </x:c>
      <x:c r="EB76" s="23" t="n">
        <x:v>670.7854410807291</x:v>
      </x:c>
      <x:c r="EC76" s="23" t="n">
        <x:v>560.6136067708333</x:v>
      </x:c>
      <x:c r="ED76" s="23" t="n">
        <x:v>1383.283732096354</x:v>
      </x:c>
      <x:c r="EE76" s="23" t="n">
        <x:v>554.7472330729166</x:v>
      </x:c>
      <x:c r="EF76" s="23" t="n">
        <x:v>562.1966145833333</x:v>
      </x:c>
      <x:c r="EG76" s="23" t="n">
        <x:v>849.7542702747232</x:v>
      </x:c>
      <x:c r="EH76" s="23" t="n">
        <x:v>1375.1904296875</x:v>
      </x:c>
      <x:c r="EI76" s="23" t="n">
        <x:v>1386.17578125</x:v>
      </x:c>
      <x:c r="EJ76" s="23" t="n">
        <x:v>562.2621256510416</x:v>
      </x:c>
      <x:c r="EK76" s="23" t="n">
        <x:v>565.2235107421875</x:v>
      </x:c>
      <x:c r="EL76" s="23" t="n">
        <x:v>562.0222574869791</x:v>
      </x:c>
      <x:c r="EM76" s="23" t="n">
        <x:v>1396.791544596354</x:v>
      </x:c>
      <x:c r="EN76" s="23" t="n">
        <x:v>1399.5599365234375</x:v>
      </x:c>
      <x:c r="EO76" s="23" t="n">
        <x:v>1392.5384114583333</x:v>
      </x:c>
      <x:c r="EP76" s="23" t="n">
        <x:f>SUM(B76:EO76)</x:f>
        <x:v>55736.34919169949</x:v>
      </x:c>
      <x:c r="EQ76" s="23" t="n">
        <x:f>SUMPRODUCT(B76:EO76,{0.4047,0.4099,0.4146,0.4426,0.4669,0.4671,0.4453,0.4162,0.41,0.4458,0.4521,0.4369,0.467,0.4434,0.3844,0.4125,0.4315,0.4254,0.4679,0.4507,0.3932,0.4289,0.4585,0.4433,0.4522,0.4971,0.5212,0.4607,0.4299,0.4533,0.4514,0.4625,0.4482,0.3708,0.5971,0.9649,0.9198,0.8462,0.9028,0.8573,0.7805,0.7608,0.7974,0.7891,0.7028,0.6391,0.8433,1.1734,1.2141,1.1397,1.1138,1.1244,1.1117,1.0482,0.965,0.9523,0.9966,0.9966,0.9716,0.9632,0.9815,0.9523,0.9175,0.9589,0.7925,0.506,0.4978,0.5606,0.5538,0.5424,0.5225,0.4889,0.4632,0.4973,0.5247,0.4546,0.5821,0.8508,0.8844,0.8229,0.8268,0.9087,0.9483,0.9129,0.8776,0.8704,0.9275,1.0384,0.936,0.7023,0.7002,0.7668,0.7749,0.766,0.7713,0.8061,0.8559,0.8399,0.7966,0.8472,0.9056,0.9272,0.9531,0.9875,1.0062,0.9955,1.0512,1.1643,1.2239,1.2376,1.2354,1.2416,1.2861,1.3176,1.2549,1.2208,1.2527,1.2722,1.2856,1.2771,1.2208,1.2211,1.3054,1.364,1.1961,0.9306,0.9109,0.9447,0.9617,1.0376,0.8157,0.4191,0.3669,0.412,0.3968,0.4161,0.4244,0.4052,0.4007,0.4196,0.4395,0.4315,0.43,0.4462})</x:f>
        <x:v>33527.37819978671</x:v>
      </x:c>
    </x:row>
    <x:row r="77" ht="14" customHeight="1">
      <x:c r="A77" s="3">
        <x:v>45764</x:v>
      </x:c>
      <x:c r="B77" s="23" t="n">
        <x:v>1397.464884440104</x:v>
      </x:c>
      <x:c r="C77" s="23" t="n">
        <x:v>1401.5419108072915</x:v>
      </x:c>
      <x:c r="D77" s="23" t="n">
        <x:v>569.5339762369791</x:v>
      </x:c>
      <x:c r="E77" s="23" t="n">
        <x:v>572.9987386067708</x:v>
      </x:c>
      <x:c r="F77" s="23" t="n">
        <x:v>575.3861490885416</x:v>
      </x:c>
      <x:c r="G77" s="23" t="n">
        <x:v>577.8137613932291</x:v>
      </x:c>
      <x:c r="H77" s="23" t="n">
        <x:v>571.3365478515625</x:v>
      </x:c>
      <x:c r="I77" s="23" t="n">
        <x:v>571.2215983072916</x:v>
      </x:c>
      <x:c r="J77" s="23" t="n">
        <x:v>590.5688069661458</x:v>
      </x:c>
      <x:c r="K77" s="23" t="n">
        <x:v>593.3990885416666</x:v>
      </x:c>
      <x:c r="L77" s="23" t="n">
        <x:v>590.4144694010416</x:v>
      </x:c>
      <x:c r="M77" s="23" t="n">
        <x:v>0</x:v>
      </x:c>
      <x:c r="N77" s="23" t="n">
        <x:v>588.5282389322916</x:v>
      </x:c>
      <x:c r="O77" s="23" t="n">
        <x:v>1415.680908203125</x:v>
      </x:c>
      <x:c r="P77" s="23" t="n">
        <x:v>926.5175517758355</x:v>
      </x:c>
      <x:c r="Q77" s="23" t="n">
        <x:v>597.7642822265625</x:v>
      </x:c>
      <x:c r="R77" s="23" t="n">
        <x:v>597.0515543619791</x:v>
      </x:c>
      <x:c r="S77" s="23" t="n">
        <x:v>1427.6236165364583</x:v>
      </x:c>
      <x:c r="T77" s="23" t="n">
        <x:v>1432.572021484375</x:v>
      </x:c>
      <x:c r="U77" s="23" t="n">
        <x:v>599.4766438802083</x:v>
      </x:c>
      <x:c r="V77" s="23" t="n">
        <x:v>595.1827392578125</x:v>
      </x:c>
      <x:c r="W77" s="23" t="n">
        <x:v>594.1088053385416</x:v>
      </x:c>
      <x:c r="X77" s="23" t="n">
        <x:v>602.9805908203125</x:v>
      </x:c>
      <x:c r="Y77" s="23" t="n">
        <x:v>594.627197265625</x:v>
      </x:c>
      <x:c r="Z77" s="23" t="n">
        <x:v>595.2083333333333</x:v>
      </x:c>
      <x:c r="AA77" s="23" t="n">
        <x:v>600.0190022786458</x:v>
      </x:c>
      <x:c r="AB77" s="23" t="n">
        <x:v>601.3324381510416</x:v>
      </x:c>
      <x:c r="AC77" s="23" t="n">
        <x:v>602.1485595703125</x:v>
      </x:c>
      <x:c r="AD77" s="23" t="n">
        <x:v>1430.214111328125</x:v>
      </x:c>
      <x:c r="AE77" s="23" t="n">
        <x:v>609.1260172526041</x:v>
      </x:c>
      <x:c r="AF77" s="23" t="n">
        <x:v>600.1846980041528</x:v>
      </x:c>
      <x:c r="AG77" s="23" t="n">
        <x:v>0</x:v>
      </x:c>
      <x:c r="AH77" s="23" t="n">
        <x:v>608.8815104166666</x:v>
      </x:c>
      <x:c r="AI77" s="23" t="n">
        <x:v>1393.080829321722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410.1572198100166</x:v>
      </x:c>
      <x:c r="BV77" s="23" t="n">
        <x:v>385.8980404600564</x:v>
      </x:c>
      <x:c r="BW77" s="23" t="n">
        <x:v>392.76052315281595</x:v>
      </x:c>
      <x:c r="BX77" s="23" t="n">
        <x:v>0</x:v>
      </x:c>
      <x:c r="BY77" s="23" t="n">
        <x:v>389.0358172243571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45.6339872326486</x:v>
      </x:c>
      <x:c r="CN77" s="23" t="n">
        <x:v>93.58561642826285</x:v>
      </x:c>
      <x:c r="CO77" s="23" t="n">
        <x:v>127.07503504107338</x:v>
      </x:c>
      <x:c r="CP77" s="23" t="n">
        <x:v>166.53541557500495</x:v>
      </x:c>
      <x:c r="CQ77" s="23" t="n">
        <x:v>228.84406725518875</x:v>
      </x:c>
      <x:c r="CR77" s="23" t="n">
        <x:v>278.50107831965425</x:v>
      </x:c>
      <x:c r="CS77" s="23" t="n">
        <x:v>326.2346452818583</x:v>
      </x:c>
      <x:c r="CT77" s="23" t="n">
        <x:v>394.4941866523242</x:v>
      </x:c>
      <x:c r="CU77" s="23" t="n">
        <x:v>444.45724862907616</x:v>
      </x:c>
      <x:c r="CV77" s="23" t="n">
        <x:v>478.2232617432463</x:v>
      </x:c>
      <x:c r="CW77" s="23" t="n">
        <x:v>519.0938618240073</x:v>
      </x:c>
      <x:c r="CX77" s="23" t="n">
        <x:v>571.0059111709755</x:v>
      </x:c>
      <x:c r="CY77" s="23" t="n">
        <x:v>628.3807312820813</x:v>
      </x:c>
      <x:c r="CZ77" s="23" t="n">
        <x:v>686.9223143753575</x:v>
      </x:c>
      <x:c r="DA77" s="23" t="n">
        <x:v>734.8461700130856</x:v>
      </x:c>
      <x:c r="DB77" s="23" t="n">
        <x:v>795.092941499659</x:v>
      </x:c>
      <x:c r="DC77" s="23" t="n">
        <x:v>866.3332833642992</x:v>
      </x:c>
      <x:c r="DD77" s="23" t="n">
        <x:v>784.4237522475446</x:v>
      </x:c>
      <x:c r="DE77" s="23" t="n">
        <x:v>629.621012908741</x:v>
      </x:c>
      <x:c r="DF77" s="23" t="n">
        <x:v>0</x:v>
      </x:c>
      <x:c r="DG77" s="23" t="n">
        <x:v>702.9733168061881</x:v>
      </x:c>
      <x:c r="DH77" s="23" t="n">
        <x:v>719.0291341145833</x:v>
      </x:c>
      <x:c r="DI77" s="23" t="n">
        <x:v>710.0941458785828</x:v>
      </x:c>
      <x:c r="DJ77" s="23" t="n">
        <x:v>0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708.6383272506952</x:v>
      </x:c>
      <x:c r="DT77" s="23" t="n">
        <x:v>0</x:v>
      </x:c>
      <x:c r="DU77" s="23" t="n">
        <x:v>0</x:v>
      </x:c>
      <x:c r="DV77" s="23" t="n">
        <x:v>727.598388671875</x:v>
      </x:c>
      <x:c r="DW77" s="23" t="n">
        <x:v>730.8567481433254</x:v>
      </x:c>
      <x:c r="DX77" s="23" t="n">
        <x:v>729.50732421875</x:v>
      </x:c>
      <x:c r="DY77" s="23" t="n">
        <x:v>725.088134765625</x:v>
      </x:c>
      <x:c r="DZ77" s="23" t="n">
        <x:v>725.5605079250256</x:v>
      </x:c>
      <x:c r="EA77" s="23" t="n">
        <x:v>762.9073893229166</x:v>
      </x:c>
      <x:c r="EB77" s="23" t="n">
        <x:v>694.0772157942707</x:v>
      </x:c>
      <x:c r="EC77" s="23" t="n">
        <x:v>553.7386881510416</x:v>
      </x:c>
      <x:c r="ED77" s="23" t="n">
        <x:v>1380.1138509114583</x:v>
      </x:c>
      <x:c r="EE77" s="23" t="n">
        <x:v>553.7226969401041</x:v>
      </x:c>
      <x:c r="EF77" s="23" t="n">
        <x:v>1376.8539225260415</x:v>
      </x:c>
      <x:c r="EG77" s="23" t="n">
        <x:v>1388.726847330729</x:v>
      </x:c>
      <x:c r="EH77" s="23" t="n">
        <x:v>556.1160481770833</x:v>
      </x:c>
      <x:c r="EI77" s="23" t="n">
        <x:v>560.1252034505208</x:v>
      </x:c>
      <x:c r="EJ77" s="23" t="n">
        <x:v>1396.8153076171875</x:v>
      </x:c>
      <x:c r="EK77" s="23" t="n">
        <x:v>869.4759661980776</x:v>
      </x:c>
      <x:c r="EL77" s="23" t="n">
        <x:v>563.9336344401041</x:v>
      </x:c>
      <x:c r="EM77" s="23" t="n">
        <x:v>583.9617106119791</x:v>
      </x:c>
      <x:c r="EN77" s="23" t="n">
        <x:v>1345.8424886067708</x:v>
      </x:c>
      <x:c r="EO77" s="23" t="n">
        <x:v>1251.8815104166665</x:v>
      </x:c>
      <x:c r="EP77" s="23" t="n">
        <x:f>SUM(B77:EO77)</x:f>
        <x:v>55718.7842111413</x:v>
      </x:c>
      <x:c r="EQ77" s="23" t="n">
        <x:f>SUMPRODUCT(B77:EO77,{0.4519,0.4233,0.4048,0.4591,0.459,0.4106,0.442,0.4475,0.3855,0.338,0.3768,0.4486,0.4365,0.4482,0.4833,0.4323,0.4077,0.4362,0.4324,0.4358,0.4462,0.4222,0.4416,0.4894,0.4699,0.4517,0.4676,0.4768,0.4588,0.4344,0.4431,0.4571,0.4356,0.4039,0.6124,0.9352,0.9675,0.9139,0.9117,0.8923,0.8581,0.822,0.7891,0.7683,0.718,0.63,0.8131,1.1539,1.1987,1.1324,1.1037,1.0683,1.0141,0.9626,0.9478,0.9583,0.9506,0.891,0.8633,0.8773,0.8662,0.8694,0.9179,0.9691,0.8411,0.5912,0.4765,0.4599,0.4647,0.4586,0.4374,0.4032,0.3666,0.3711,0.3864,0.367,0.5204,0.7891,0.8824,0.8884,0.8929,0.8823,0.8502,0.8504,0.9353,0.9332,0.9016,1.0334,0.9436,0.6632,0.6327,0.6828,0.6771,0.669,0.7042,0.7629,0.7901,0.8317,0.8796,0.8772,0.8908,0.9399,0.9771,0.9993,0.9875,0.9401,1.028,1.2062,1.252,1.2624,1.2836,1.2621,1.2746,1.3148,1.2954,1.2705,1.2698,1.2711,1.286,1.3013,1.2809,1.2348,1.2326,1.3068,1.1719,0.9079,0.8954,0.9474,0.9656,0.9997,0.7689,0.4077,0.3724,0.4166,0.4004,0.4297,0.4433,0.4293,0.4443,0.4449,0.4281,0.4287,0.373,0.3043})</x:f>
        <x:v>33062.90159278173</x:v>
      </x:c>
    </x:row>
    <x:row r="78" ht="14" customHeight="1">
      <x:c r="A78" s="3">
        <x:v>45765</x:v>
      </x:c>
      <x:c r="B78" s="23" t="n">
        <x:v>406.2376708984375</x:v>
      </x:c>
      <x:c r="C78" s="23" t="n">
        <x:v>407.5291341145833</x:v>
      </x:c>
      <x:c r="D78" s="23" t="n">
        <x:v>407.66581217447913</x:v>
      </x:c>
      <x:c r="E78" s="23" t="n">
        <x:v>408.38468424479163</x:v>
      </x:c>
      <x:c r="F78" s="23" t="n">
        <x:v>410.0096435546875</x:v>
      </x:c>
      <x:c r="G78" s="23" t="n">
        <x:v>0</x:v>
      </x:c>
      <x:c r="H78" s="23" t="n">
        <x:v>415.5750732421875</x:v>
      </x:c>
      <x:c r="I78" s="23" t="n">
        <x:v>426.5519612630208</x:v>
      </x:c>
      <x:c r="J78" s="23" t="n">
        <x:v>436.1632893880208</x:v>
      </x:c>
      <x:c r="K78" s="23" t="n">
        <x:v>432.43603515625</x:v>
      </x:c>
      <x:c r="L78" s="23" t="n">
        <x:v>242.23431762650176</x:v>
      </x:c>
      <x:c r="M78" s="23" t="n">
        <x:v>0</x:v>
      </x:c>
      <x:c r="N78" s="23" t="n">
        <x:v>418.2163899739583</x:v>
      </x:c>
      <x:c r="O78" s="23" t="n">
        <x:v>418.4462483723958</x:v>
      </x:c>
      <x:c r="P78" s="23" t="n">
        <x:v>440.295166015625</x:v>
      </x:c>
      <x:c r="Q78" s="23" t="n">
        <x:v>434.8426106770833</x:v>
      </x:c>
      <x:c r="R78" s="23" t="n">
        <x:v>428.712890625</x:v>
      </x:c>
      <x:c r="S78" s="23" t="n">
        <x:v>1271.8470052083333</x:v>
      </x:c>
      <x:c r="T78" s="23" t="n">
        <x:v>435.65421549479163</x:v>
      </x:c>
      <x:c r="U78" s="23" t="n">
        <x:v>438.2558186848958</x:v>
      </x:c>
      <x:c r="V78" s="23" t="n">
        <x:v>436.84037272135413</x:v>
      </x:c>
      <x:c r="W78" s="23" t="n">
        <x:v>434.9318440755208</x:v>
      </x:c>
      <x:c r="X78" s="23" t="n">
        <x:v>450.9795735677083</x:v>
      </x:c>
      <x:c r="Y78" s="23" t="n">
        <x:v>468.8660481770833</x:v>
      </x:c>
      <x:c r="Z78" s="23" t="n">
        <x:v>454.2661946614583</x:v>
      </x:c>
      <x:c r="AA78" s="23" t="n">
        <x:v>431.7716064453125</x:v>
      </x:c>
      <x:c r="AB78" s="23" t="n">
        <x:v>0</x:v>
      </x:c>
      <x:c r="AC78" s="23" t="n">
        <x:v>0</x:v>
      </x:c>
      <x:c r="AD78" s="23" t="n">
        <x:v>442.6292317708333</x:v>
      </x:c>
      <x:c r="AE78" s="23" t="n">
        <x:v>448.32059733072913</x:v>
      </x:c>
      <x:c r="AF78" s="23" t="n">
        <x:v>434.32355293689716</x:v>
      </x:c>
      <x:c r="AG78" s="23" t="n">
        <x:v>0</x:v>
      </x:c>
      <x:c r="AH78" s="23" t="n">
        <x:v>0</x:v>
      </x:c>
      <x:c r="AI78" s="23" t="n">
        <x:v>410.65791196404825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22.722922743778476</x:v>
      </x:c>
      <x:c r="CW78" s="23" t="n">
        <x:v>85.98545129972702</x:v>
      </x:c>
      <x:c r="CX78" s="23" t="n">
        <x:v>94.86866582605458</x:v>
      </x:c>
      <x:c r="CY78" s="23" t="n">
        <x:v>61.39784082342536</x:v>
      </x:c>
      <x:c r="CZ78" s="23" t="n">
        <x:v>112.6736083853109</x:v>
      </x:c>
      <x:c r="DA78" s="23" t="n">
        <x:v>170.35355105020273</x:v>
      </x:c>
      <x:c r="DB78" s="23" t="n">
        <x:v>224.73774357907809</x:v>
      </x:c>
      <x:c r="DC78" s="23" t="n">
        <x:v>274.87746677572517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453.817138671875</x:v>
      </x:c>
      <x:c r="DX78" s="23" t="n">
        <x:v>455.91324869791663</x:v>
      </x:c>
      <x:c r="DY78" s="23" t="n">
        <x:v>463.04203287760413</x:v>
      </x:c>
      <x:c r="DZ78" s="23" t="n">
        <x:v>462.80668131510413</x:v>
      </x:c>
      <x:c r="EA78" s="23" t="n">
        <x:v>178.71740107171593</x:v>
      </x:c>
      <x:c r="EB78" s="23" t="n">
        <x:v>451.42186097656247</x:v>
      </x:c>
      <x:c r="EC78" s="23" t="n">
        <x:v>385.5118001302083</x:v>
      </x:c>
      <x:c r="ED78" s="23" t="n">
        <x:v>1222.4324544270833</x:v>
      </x:c>
      <x:c r="EE78" s="23" t="n">
        <x:v>695.2315814324522</x:v>
      </x:c>
      <x:c r="EF78" s="23" t="n">
        <x:v>390.1286214192708</x:v>
      </x:c>
      <x:c r="EG78" s="23" t="n">
        <x:v>1227.0213216145833</x:v>
      </x:c>
      <x:c r="EH78" s="23" t="n">
        <x:v>1237.2670084635415</x:v>
      </x:c>
      <x:c r="EI78" s="23" t="n">
        <x:v>401.63663736979163</x:v>
      </x:c>
      <x:c r="EJ78" s="23" t="n">
        <x:v>394.9771728515625</x:v>
      </x:c>
      <x:c r="EK78" s="23" t="n">
        <x:v>400.716064453125</x:v>
      </x:c>
      <x:c r="EL78" s="23" t="n">
        <x:v>408.6484375</x:v>
      </x:c>
      <x:c r="EM78" s="23" t="n">
        <x:v>1242.2384033203125</x:v>
      </x:c>
      <x:c r="EN78" s="23" t="n">
        <x:v>1243.6861572265625</x:v>
      </x:c>
      <x:c r="EO78" s="23" t="n">
        <x:v>1243.9654134114583</x:v>
      </x:c>
      <x:c r="EP78" s="23" t="n">
        <x:f>SUM(B78:EO78)</x:f>
        <x:v>26699.44158808002</x:v>
      </x:c>
      <x:c r="EQ78" s="23" t="n">
        <x:f>SUMPRODUCT(B78:EO78,{0.3477,0.3817,0.3375,0.2771,0.3124,0.3897,0.3517,0.325,0.3553,0.3632,0.3817,0.3897,0.3287,0.3197,0.3716,0.3727,0.3586,0.3536,0.3434,0.3544,0.3595,0.3084,0.3112,0.3709,0.3787,0.3693,0.3782,0.3946,0.3721,0.339,0.3725,0.413,0.385,0.302,0.4392,0.7062,0.7231,0.6661,0.6558,0.6341,0.6249,0.6261,0.6035,0.5839,0.5388,0.444,0.5607,0.8031,0.8089,0.7786,0.7941,0.7403,0.7586,0.8082,0.7026,0.6573,0.6787,0.5704,0.5601,0.6736,0.687,0.6217,0.5934,0.6563,0.5189,0.2418,0.1948,0.2362,0.2417,0.2327,0.2127,0.2018,0.2275,0.2578,0.2463,0.2051,0.3568,0.5926,0.5696,0.5295,0.5635,0.5292,0.5467,0.6102,0.5834,0.5811,0.6622,0.7343,0.5995,0.3721,0.3773,0.4463,0.4776,0.5282,0.5171,0.4746,0.5245,0.5766,0.5842,0.5859,0.5699,0.5547,0.5874,0.6502,0.6743,0.6345,0.7989,1.0799,1.107,1.0868,1.1249,1.1116,1.0774,1.0685,1.0986,1.1365,1.147,1.115,1.0802,1.0806,1.1203,1.1302,1.1291,1.1711,1.0418,0.8047,0.7591,0.7729,0.7729,0.7883,0.5947,0.2979,0.2613,0.3051,0.3034,0.3143,0.3541,0.3736,0.3113,0.2646,0.2762,0.2985,0.3053,0.3125})</x:f>
        <x:v>10120.164257576533</x:v>
      </x:c>
    </x:row>
    <x:row r="79" ht="14" customHeight="1">
      <x:c r="A79" s="3">
        <x:v>45766</x:v>
      </x:c>
      <x:c r="B79" s="23" t="n">
        <x:v>401.44071451822913</x:v>
      </x:c>
      <x:c r="C79" s="23" t="n">
        <x:v>1240.428995768229</x:v>
      </x:c>
      <x:c r="D79" s="23" t="n">
        <x:v>411.4732259114583</x:v>
      </x:c>
      <x:c r="E79" s="23" t="n">
        <x:v>423.0712483723958</x:v>
      </x:c>
      <x:c r="F79" s="23" t="n">
        <x:v>417.660888671875</x:v>
      </x:c>
      <x:c r="G79" s="23" t="n">
        <x:v>0</x:v>
      </x:c>
      <x:c r="H79" s="23" t="n">
        <x:v>0</x:v>
      </x:c>
      <x:c r="I79" s="23" t="n">
        <x:v>0</x:v>
      </x:c>
      <x:c r="J79" s="23" t="n">
        <x:v>431.9644775390625</x:v>
      </x:c>
      <x:c r="K79" s="23" t="n">
        <x:v>0</x:v>
      </x:c>
      <x:c r="L79" s="23" t="n">
        <x:v>0</x:v>
      </x:c>
      <x:c r="M79" s="23" t="n">
        <x:v>430.1266682942708</x:v>
      </x:c>
      <x:c r="N79" s="23" t="n">
        <x:v>424.2244873046875</x:v>
      </x:c>
      <x:c r="O79" s="23" t="n">
        <x:v>431.6769612630208</x:v>
      </x:c>
      <x:c r="P79" s="23" t="n">
        <x:v>440.70926920572913</x:v>
      </x:c>
      <x:c r="Q79" s="23" t="n">
        <x:v>441.11075846354163</x:v>
      </x:c>
      <x:c r="R79" s="23" t="n">
        <x:v>438.8533935546875</x:v>
      </x:c>
      <x:c r="S79" s="23" t="n">
        <x:v>437.17264811197913</x:v>
      </x:c>
      <x:c r="T79" s="23" t="n">
        <x:v>440.074951171875</x:v>
      </x:c>
      <x:c r="U79" s="23" t="n">
        <x:v>437.6596272786458</x:v>
      </x:c>
      <x:c r="V79" s="23" t="n">
        <x:v>440.15409342447913</x:v>
      </x:c>
      <x:c r="W79" s="23" t="n">
        <x:v>446.20340983072913</x:v>
      </x:c>
      <x:c r="X79" s="23" t="n">
        <x:v>451.7347412109375</x:v>
      </x:c>
      <x:c r="Y79" s="23" t="n">
        <x:v>0</x:v>
      </x:c>
      <x:c r="Z79" s="23" t="n">
        <x:v>443.81787109375</x:v>
      </x:c>
      <x:c r="AA79" s="23" t="n">
        <x:v>439.2471516927083</x:v>
      </x:c>
      <x:c r="AB79" s="23" t="n">
        <x:v>0</x:v>
      </x:c>
      <x:c r="AC79" s="23" t="n">
        <x:v>449.9754231770833</x:v>
      </x:c>
      <x:c r="AD79" s="23" t="n">
        <x:v>451.12113444010413</x:v>
      </x:c>
      <x:c r="AE79" s="23" t="n">
        <x:v>348.12703875641483</x:v>
      </x:c>
      <x:c r="AF79" s="23" t="n">
        <x:v>440.9737781139866</x:v>
      </x:c>
      <x:c r="AG79" s="23" t="n">
        <x:v>445.6603153853692</x:v>
      </x:c>
      <x:c r="AH79" s="23" t="n">
        <x:v>450.1559651692708</x:v>
      </x:c>
      <x:c r="AI79" s="23" t="n">
        <x:v>414.40716785776567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0</x:v>
      </x:c>
      <x:c r="CV79" s="23" t="n">
        <x:v>27.469131736196005</x:v>
      </x:c>
      <x:c r="CW79" s="23" t="n">
        <x:v>91.97479528411016</x:v>
      </x:c>
      <x:c r="CX79" s="23" t="n">
        <x:v>100.8295357782888</x:v>
      </x:c>
      <x:c r="CY79" s="23" t="n">
        <x:v>63.857585489153884</x:v>
      </x:c>
      <x:c r="CZ79" s="23" t="n">
        <x:v>116.06843591707964</x:v>
      </x:c>
      <x:c r="DA79" s="23" t="n">
        <x:v>177.59283240637834</x:v>
      </x:c>
      <x:c r="DB79" s="23" t="n">
        <x:v>224.14976506865528</x:v>
      </x:c>
      <x:c r="DC79" s="23" t="n">
        <x:v>281.10317391293273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454.5282796223958</x:v>
      </x:c>
      <x:c r="DX79" s="23" t="n">
        <x:v>455.05387369791663</x:v>
      </x:c>
      <x:c r="DY79" s="23" t="n">
        <x:v>138.71142181439146</x:v>
      </x:c>
      <x:c r="DZ79" s="23" t="n">
        <x:v>454.31803385416663</x:v>
      </x:c>
      <x:c r="EA79" s="23" t="n">
        <x:v>457.618896484375</x:v>
      </x:c>
      <x:c r="EB79" s="23" t="n">
        <x:v>442.0055831510417</x:v>
      </x:c>
      <x:c r="EC79" s="23" t="n">
        <x:v>570.8595891002766</x:v>
      </x:c>
      <x:c r="ED79" s="23" t="n">
        <x:v>1232.9755045572915</x:v>
      </x:c>
      <x:c r="EE79" s="23" t="n">
        <x:v>1221.6079915364583</x:v>
      </x:c>
      <x:c r="EF79" s="23" t="n">
        <x:v>1216.975870768229</x:v>
      </x:c>
      <x:c r="EG79" s="23" t="n">
        <x:v>388.7813313802083</x:v>
      </x:c>
      <x:c r="EH79" s="23" t="n">
        <x:v>395.2682698567708</x:v>
      </x:c>
      <x:c r="EI79" s="23" t="n">
        <x:v>1231.3487141927083</x:v>
      </x:c>
      <x:c r="EJ79" s="23" t="n">
        <x:v>1237.6750081380208</x:v>
      </x:c>
      <x:c r="EK79" s="23" t="n">
        <x:v>410.57230631510413</x:v>
      </x:c>
      <x:c r="EL79" s="23" t="n">
        <x:v>1243.6925455729165</x:v>
      </x:c>
      <x:c r="EM79" s="23" t="n">
        <x:v>1230.267130533854</x:v>
      </x:c>
      <x:c r="EN79" s="23" t="n">
        <x:v>426.92093912760413</x:v>
      </x:c>
      <x:c r="EO79" s="23" t="n">
        <x:v>0</x:v>
      </x:c>
      <x:c r="EP79" s="23" t="n">
        <x:f>SUM(B79:EO79)</x:f>
        <x:v>26761.45295087881</x:v>
      </x:c>
      <x:c r="EQ79" s="23" t="n">
        <x:f>SUMPRODUCT(B79:EO79,{0.3478,0.3498,0.3267,0.3483,0.362,0.3513,0.3534,0.3496,0.3289,0.3069,0.3144,0.3473,0.3709,0.3799,0.367,0.3289,0.3134,0.322,0.3186,0.3496,0.3921,0.3693,0.3527,0.3767,0.3977,0.3617,0.3097,0.3383,0.3823,0.3803,0.3418,0.3671,0.4008,0.3179,0.4107,0.6572,0.7247,0.7141,0.7017,0.6532,0.6371,0.6626,0.6676,0.6478,0.5874,0.5049,0.6456,0.8877,0.8452,0.7625,0.7681,0.7521,0.7609,0.7946,0.7818,0.7198,0.6748,0.7154,0.724,0.6846,0.685,0.6412,0.5705,0.5639,0.4334,0.2272,0.2,0.2107,0.1868,0.1973,0.1965,0.1693,0.1562,0.1728,0.1681,0.1113,0.273,0.5586,0.5782,0.5155,0.5167,0.5416,0.552,0.5617,0.6101,0.6417,0.6598,0.6992,0.5998,0.4146,0.3773,0.3981,0.4227,0.4831,0.4831,0.4551,0.5232,0.54,0.5124,0.5891,0.6003,0.5379,0.5722,0.6186,0.6304,0.6763,0.8569,1.0754,1.1161,1.0964,1.1038,1.114,1.1171,1.1154,1.1165,1.1176,1.1081,1.0854,1.0942,1.1191,1.1002,1.0868,1.1215,1.1659,1.0143,0.7725,0.7622,0.7688,0.7432,0.8128,0.6252,0.2912,0.3081,0.3861,0.358,0.345,0.3214,0.2838,0.2756,0.2772,0.2738,0.277,0.3167,0.3816})</x:f>
        <x:v>10210.164191407048</x:v>
      </x:c>
    </x:row>
    <x:row r="80" ht="14" customHeight="1">
      <x:c r="A80" s="3">
        <x:v>45767</x:v>
      </x:c>
      <x:c r="B80" s="23" t="n">
        <x:v>580.1174723307291</x:v>
      </x:c>
      <x:c r="C80" s="23" t="n">
        <x:v>557.6894938151041</x:v>
      </x:c>
      <x:c r="D80" s="23" t="n">
        <x:v>1387.87890625</x:v>
      </x:c>
      <x:c r="E80" s="23" t="n">
        <x:v>1394.2523600260415</x:v>
      </x:c>
      <x:c r="F80" s="23" t="n">
        <x:v>574.2876383463541</x:v>
      </x:c>
      <x:c r="G80" s="23" t="n">
        <x:v>578.3690592447916</x:v>
      </x:c>
      <x:c r="H80" s="23" t="n">
        <x:v>572.3388264973958</x:v>
      </x:c>
      <x:c r="I80" s="23" t="n">
        <x:v>571.0013020833333</x:v>
      </x:c>
      <x:c r="J80" s="23" t="n">
        <x:v>585.6355387369791</x:v>
      </x:c>
      <x:c r="K80" s="23" t="n">
        <x:v>589.1097005208333</x:v>
      </x:c>
      <x:c r="L80" s="23" t="n">
        <x:v>592.1805013020833</x:v>
      </x:c>
      <x:c r="M80" s="23" t="n">
        <x:v>593.5030924479166</x:v>
      </x:c>
      <x:c r="N80" s="23" t="n">
        <x:v>582.781494140625</x:v>
      </x:c>
      <x:c r="O80" s="23" t="n">
        <x:v>1425.3373209635415</x:v>
      </x:c>
      <x:c r="P80" s="23" t="n">
        <x:v>860.8546712897846</x:v>
      </x:c>
      <x:c r="Q80" s="23" t="n">
        <x:v>602.4923502604166</x:v>
      </x:c>
      <x:c r="R80" s="23" t="n">
        <x:v>592.3365478515625</x:v>
      </x:c>
      <x:c r="S80" s="23" t="n">
        <x:v>1410.563028971354</x:v>
      </x:c>
      <x:c r="T80" s="23" t="n">
        <x:v>1428.3599853515625</x:v>
      </x:c>
      <x:c r="U80" s="23" t="n">
        <x:v>595.9663492838541</x:v>
      </x:c>
      <x:c r="V80" s="23" t="n">
        <x:v>593.2474365234375</x:v>
      </x:c>
      <x:c r="W80" s="23" t="n">
        <x:v>592.5634765625</x:v>
      </x:c>
      <x:c r="X80" s="23" t="n">
        <x:v>597.75244140625</x:v>
      </x:c>
      <x:c r="Y80" s="23" t="n">
        <x:v>593.2958984375</x:v>
      </x:c>
      <x:c r="Z80" s="23" t="n">
        <x:v>587.2211100260416</x:v>
      </x:c>
      <x:c r="AA80" s="23" t="n">
        <x:v>598.0013834635416</x:v>
      </x:c>
      <x:c r="AB80" s="23" t="n">
        <x:v>613.1186116536458</x:v>
      </x:c>
      <x:c r="AC80" s="23" t="n">
        <x:v>595.8291422526041</x:v>
      </x:c>
      <x:c r="AD80" s="23" t="n">
        <x:v>594.3929850260416</x:v>
      </x:c>
      <x:c r="AE80" s="23" t="n">
        <x:v>611.24609375</x:v>
      </x:c>
      <x:c r="AF80" s="23" t="n">
        <x:v>601.445388606315</x:v>
      </x:c>
      <x:c r="AG80" s="23" t="n">
        <x:v>598.9487031660232</x:v>
      </x:c>
      <x:c r="AH80" s="23" t="n">
        <x:v>595.1572672526041</x:v>
      </x:c>
      <x:c r="AI80" s="23" t="n">
        <x:v>1397.854264166148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0</x:v>
      </x:c>
      <x:c r="BV80" s="23" t="n">
        <x:v>216.3135042252492</x:v>
      </x:c>
      <x:c r="BW80" s="23" t="n">
        <x:v>0</x:v>
      </x:c>
      <x:c r="BX80" s="23" t="n">
        <x:v>0</x:v>
      </x:c>
      <x:c r="BY80" s="23" t="n">
        <x:v>386.57973309833983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26.759457587459867</x:v>
      </x:c>
      <x:c r="CN80" s="23" t="n">
        <x:v>85.74789059015316</x:v>
      </x:c>
      <x:c r="CO80" s="23" t="n">
        <x:v>121.4075281328863</x:v>
      </x:c>
      <x:c r="CP80" s="23" t="n">
        <x:v>156.49133239930492</x:v>
      </x:c>
      <x:c r="CQ80" s="23" t="n">
        <x:v>212.715417110793</x:v>
      </x:c>
      <x:c r="CR80" s="23" t="n">
        <x:v>265.75211738255257</x:v>
      </x:c>
      <x:c r="CS80" s="23" t="n">
        <x:v>313.22820775132215</x:v>
      </x:c>
      <x:c r="CT80" s="23" t="n">
        <x:v>374.6282006778832</x:v>
      </x:c>
      <x:c r="CU80" s="23" t="n">
        <x:v>430.25562867663996</x:v>
      </x:c>
      <x:c r="CV80" s="23" t="n">
        <x:v>469.73801961655545</x:v>
      </x:c>
      <x:c r="CW80" s="23" t="n">
        <x:v>519.198746719134</x:v>
      </x:c>
      <x:c r="CX80" s="23" t="n">
        <x:v>574.5438471812279</x:v>
      </x:c>
      <x:c r="CY80" s="23" t="n">
        <x:v>630.3792641235573</x:v>
      </x:c>
      <x:c r="CZ80" s="23" t="n">
        <x:v>677.0405640800818</x:v>
      </x:c>
      <x:c r="DA80" s="23" t="n">
        <x:v>730.983939528561</x:v>
      </x:c>
      <x:c r="DB80" s="23" t="n">
        <x:v>773.2784371751659</x:v>
      </x:c>
      <x:c r="DC80" s="23" t="n">
        <x:v>828.3619109367653</x:v>
      </x:c>
      <x:c r="DD80" s="23" t="n">
        <x:v>761.1969180612725</x:v>
      </x:c>
      <x:c r="DE80" s="23" t="n">
        <x:v>616.4411651587404</x:v>
      </x:c>
      <x:c r="DF80" s="23" t="n">
        <x:v>0</x:v>
      </x:c>
      <x:c r="DG80" s="23" t="n">
        <x:v>0</x:v>
      </x:c>
      <x:c r="DH80" s="23" t="n">
        <x:v>0</x:v>
      </x:c>
      <x:c r="DI80" s="23" t="n">
        <x:v>694.6450836190784</x:v>
      </x:c>
      <x:c r="DJ80" s="23" t="n">
        <x:v>709.893712966775</x:v>
      </x:c>
      <x:c r="DK80" s="23" t="n">
        <x:v>0</x:v>
      </x:c>
      <x:c r="DL80" s="23" t="n">
        <x:v>724.023193359375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630.8541835514686</x:v>
      </x:c>
      <x:c r="DT80" s="23" t="n">
        <x:v>0</x:v>
      </x:c>
      <x:c r="DU80" s="23" t="n">
        <x:v>0</x:v>
      </x:c>
      <x:c r="DV80" s="23" t="n">
        <x:v>721.8436686197916</x:v>
      </x:c>
      <x:c r="DW80" s="23" t="n">
        <x:v>725.70068359375</x:v>
      </x:c>
      <x:c r="DX80" s="23" t="n">
        <x:v>724.567626953125</x:v>
      </x:c>
      <x:c r="DY80" s="23" t="n">
        <x:v>706.755126953125</x:v>
      </x:c>
      <x:c r="DZ80" s="23" t="n">
        <x:v>720.1162109375</x:v>
      </x:c>
      <x:c r="EA80" s="23" t="n">
        <x:v>756.4165385937499</x:v>
      </x:c>
      <x:c r="EB80" s="23" t="n">
        <x:v>666.5501795052085</x:v>
      </x:c>
      <x:c r="EC80" s="23" t="n">
        <x:v>544.1102935996976</x:v>
      </x:c>
      <x:c r="ED80" s="23" t="n">
        <x:v>1365.328165690104</x:v>
      </x:c>
      <x:c r="EE80" s="23" t="n">
        <x:v>1381.544718424479</x:v>
      </x:c>
      <x:c r="EF80" s="23" t="n">
        <x:v>1375.6683349609375</x:v>
      </x:c>
      <x:c r="EG80" s="23" t="n">
        <x:v>537.256591796875</x:v>
      </x:c>
      <x:c r="EH80" s="23" t="n">
        <x:v>536.3117268880208</x:v>
      </x:c>
      <x:c r="EI80" s="23" t="n">
        <x:v>1383.4392903645833</x:v>
      </x:c>
      <x:c r="EJ80" s="23" t="n">
        <x:v>535.662841796875</x:v>
      </x:c>
      <x:c r="EK80" s="23" t="n">
        <x:v>541.71630859375</x:v>
      </x:c>
      <x:c r="EL80" s="23" t="n">
        <x:v>1386.7227783203125</x:v>
      </x:c>
      <x:c r="EM80" s="23" t="n">
        <x:v>883.733945284369</x:v>
      </x:c>
      <x:c r="EN80" s="23" t="n">
        <x:v>567.8417561848958</x:v>
      </x:c>
      <x:c r="EO80" s="23" t="n">
        <x:v>1396.8722737630208</x:v>
      </x:c>
      <x:c r="EP80" s="23" t="n">
        <x:f>SUM(B80:EO80)</x:f>
        <x:v>54633.74690654144</x:v>
      </x:c>
      <x:c r="EQ80" s="23" t="n">
        <x:f>SUMPRODUCT(B80:EO80,{0.4216,0.4141,0.3957,0.4248,0.4435,0.4397,0.4554,0.4541,0.4273,0.411,0.4228,0.4268,0.3808,0.4023,0.4661,0.4329,0.428,0.4743,0.4639,0.4473,0.4517,0.446,0.4262,0.4238,0.4687,0.4782,0.4386,0.4201,0.4366,0.4466,0.4094,0.4394,0.4695,0.3618,0.5507,0.9379,0.9572,0.8732,0.8788,0.8876,0.8505,0.7871,0.7545,0.731,0.6832,0.6457,0.8721,1.2043,1.1992,1.1244,1.1279,1.095,1.0651,1.0482,1.0075,1.0034,1.0169,0.9649,0.9213,0.891,0.8075,0.7539,0.7944,0.8759,0.7255,0.456,0.4597,0.5007,0.4626,0.4632,0.4397,0.3944,0.4142,0.4724,0.483,0.4157,0.5619,0.8372,0.8506,0.8033,0.808,0.7785,0.7944,0.8754,0.9483,0.9865,0.9937,0.9677,0.8208,0.6358,0.6123,0.6572,0.6911,0.7261,0.781,0.8141,0.772,0.7934,0.8611,0.8304,0.8538,0.9432,0.9545,0.98,1.0203,0.9946,1.0958,1.2622,1.229,1.2036,1.2557,1.2469,1.2417,1.2642,1.2663,1.2831,1.294,1.2403,1.2161,1.2572,1.2957,1.2451,1.1978,1.3046,1.2389,0.9925,0.8982,0.8986,0.9339,0.9795,0.7676,0.4314,0.399,0.4365,0.4139,0.4312,0.4149,0.3772,0.4172,0.4556,0.4466,0.426,0.4326,0.459})</x:f>
        <x:v>32717.072653324736</x:v>
      </x:c>
    </x:row>
    <x:row r="81" ht="14" customHeight="1">
      <x:c r="A81" s="3">
        <x:v>45768</x:v>
      </x:c>
      <x:c r="B81" s="23" t="n">
        <x:v>561.7146402994791</x:v>
      </x:c>
      <x:c r="C81" s="23" t="n">
        <x:v>568.0110270182291</x:v>
      </x:c>
      <x:c r="D81" s="23" t="n">
        <x:v>561.1973876953125</x:v>
      </x:c>
      <x:c r="E81" s="23" t="n">
        <x:v>571.8006591796875</x:v>
      </x:c>
      <x:c r="F81" s="23" t="n">
        <x:v>1406.889404296875</x:v>
      </x:c>
      <x:c r="G81" s="23" t="n">
        <x:v>1399.6525065104165</x:v>
      </x:c>
      <x:c r="H81" s="23" t="n">
        <x:v>571.9001871744791</x:v>
      </x:c>
      <x:c r="I81" s="23" t="n">
        <x:v>586.0320231119791</x:v>
      </x:c>
      <x:c r="J81" s="23" t="n">
        <x:v>1413.1477864583333</x:v>
      </x:c>
      <x:c r="K81" s="23" t="n">
        <x:v>581.9068603515625</x:v>
      </x:c>
      <x:c r="L81" s="23" t="n">
        <x:v>591.1925862630208</x:v>
      </x:c>
      <x:c r="M81" s="23" t="n">
        <x:v>594.970947265625</x:v>
      </x:c>
      <x:c r="N81" s="23" t="n">
        <x:v>585.0503336588541</x:v>
      </x:c>
      <x:c r="O81" s="23" t="n">
        <x:v>584.7572021484375</x:v>
      </x:c>
      <x:c r="P81" s="23" t="n">
        <x:v>994.4733133793072</x:v>
      </x:c>
      <x:c r="Q81" s="23" t="n">
        <x:v>1424.94140625</x:v>
      </x:c>
      <x:c r="R81" s="23" t="n">
        <x:v>594.6677652994791</x:v>
      </x:c>
      <x:c r="S81" s="23" t="n">
        <x:v>598.9065755208333</x:v>
      </x:c>
      <x:c r="T81" s="23" t="n">
        <x:v>592.0419921875</x:v>
      </x:c>
      <x:c r="U81" s="23" t="n">
        <x:v>1421.6988932291665</x:v>
      </x:c>
      <x:c r="V81" s="23" t="n">
        <x:v>598.3059488932291</x:v>
      </x:c>
      <x:c r="W81" s="23" t="n">
        <x:v>600.7601318359375</x:v>
      </x:c>
      <x:c r="X81" s="23" t="n">
        <x:v>600.9186604817708</x:v>
      </x:c>
      <x:c r="Y81" s="23" t="n">
        <x:v>601.8677978515625</x:v>
      </x:c>
      <x:c r="Z81" s="23" t="n">
        <x:v>604.0753987630208</x:v>
      </x:c>
      <x:c r="AA81" s="23" t="n">
        <x:v>604.6673990885416</x:v>
      </x:c>
      <x:c r="AB81" s="23" t="n">
        <x:v>590.051513671875</x:v>
      </x:c>
      <x:c r="AC81" s="23" t="n">
        <x:v>600.2803548177083</x:v>
      </x:c>
      <x:c r="AD81" s="23" t="n">
        <x:v>607.124755859375</x:v>
      </x:c>
      <x:c r="AE81" s="23" t="n">
        <x:v>604.4814453125</x:v>
      </x:c>
      <x:c r="AF81" s="23" t="n">
        <x:v>594.807734261321</x:v>
      </x:c>
      <x:c r="AG81" s="23" t="n">
        <x:v>593.4369245701682</x:v>
      </x:c>
      <x:c r="AH81" s="23" t="n">
        <x:v>602.9525960286458</x:v>
      </x:c>
      <x:c r="AI81" s="23" t="n">
        <x:v>1399.752264219047</x:v>
      </x:c>
      <x:c r="AJ81" s="23" t="n">
        <x:v>0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44.72189056331622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0</x:v>
      </x:c>
      <x:c r="BV81" s="23" t="n">
        <x:v>0</x:v>
      </x:c>
      <x:c r="BW81" s="23" t="n">
        <x:v>0</x:v>
      </x:c>
      <x:c r="BX81" s="23" t="n">
        <x:v>0</x:v>
      </x:c>
      <x:c r="BY81" s="23" t="n">
        <x:v>406.66464008286914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12.31826914467759</x:v>
      </x:c>
      <x:c r="CN81" s="23" t="n">
        <x:v>56.55685025380019</x:v>
      </x:c>
      <x:c r="CO81" s="23" t="n">
        <x:v>92.86299306091237</x:v>
      </x:c>
      <x:c r="CP81" s="23" t="n">
        <x:v>136.0909432265809</x:v>
      </x:c>
      <x:c r="CQ81" s="23" t="n">
        <x:v>200.57918388897752</x:v>
      </x:c>
      <x:c r="CR81" s="23" t="n">
        <x:v>255.1504678896869</x:v>
      </x:c>
      <x:c r="CS81" s="23" t="n">
        <x:v>305.0538684399894</x:v>
      </x:c>
      <x:c r="CT81" s="23" t="n">
        <x:v>362.6351720623285</x:v>
      </x:c>
      <x:c r="CU81" s="23" t="n">
        <x:v>415.46292723495446</x:v>
      </x:c>
      <x:c r="CV81" s="23" t="n">
        <x:v>460.33800415282496</x:v>
      </x:c>
      <x:c r="CW81" s="23" t="n">
        <x:v>522.0538929448414</x:v>
      </x:c>
      <x:c r="CX81" s="23" t="n">
        <x:v>562.0798802937434</x:v>
      </x:c>
      <x:c r="CY81" s="23" t="n">
        <x:v>567.7778901879542</x:v>
      </x:c>
      <x:c r="CZ81" s="23" t="n">
        <x:v>655.1686656910829</x:v>
      </x:c>
      <x:c r="DA81" s="23" t="n">
        <x:v>719.4930133959402</x:v>
      </x:c>
      <x:c r="DB81" s="23" t="n">
        <x:v>770.9934141045562</x:v>
      </x:c>
      <x:c r="DC81" s="23" t="n">
        <x:v>845.5456898844874</x:v>
      </x:c>
      <x:c r="DD81" s="23" t="n">
        <x:v>764.9735639135015</x:v>
      </x:c>
      <x:c r="DE81" s="23" t="n">
        <x:v>592.2729650616594</x:v>
      </x:c>
      <x:c r="DF81" s="23" t="n">
        <x:v>618.7126596230353</x:v>
      </x:c>
      <x:c r="DG81" s="23" t="n">
        <x:v>693.1007169244849</x:v>
      </x:c>
      <x:c r="DH81" s="23" t="n">
        <x:v>0</x:v>
      </x:c>
      <x:c r="DI81" s="23" t="n">
        <x:v>0</x:v>
      </x:c>
      <x:c r="DJ81" s="23" t="n">
        <x:v>0</x:v>
      </x:c>
      <x:c r="DK81" s="23" t="n">
        <x:v>0</x:v>
      </x:c>
      <x:c r="DL81" s="23" t="n">
        <x:v>671.1335014813981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710.4462890625</x:v>
      </x:c>
      <x:c r="DT81" s="23" t="n">
        <x:v>0</x:v>
      </x:c>
      <x:c r="DU81" s="23" t="n">
        <x:v>0</x:v>
      </x:c>
      <x:c r="DV81" s="23" t="n">
        <x:v>719.2249348958333</x:v>
      </x:c>
      <x:c r="DW81" s="23" t="n">
        <x:v>720.35595703125</x:v>
      </x:c>
      <x:c r="DX81" s="23" t="n">
        <x:v>713.5947265625</x:v>
      </x:c>
      <x:c r="DY81" s="23" t="n">
        <x:v>719.310318785365</x:v>
      </x:c>
      <x:c r="DZ81" s="23" t="n">
        <x:v>711.206298828125</x:v>
      </x:c>
      <x:c r="EA81" s="23" t="n">
        <x:v>745.8778483072916</x:v>
      </x:c>
      <x:c r="EB81" s="23" t="n">
        <x:v>684.4648297265624</x:v>
      </x:c>
      <x:c r="EC81" s="23" t="n">
        <x:v>1381.2242431640625</x:v>
      </x:c>
      <x:c r="ED81" s="23" t="n">
        <x:v>1373.2127278645833</x:v>
      </x:c>
      <x:c r="EE81" s="23" t="n">
        <x:v>551.6035970052083</x:v>
      </x:c>
      <x:c r="EF81" s="23" t="n">
        <x:v>552.3887125651041</x:v>
      </x:c>
      <x:c r="EG81" s="23" t="n">
        <x:v>1385.6980794270833</x:v>
      </x:c>
      <x:c r="EH81" s="23" t="n">
        <x:v>1384.5789388020833</x:v>
      </x:c>
      <x:c r="EI81" s="23" t="n">
        <x:v>559.3846028645833</x:v>
      </x:c>
      <x:c r="EJ81" s="23" t="n">
        <x:v>556.9604899088541</x:v>
      </x:c>
      <x:c r="EK81" s="23" t="n">
        <x:v>1396.5653889973958</x:v>
      </x:c>
      <x:c r="EL81" s="23" t="n">
        <x:v>1394.0155843098958</x:v>
      </x:c>
      <x:c r="EM81" s="23" t="n">
        <x:v>862.867323619953</x:v>
      </x:c>
      <x:c r="EN81" s="23" t="n">
        <x:v>562.1440022786458</x:v>
      </x:c>
      <x:c r="EO81" s="23" t="n">
        <x:v>565.8494466145833</x:v>
      </x:c>
      <x:c r="EP81" s="23" t="n">
        <x:f>SUM(B81:EO81)</x:f>
        <x:v>54391.15182708236</x:v>
      </x:c>
      <x:c r="EQ81" s="23" t="n">
        <x:f>SUMPRODUCT(B81:EO81,{0.4596,0.4246,0.3923,0.4146,0.442,0.4312,0.393,0.4209,0.4688,0.4053,0.3852,0.4404,0.4428,0.4113,0.4045,0.4532,0.4759,0.4588,0.4621,0.4576,0.4406,0.4388,0.4234,0.4068,0.4321,0.4443,0.4384,0.4627,0.478,0.472,0.4772,0.5076,0.4917,0.3909,0.5901,0.9584,0.9583,0.8966,0.9169,0.8479,0.7776,0.7616,0.7586,0.7473,0.6974,0.6372,0.8686,1.2149,1.1679,1.0646,1.0772,1.0442,0.9981,0.9804,0.983,0.9724,0.9477,0.9395,0.9495,0.9442,0.8922,0.878,0.9122,0.8964,0.7165,0.4887,0.4606,0.4784,0.4544,0.4404,0.3799,0.318,0.3637,0.3688,0.2972,0.2898,0.4737,0.7203,0.7567,0.7264,0.7476,0.8018,0.8504,0.8518,0.8024,0.8418,0.958,0.9744,0.8096,0.6169,0.6376,0.6419,0.6038,0.718,0.7826,0.7394,0.7388,0.7787,0.828,0.8679,0.8826,0.8986,0.9535,0.9643,0.9243,0.9334,1.0803,1.2565,1.2553,1.2427,1.2686,1.2313,1.2574,1.3263,1.2819,1.2487,1.2676,1.252,1.2266,1.2317,1.269,1.2512,1.2214,1.2796,1.1631,0.9325,0.9298,0.9719,0.9806,1.0208,0.7904,0.4173,0.3742,0.423,0.4099,0.422,0.4416,0.4431,0.4229,0.3792,0.3622,0.425,0.4337,0.3887})</x:f>
        <x:v>32236.343674586384</x:v>
      </x:c>
    </x:row>
    <x:row r="82" ht="14" customHeight="1">
      <x:c r="A82" s="3">
        <x:v>45769</x:v>
      </x:c>
      <x:c r="B82" s="23" t="n">
        <x:v>566.1078694661458</x:v>
      </x:c>
      <x:c r="C82" s="23" t="n">
        <x:v>570.9818522135416</x:v>
      </x:c>
      <x:c r="D82" s="23" t="n">
        <x:v>564.5818684895833</x:v>
      </x:c>
      <x:c r="E82" s="23" t="n">
        <x:v>1400.5633951822915</x:v>
      </x:c>
      <x:c r="F82" s="23" t="n">
        <x:v>568.8392740885416</x:v>
      </x:c>
      <x:c r="G82" s="23" t="n">
        <x:v>572.9251708984375</x:v>
      </x:c>
      <x:c r="H82" s="23" t="n">
        <x:v>572.6961263020833</x:v>
      </x:c>
      <x:c r="I82" s="23" t="n">
        <x:v>581.8672688802083</x:v>
      </x:c>
      <x:c r="J82" s="23" t="n">
        <x:v>592.5040283203125</x:v>
      </x:c>
      <x:c r="K82" s="23" t="n">
        <x:v>592.6134440104166</x:v>
      </x:c>
      <x:c r="L82" s="23" t="n">
        <x:v>594.3218587239583</x:v>
      </x:c>
      <x:c r="M82" s="23" t="n">
        <x:v>591.038330078125</x:v>
      </x:c>
      <x:c r="N82" s="23" t="n">
        <x:v>578.8171793619791</x:v>
      </x:c>
      <x:c r="O82" s="23" t="n">
        <x:v>579.5963134765625</x:v>
      </x:c>
      <x:c r="P82" s="23" t="n">
        <x:v>591.3053385416666</x:v>
      </x:c>
      <x:c r="Q82" s="23" t="n">
        <x:v>1427.0609537760415</x:v>
      </x:c>
      <x:c r="R82" s="23" t="n">
        <x:v>1231.5782567657</x:v>
      </x:c>
      <x:c r="S82" s="23" t="n">
        <x:v>590.7154134114583</x:v>
      </x:c>
      <x:c r="T82" s="23" t="n">
        <x:v>593.4893391927083</x:v>
      </x:c>
      <x:c r="U82" s="23" t="n">
        <x:v>597.9480794270833</x:v>
      </x:c>
      <x:c r="V82" s="23" t="n">
        <x:v>593.1743570963541</x:v>
      </x:c>
      <x:c r="W82" s="23" t="n">
        <x:v>1422.0106608072915</x:v>
      </x:c>
      <x:c r="X82" s="23" t="n">
        <x:v>590.2633463541666</x:v>
      </x:c>
      <x:c r="Y82" s="23" t="n">
        <x:v>596.3362223307291</x:v>
      </x:c>
      <x:c r="Z82" s="23" t="n">
        <x:v>599.3094889322916</x:v>
      </x:c>
      <x:c r="AA82" s="23" t="n">
        <x:v>592.4078369140625</x:v>
      </x:c>
      <x:c r="AB82" s="23" t="n">
        <x:v>585.638671875</x:v>
      </x:c>
      <x:c r="AC82" s="23" t="n">
        <x:v>601.0767415364583</x:v>
      </x:c>
      <x:c r="AD82" s="23" t="n">
        <x:v>604.1500651041666</x:v>
      </x:c>
      <x:c r="AE82" s="23" t="n">
        <x:v>592.9638264973958</x:v>
      </x:c>
      <x:c r="AF82" s="23" t="n">
        <x:v>589.2788414255815</x:v>
      </x:c>
      <x:c r="AG82" s="23" t="n">
        <x:v>595.486276725486</x:v>
      </x:c>
      <x:c r="AH82" s="23" t="n">
        <x:v>599.096435546875</x:v>
      </x:c>
      <x:c r="AI82" s="23" t="n">
        <x:v>1400.9541539427614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388.96008767130843</x:v>
      </x:c>
      <x:c r="BU82" s="23" t="n">
        <x:v>115.9324863036392</x:v>
      </x:c>
      <x:c r="BV82" s="23" t="n">
        <x:v>358.172913130819</x:v>
      </x:c>
      <x:c r="BW82" s="23" t="n">
        <x:v>0</x:v>
      </x:c>
      <x:c r="BX82" s="23" t="n">
        <x:v>0</x:v>
      </x:c>
      <x:c r="BY82" s="23" t="n">
        <x:v>357.0402113079772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0</x:v>
      </x:c>
      <x:c r="CN82" s="23" t="n">
        <x:v>45.65513261731409</x:v>
      </x:c>
      <x:c r="CO82" s="23" t="n">
        <x:v>90.43765106035167</x:v>
      </x:c>
      <x:c r="CP82" s="23" t="n">
        <x:v>135.10990438856606</x:v>
      </x:c>
      <x:c r="CQ82" s="23" t="n">
        <x:v>206.88876042714065</x:v>
      </x:c>
      <x:c r="CR82" s="23" t="n">
        <x:v>267.47682861985624</x:v>
      </x:c>
      <x:c r="CS82" s="23" t="n">
        <x:v>310.5809245162627</x:v>
      </x:c>
      <x:c r="CT82" s="23" t="n">
        <x:v>365.93028447709827</x:v>
      </x:c>
      <x:c r="CU82" s="23" t="n">
        <x:v>413.2123407268184</x:v>
      </x:c>
      <x:c r="CV82" s="23" t="n">
        <x:v>460.3882133676064</x:v>
      </x:c>
      <x:c r="CW82" s="23" t="n">
        <x:v>518.1943046892966</x:v>
      </x:c>
      <x:c r="CX82" s="23" t="n">
        <x:v>569.8734491916789</x:v>
      </x:c>
      <x:c r="CY82" s="23" t="n">
        <x:v>619.8836380643808</x:v>
      </x:c>
      <x:c r="CZ82" s="23" t="n">
        <x:v>667.9866966658363</x:v>
      </x:c>
      <x:c r="DA82" s="23" t="n">
        <x:v>718.7957317153056</x:v>
      </x:c>
      <x:c r="DB82" s="23" t="n">
        <x:v>771.3056945468471</x:v>
      </x:c>
      <x:c r="DC82" s="23" t="n">
        <x:v>841.044302415311</x:v>
      </x:c>
      <x:c r="DD82" s="23" t="n">
        <x:v>767.4912449934882</x:v>
      </x:c>
      <x:c r="DE82" s="23" t="n">
        <x:v>608.0427238156319</x:v>
      </x:c>
      <x:c r="DF82" s="23" t="n">
        <x:v>631.3119976665917</x:v>
      </x:c>
      <x:c r="DG82" s="23" t="n">
        <x:v>0</x:v>
      </x:c>
      <x:c r="DH82" s="23" t="n">
        <x:v>0</x:v>
      </x:c>
      <x:c r="DI82" s="23" t="n">
        <x:v>0</x:v>
      </x:c>
      <x:c r="DJ82" s="23" t="n">
        <x:v>0</x:v>
      </x:c>
      <x:c r="DK82" s="23" t="n">
        <x:v>720.545654296875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682.2113012324476</x:v>
      </x:c>
      <x:c r="DS82" s="23" t="n">
        <x:v>720.4160970052083</x:v>
      </x:c>
      <x:c r="DT82" s="23" t="n">
        <x:v>0</x:v>
      </x:c>
      <x:c r="DU82" s="23" t="n">
        <x:v>0</x:v>
      </x:c>
      <x:c r="DV82" s="23" t="n">
        <x:v>725.468994140625</x:v>
      </x:c>
      <x:c r="DW82" s="23" t="n">
        <x:v>731.6013400527263</x:v>
      </x:c>
      <x:c r="DX82" s="23" t="n">
        <x:v>727.5955403645833</x:v>
      </x:c>
      <x:c r="DY82" s="23" t="n">
        <x:v>728.4037272135416</x:v>
      </x:c>
      <x:c r="DZ82" s="23" t="n">
        <x:v>722.1693522135416</x:v>
      </x:c>
      <x:c r="EA82" s="23" t="n">
        <x:v>738.6893119531248</x:v>
      </x:c>
      <x:c r="EB82" s="23" t="n">
        <x:v>685.13671875</x:v>
      </x:c>
      <x:c r="EC82" s="23" t="n">
        <x:v>550.1099853515625</x:v>
      </x:c>
      <x:c r="ED82" s="23" t="n">
        <x:v>1379.9137776692708</x:v>
      </x:c>
      <x:c r="EE82" s="23" t="n">
        <x:v>556.1101481119791</x:v>
      </x:c>
      <x:c r="EF82" s="23" t="n">
        <x:v>864.8532041538067</x:v>
      </x:c>
      <x:c r="EG82" s="23" t="n">
        <x:v>1387.9436848958333</x:v>
      </x:c>
      <x:c r="EH82" s="23" t="n">
        <x:v>563.9278157552083</x:v>
      </x:c>
      <x:c r="EI82" s="23" t="n">
        <x:v>565.5749104817708</x:v>
      </x:c>
      <x:c r="EJ82" s="23" t="n">
        <x:v>1393.6209309895833</x:v>
      </x:c>
      <x:c r="EK82" s="23" t="n">
        <x:v>1394.4591878255208</x:v>
      </x:c>
      <x:c r="EL82" s="23" t="n">
        <x:v>1388.193644205729</x:v>
      </x:c>
      <x:c r="EM82" s="23" t="n">
        <x:v>1391.616007486979</x:v>
      </x:c>
      <x:c r="EN82" s="23" t="n">
        <x:v>565.5679931640625</x:v>
      </x:c>
      <x:c r="EO82" s="23" t="n">
        <x:v>565.010009765625</x:v>
      </x:c>
      <x:c r="EP82" s="23" t="n">
        <x:f>SUM(B82:EO82)</x:f>
        <x:v>53900.553145154205</x:v>
      </x:c>
      <x:c r="EQ82" s="23" t="n">
        <x:f>SUMPRODUCT(B82:EO82,{0.4219,0.466,0.4596,0.4132,0.3928,0.4108,0.4243,0.4368,0.4405,0.4226,0.441,0.4816,0.4691,0.4422,0.421,0.3954,0.4244,0.4673,0.4267,0.4384,0.5008,0.4728,0.4373,0.4471,0.4683,0.4742,0.4576,0.4314,0.4208,0.4357,0.4643,0.4797,0.4344,0.3534,0.5928,0.9765,0.9407,0.8161,0.816,0.8259,0.8112,0.7777,0.7438,0.7146,0.6818,0.6674,0.838,1.115,1.2081,1.1076,0.9866,1.0319,1.0578,0.9987,0.9746,0.9888,1.0042,0.9827,0.9201,0.8725,0.9022,0.8975,0.8782,0.9357,0.7694,0.4542,0.3987,0.4473,0.4571,0.4502,0.4712,0.4952,0.4584,0.4311,0.428,0.4278,0.6108,0.8518,0.8197,0.7774,0.858,0.9253,0.9013,0.8594,0.9331,0.9679,0.9745,1.0812,0.9552,0.6676,0.6541,0.7326,0.7541,0.7567,0.7544,0.7575,0.7753,0.7972,0.8195,0.8449,0.8539,0.858,0.8898,0.9227,0.9462,0.9896,1.1117,1.2417,1.2431,1.2528,1.3058,1.2998,1.2684,1.2711,1.3209,1.2964,1.24,1.3091,1.3399,1.281,1.2465,1.2341,1.2594,1.3195,1.16,0.8959,0.9127,0.9617,0.9446,0.973,0.7647,0.4293,0.4025,0.4602,0.4549,0.4586,0.4366,0.4025,0.4194,0.44,0.444,0.4533,0.4397,0.4268})</x:f>
        <x:v>32359.26577151861</x:v>
      </x:c>
    </x:row>
    <x:row r="83" ht="14" customHeight="1">
      <x:c r="A83" s="3">
        <x:v>45770</x:v>
      </x:c>
      <x:c r="B83" s="23" t="n">
        <x:v>1403.7855631510415</x:v>
      </x:c>
      <x:c r="C83" s="23" t="n">
        <x:v>1400.4146728515625</x:v>
      </x:c>
      <x:c r="D83" s="23" t="n">
        <x:v>569.4492594401041</x:v>
      </x:c>
      <x:c r="E83" s="23" t="n">
        <x:v>571.9672444661458</x:v>
      </x:c>
      <x:c r="F83" s="23" t="n">
        <x:v>576.80078125</x:v>
      </x:c>
      <x:c r="G83" s="23" t="n">
        <x:v>575.8905029296875</x:v>
      </x:c>
      <x:c r="H83" s="23" t="n">
        <x:v>570.9628499348958</x:v>
      </x:c>
      <x:c r="I83" s="23" t="n">
        <x:v>581.31787109375</x:v>
      </x:c>
      <x:c r="J83" s="23" t="n">
        <x:v>1426.8775634765625</x:v>
      </x:c>
      <x:c r="K83" s="23" t="n">
        <x:v>592.871337890625</x:v>
      </x:c>
      <x:c r="L83" s="23" t="n">
        <x:v>589.3158365885416</x:v>
      </x:c>
      <x:c r="M83" s="23" t="n">
        <x:v>591.7643229166666</x:v>
      </x:c>
      <x:c r="N83" s="23" t="n">
        <x:v>580.8384195963541</x:v>
      </x:c>
      <x:c r="O83" s="23" t="n">
        <x:v>580.5026041666666</x:v>
      </x:c>
      <x:c r="P83" s="23" t="n">
        <x:v>1422.7100423177083</x:v>
      </x:c>
      <x:c r="Q83" s="23" t="n">
        <x:v>1431.387980143229</x:v>
      </x:c>
      <x:c r="R83" s="23" t="n">
        <x:v>598.1445719401041</x:v>
      </x:c>
      <x:c r="S83" s="23" t="n">
        <x:v>598.7235107421875</x:v>
      </x:c>
      <x:c r="T83" s="23" t="n">
        <x:v>598.9069417317708</x:v>
      </x:c>
      <x:c r="U83" s="23" t="n">
        <x:v>594.8870442708333</x:v>
      </x:c>
      <x:c r="V83" s="23" t="n">
        <x:v>593.6185709635416</x:v>
      </x:c>
      <x:c r="W83" s="23" t="n">
        <x:v>593.6958821614583</x:v>
      </x:c>
      <x:c r="X83" s="23" t="n">
        <x:v>603.74755859375</x:v>
      </x:c>
      <x:c r="Y83" s="23" t="n">
        <x:v>611.7443440755208</x:v>
      </x:c>
      <x:c r="Z83" s="23" t="n">
        <x:v>604.6311848958333</x:v>
      </x:c>
      <x:c r="AA83" s="23" t="n">
        <x:v>599.2289225260416</x:v>
      </x:c>
      <x:c r="AB83" s="23" t="n">
        <x:v>606.0004069010416</x:v>
      </x:c>
      <x:c r="AC83" s="23" t="n">
        <x:v>604.7726643880208</x:v>
      </x:c>
      <x:c r="AD83" s="23" t="n">
        <x:v>1032.2628671119464</x:v>
      </x:c>
      <x:c r="AE83" s="23" t="n">
        <x:v>601.357666015625</x:v>
      </x:c>
      <x:c r="AF83" s="23" t="n">
        <x:v>578.7484203760848</x:v>
      </x:c>
      <x:c r="AG83" s="23" t="n">
        <x:v>584.6030268194386</x:v>
      </x:c>
      <x:c r="AH83" s="23" t="n">
        <x:v>606.6451822916666</x:v>
      </x:c>
      <x:c r="AI83" s="23" t="n">
        <x:v>1395.4699348493964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0</x:v>
      </x:c>
      <x:c r="BV83" s="23" t="n">
        <x:v>27.68124494460926</x:v>
      </x:c>
      <x:c r="BW83" s="23" t="n">
        <x:v>0</x:v>
      </x:c>
      <x:c r="BX83" s="23" t="n">
        <x:v>0</x:v>
      </x:c>
      <x:c r="BY83" s="23" t="n">
        <x:v>0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7.304201362831009</x:v>
      </x:c>
      <x:c r="CN83" s="23" t="n">
        <x:v>54.020127431310655</x:v>
      </x:c>
      <x:c r="CO83" s="23" t="n">
        <x:v>100.53376399578958</x:v>
      </x:c>
      <x:c r="CP83" s="23" t="n">
        <x:v>141.74305249463833</x:v>
      </x:c>
      <x:c r="CQ83" s="23" t="n">
        <x:v>198.06601753354244</x:v>
      </x:c>
      <x:c r="CR83" s="23" t="n">
        <x:v>255.98027091006162</x:v>
      </x:c>
      <x:c r="CS83" s="23" t="n">
        <x:v>301.52443451049396</x:v>
      </x:c>
      <x:c r="CT83" s="23" t="n">
        <x:v>350.3828698737681</x:v>
      </x:c>
      <x:c r="CU83" s="23" t="n">
        <x:v>406.46046240337205</x:v>
      </x:c>
      <x:c r="CV83" s="23" t="n">
        <x:v>455.95280377984966</x:v>
      </x:c>
      <x:c r="CW83" s="23" t="n">
        <x:v>495.3923054137359</x:v>
      </x:c>
      <x:c r="CX83" s="23" t="n">
        <x:v>535.6612561929014</x:v>
      </x:c>
      <x:c r="CY83" s="23" t="n">
        <x:v>602.3306560997173</x:v>
      </x:c>
      <x:c r="CZ83" s="23" t="n">
        <x:v>654.4506972323206</x:v>
      </x:c>
      <x:c r="DA83" s="23" t="n">
        <x:v>709.727264814585</x:v>
      </x:c>
      <x:c r="DB83" s="23" t="n">
        <x:v>768.5529887716161</x:v>
      </x:c>
      <x:c r="DC83" s="23" t="n">
        <x:v>830.4904952572551</x:v>
      </x:c>
      <x:c r="DD83" s="23" t="n">
        <x:v>744.5005193101657</x:v>
      </x:c>
      <x:c r="DE83" s="23" t="n">
        <x:v>597.579840968735</x:v>
      </x:c>
      <x:c r="DF83" s="23" t="n">
        <x:v>0</x:v>
      </x:c>
      <x:c r="DG83" s="23" t="n">
        <x:v>692.5613871961023</x:v>
      </x:c>
      <x:c r="DH83" s="23" t="n">
        <x:v>0</x:v>
      </x:c>
      <x:c r="DI83" s="23" t="n">
        <x:v>713.5889238660899</x:v>
      </x:c>
      <x:c r="DJ83" s="23" t="n">
        <x:v>0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724.6455891927083</x:v>
      </x:c>
      <x:c r="DS83" s="23" t="n">
        <x:v>642.7319057522924</x:v>
      </x:c>
      <x:c r="DT83" s="23" t="n">
        <x:v>0</x:v>
      </x:c>
      <x:c r="DU83" s="23" t="n">
        <x:v>0</x:v>
      </x:c>
      <x:c r="DV83" s="23" t="n">
        <x:v>712.3096900260416</x:v>
      </x:c>
      <x:c r="DW83" s="23" t="n">
        <x:v>739.5164302501285</x:v>
      </x:c>
      <x:c r="DX83" s="23" t="n">
        <x:v>726.6664225260416</x:v>
      </x:c>
      <x:c r="DY83" s="23" t="n">
        <x:v>727.6151529947916</x:v>
      </x:c>
      <x:c r="DZ83" s="23" t="n">
        <x:v>727.926513671875</x:v>
      </x:c>
      <x:c r="EA83" s="23" t="n">
        <x:v>747.4438832682291</x:v>
      </x:c>
      <x:c r="EB83" s="23" t="n">
        <x:v>672.6287305729168</x:v>
      </x:c>
      <x:c r="EC83" s="23" t="n">
        <x:v>554.5503743489583</x:v>
      </x:c>
      <x:c r="ED83" s="23" t="n">
        <x:v>1381.051025390625</x:v>
      </x:c>
      <x:c r="EE83" s="23" t="n">
        <x:v>864.2088227438592</x:v>
      </x:c>
      <x:c r="EF83" s="23" t="n">
        <x:v>558.1923828125</x:v>
      </x:c>
      <x:c r="EG83" s="23" t="n">
        <x:v>558.1291097005208</x:v>
      </x:c>
      <x:c r="EH83" s="23" t="n">
        <x:v>1391.735392252604</x:v>
      </x:c>
      <x:c r="EI83" s="23" t="n">
        <x:v>1381.7921142578125</x:v>
      </x:c>
      <x:c r="EJ83" s="23" t="n">
        <x:v>1390.4230143229165</x:v>
      </x:c>
      <x:c r="EK83" s="23" t="n">
        <x:v>563.5909016927083</x:v>
      </x:c>
      <x:c r="EL83" s="23" t="n">
        <x:v>565.6440022786458</x:v>
      </x:c>
      <x:c r="EM83" s="23" t="n">
        <x:v>564.946044921875</x:v>
      </x:c>
      <x:c r="EN83" s="23" t="n">
        <x:v>1398.8743489583333</x:v>
      </x:c>
      <x:c r="EO83" s="23" t="n">
        <x:v>1399.110107421875</x:v>
      </x:c>
      <x:c r="EP83" s="23" t="n">
        <x:f>SUM(B83:EO83)</x:f>
        <x:v>54112.26309658955</x:v>
      </x:c>
      <x:c r="EQ83" s="23" t="n">
        <x:f>SUMPRODUCT(B83:EO83,{0.4714,0.505,0.4842,0.4411,0.4699,0.5196,0.4553,0.436,0.4902,0.4803,0.4265,0.398,0.438,0.4579,0.4295,0.411,0.4288,0.4521,0.4288,0.4149,0.4455,0.4915,0.4654,0.4018,0.4228,0.4615,0.4643,0.4472,0.4547,0.48,0.4756,0.4594,0.427,0.3994,0.6353,0.9769,0.9712,0.8793,0.8654,0.8407,0.8227,0.8023,0.7484,0.755,0.7467,0.5992,0.7673,1.151,1.1615,1.0547,1.0325,1.0279,0.9907,0.9496,0.971,0.9861,0.9673,0.9482,0.9065,0.8544,0.8357,0.8263,0.832,0.853,0.6909,0.4563,0.4765,0.5203,0.4982,0.5439,0.5479,0.4748,0.4173,0.4275,0.4464,0.4025,0.5517,0.8203,0.8576,0.8463,0.8767,0.8592,0.8984,0.9687,0.928,0.8892,0.9237,0.9666,0.8485,0.6496,0.6284,0.6606,0.6565,0.658,0.7005,0.7662,0.8009,0.8064,0.8113,0.8457,0.895,0.929,0.9349,0.9843,1.0424,1.0151,1.0665,1.1959,1.2366,1.2776,1.3415,1.3396,1.2695,1.2065,1.236,1.2673,1.2502,1.225,1.2526,1.3108,1.3124,1.2638,1.27,1.3932,1.2508,0.938,0.9393,0.9553,0.9179,1.0204,0.8015,0.3791,0.3743,0.4476,0.3978,0.376,0.3997,0.4338,0.4389,0.4166,0.3741,0.3289,0.3546,0.4242})</x:f>
        <x:v>32707.13921953327</x:v>
      </x:c>
    </x:row>
    <x:row r="84" ht="14" customHeight="1">
      <x:c r="A84" s="3">
        <x:v>45771</x:v>
      </x:c>
      <x:c r="B84" s="23" t="n">
        <x:v>566.3602701822916</x:v>
      </x:c>
      <x:c r="C84" s="23" t="n">
        <x:v>567.1158040364583</x:v>
      </x:c>
      <x:c r="D84" s="23" t="n">
        <x:v>1399.0345346675927</x:v>
      </x:c>
      <x:c r="E84" s="23" t="n">
        <x:v>573.6394449869791</x:v>
      </x:c>
      <x:c r="F84" s="23" t="n">
        <x:v>578.7688802083333</x:v>
      </x:c>
      <x:c r="G84" s="23" t="n">
        <x:v>580.4609375</x:v>
      </x:c>
      <x:c r="H84" s="23" t="n">
        <x:v>574.7919921875</x:v>
      </x:c>
      <x:c r="I84" s="23" t="n">
        <x:v>574.2263997395833</x:v>
      </x:c>
      <x:c r="J84" s="23" t="n">
        <x:v>584.1477864583333</x:v>
      </x:c>
      <x:c r="K84" s="23" t="n">
        <x:v>1428.4296875</x:v>
      </x:c>
      <x:c r="L84" s="23" t="n">
        <x:v>595.8966064453125</x:v>
      </x:c>
      <x:c r="M84" s="23" t="n">
        <x:v>589.2293294270833</x:v>
      </x:c>
      <x:c r="N84" s="23" t="n">
        <x:v>586.8821614583333</x:v>
      </x:c>
      <x:c r="O84" s="23" t="n">
        <x:v>1426.7587890625</x:v>
      </x:c>
      <x:c r="P84" s="23" t="n">
        <x:v>588.6117757161458</x:v>
      </x:c>
      <x:c r="Q84" s="23" t="n">
        <x:v>587.591064453125</x:v>
      </x:c>
      <x:c r="R84" s="23" t="n">
        <x:v>589.5515543619791</x:v>
      </x:c>
      <x:c r="S84" s="23" t="n">
        <x:v>592.7104899088541</x:v>
      </x:c>
      <x:c r="T84" s="23" t="n">
        <x:v>1431.9833170572915</x:v>
      </x:c>
      <x:c r="U84" s="23" t="n">
        <x:v>594.8128255208333</x:v>
      </x:c>
      <x:c r="V84" s="23" t="n">
        <x:v>599.5738932291666</x:v>
      </x:c>
      <x:c r="W84" s="23" t="n">
        <x:v>605.1282145182291</x:v>
      </x:c>
      <x:c r="X84" s="23" t="n">
        <x:v>604.6319173177083</x:v>
      </x:c>
      <x:c r="Y84" s="23" t="n">
        <x:v>591.6678873697916</x:v>
      </x:c>
      <x:c r="Z84" s="23" t="n">
        <x:v>593.1793212890625</x:v>
      </x:c>
      <x:c r="AA84" s="23" t="n">
        <x:v>595.8572998046875</x:v>
      </x:c>
      <x:c r="AB84" s="23" t="n">
        <x:v>600.6783040364583</x:v>
      </x:c>
      <x:c r="AC84" s="23" t="n">
        <x:v>602.066650390625</x:v>
      </x:c>
      <x:c r="AD84" s="23" t="n">
        <x:v>605.222900390625</x:v>
      </x:c>
      <x:c r="AE84" s="23" t="n">
        <x:v>610.4803466796875</x:v>
      </x:c>
      <x:c r="AF84" s="23" t="n">
        <x:v>595.4542959880803</x:v>
      </x:c>
      <x:c r="AG84" s="23" t="n">
        <x:v>602.4950358072916</x:v>
      </x:c>
      <x:c r="AH84" s="23" t="n">
        <x:v>595.923157280286</x:v>
      </x:c>
      <x:c r="AI84" s="23" t="n">
        <x:v>1384.0943189502943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372.0379077853816</x:v>
      </x:c>
      <x:c r="BW84" s="23" t="n">
        <x:v>394.75976203177345</x:v>
      </x:c>
      <x:c r="BX84" s="23" t="n">
        <x:v>0</x:v>
      </x:c>
      <x:c r="BY84" s="23" t="n">
        <x:v>0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22.216298996126625</x:v>
      </x:c>
      <x:c r="CN84" s="23" t="n">
        <x:v>50.60387675265186</x:v>
      </x:c>
      <x:c r="CO84" s="23" t="n">
        <x:v>93.84770524371773</x:v>
      </x:c>
      <x:c r="CP84" s="23" t="n">
        <x:v>135.62587206148902</x:v>
      </x:c>
      <x:c r="CQ84" s="23" t="n">
        <x:v>181.77638887244225</x:v>
      </x:c>
      <x:c r="CR84" s="23" t="n">
        <x:v>234.5035456669325</x:v>
      </x:c>
      <x:c r="CS84" s="23" t="n">
        <x:v>281.753657117824</x:v>
      </x:c>
      <x:c r="CT84" s="23" t="n">
        <x:v>338.8651445444866</x:v>
      </x:c>
      <x:c r="CU84" s="23" t="n">
        <x:v>391.84560919988036</x:v>
      </x:c>
      <x:c r="CV84" s="23" t="n">
        <x:v>446.7333078244096</x:v>
      </x:c>
      <x:c r="CW84" s="23" t="n">
        <x:v>493.2828437500537</x:v>
      </x:c>
      <x:c r="CX84" s="23" t="n">
        <x:v>547.2923540709221</x:v>
      </x:c>
      <x:c r="CY84" s="23" t="n">
        <x:v>593.9123898878515</x:v>
      </x:c>
      <x:c r="CZ84" s="23" t="n">
        <x:v>656.2036835469114</x:v>
      </x:c>
      <x:c r="DA84" s="23" t="n">
        <x:v>702.9465256654944</x:v>
      </x:c>
      <x:c r="DB84" s="23" t="n">
        <x:v>755.2943317210221</x:v>
      </x:c>
      <x:c r="DC84" s="23" t="n">
        <x:v>825.7867005704553</x:v>
      </x:c>
      <x:c r="DD84" s="23" t="n">
        <x:v>741.0426489504558</x:v>
      </x:c>
      <x:c r="DE84" s="23" t="n">
        <x:v>597.4486918492681</x:v>
      </x:c>
      <x:c r="DF84" s="23" t="n">
        <x:v>616.7097878419229</x:v>
      </x:c>
      <x:c r="DG84" s="23" t="n">
        <x:v>687.9601779537545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722.49267578125</x:v>
      </x:c>
      <x:c r="DT84" s="23" t="n">
        <x:v>722.8660481770833</x:v>
      </x:c>
      <x:c r="DU84" s="23" t="n">
        <x:v>0</x:v>
      </x:c>
      <x:c r="DV84" s="23" t="n">
        <x:v>722.732666015625</x:v>
      </x:c>
      <x:c r="DW84" s="23" t="n">
        <x:v>727.2138888808513</x:v>
      </x:c>
      <x:c r="DX84" s="23" t="n">
        <x:v>726.2577317869084</x:v>
      </x:c>
      <x:c r="DY84" s="23" t="n">
        <x:v>727.2080891927083</x:v>
      </x:c>
      <x:c r="DZ84" s="23" t="n">
        <x:v>730.8072102864583</x:v>
      </x:c>
      <x:c r="EA84" s="23" t="n">
        <x:v>760.6651204427083</x:v>
      </x:c>
      <x:c r="EB84" s="23" t="n">
        <x:v>680.6456705729166</x:v>
      </x:c>
      <x:c r="EC84" s="23" t="n">
        <x:v>1381.4256591796875</x:v>
      </x:c>
      <x:c r="ED84" s="23" t="n">
        <x:v>1379.8609619140625</x:v>
      </x:c>
      <x:c r="EE84" s="23" t="n">
        <x:v>554.9240315755208</x:v>
      </x:c>
      <x:c r="EF84" s="23" t="n">
        <x:v>1367.161173502604</x:v>
      </x:c>
      <x:c r="EG84" s="23" t="n">
        <x:v>1384.2565104166665</x:v>
      </x:c>
      <x:c r="EH84" s="23" t="n">
        <x:v>852.626110034079</x:v>
      </x:c>
      <x:c r="EI84" s="23" t="n">
        <x:v>547.9608968098958</x:v>
      </x:c>
      <x:c r="EJ84" s="23" t="n">
        <x:v>558.6130777994791</x:v>
      </x:c>
      <x:c r="EK84" s="23" t="n">
        <x:v>563.8844807942708</x:v>
      </x:c>
      <x:c r="EL84" s="23" t="n">
        <x:v>562.7075602213541</x:v>
      </x:c>
      <x:c r="EM84" s="23" t="n">
        <x:v>562.7992350260416</x:v>
      </x:c>
      <x:c r="EN84" s="23" t="n">
        <x:v>1303.266845703125</x:v>
      </x:c>
      <x:c r="EO84" s="23" t="n">
        <x:v>1255.58056640625</x:v>
      </x:c>
      <x:c r="EP84" s="23" t="n">
        <x:f>SUM(B84:EO84)</x:f>
        <x:v>53155.862616355305</x:v>
      </x:c>
      <x:c r="EQ84" s="23" t="n">
        <x:f>SUMPRODUCT(B84:EO84,{0.4346,0.4344,0.4603,0.4878,0.4601,0.4222,0.4694,0.4719,0.4274,0.4604,0.4693,0.428,0.4226,0.4478,0.4458,0.3776,0.3863,0.47,0.4818,0.4528,0.4344,0.4418,0.454,0.4655,0.4822,0.4605,0.4074,0.3859,0.4274,0.4778,0.4516,0.4397,0.4277,0.3599,0.5906,0.9729,0.9725,0.9098,0.9355,0.8752,0.8088,0.7786,0.7418,0.7328,0.6955,0.579,0.7709,1.1498,1.1733,1.0814,1.0621,1.0622,1.0772,1.0516,0.9255,0.8797,0.9253,0.9006,0.8682,0.8879,0.932,0.8786,0.8181,0.9237,0.7857,0.4681,0.4669,0.5288,0.4891,0.4479,0.4314,0.4196,0.3927,0.4219,0.4455,0.3582,0.4808,0.7569,0.787,0.7312,0.7292,0.7525,0.7638,0.7754,0.8259,0.8641,0.895,0.9423,0.8017,0.5725,0.5832,0.6409,0.6391,0.67,0.7378,0.7931,0.7846,0.7688,0.7906,0.8481,0.9074,0.9517,0.9846,0.9969,0.9906,0.9993,1.1148,1.2516,1.2293,1.2436,1.3134,1.2669,1.2526,1.3024,1.2909,1.259,1.2492,1.2594,1.2751,1.2764,1.2511,1.2301,1.2662,1.349,1.1881,0.8973,0.9005,0.977,0.9997,1.0156,0.753,0.3718,0.3573,0.4482,0.4491,0.4226,0.4256,0.4491,0.4416,0.4276,0.4094,0.3626,0.3209,0.3044})</x:f>
        <x:v>31706.3881988724</x:v>
      </x:c>
    </x:row>
    <x:row r="85" ht="14" customHeight="1">
      <x:c r="A85" s="3">
        <x:v>45772</x:v>
      </x:c>
      <x:c r="B85" s="23" t="n">
        <x:v>410.3184814453125</x:v>
      </x:c>
      <x:c r="C85" s="23" t="n">
        <x:v>0</x:v>
      </x:c>
      <x:c r="D85" s="23" t="n">
        <x:v>407.4678955078125</x:v>
      </x:c>
      <x:c r="E85" s="23" t="n">
        <x:v>1252.4252115885415</x:v>
      </x:c>
      <x:c r="F85" s="23" t="n">
        <x:v>426.7210286458333</x:v>
      </x:c>
      <x:c r="G85" s="23" t="n">
        <x:v>0</x:v>
      </x:c>
      <x:c r="H85" s="23" t="n">
        <x:v>418.490966796875</x:v>
      </x:c>
      <x:c r="I85" s="23" t="n">
        <x:v>419.14542643229163</x:v>
      </x:c>
      <x:c r="J85" s="23" t="n">
        <x:v>415.6729329427083</x:v>
      </x:c>
      <x:c r="K85" s="23" t="n">
        <x:v>374.3269878435266</x:v>
      </x:c>
      <x:c r="L85" s="23" t="n">
        <x:v>442.6448974609375</x:v>
      </x:c>
      <x:c r="M85" s="23" t="n">
        <x:v>0</x:v>
      </x:c>
      <x:c r="N85" s="23" t="n">
        <x:v>440.8253987630208</x:v>
      </x:c>
      <x:c r="O85" s="23" t="n">
        <x:v>435.343017578125</x:v>
      </x:c>
      <x:c r="P85" s="23" t="n">
        <x:v>434.52006022135413</x:v>
      </x:c>
      <x:c r="Q85" s="23" t="n">
        <x:v>434.54899088541663</x:v>
      </x:c>
      <x:c r="R85" s="23" t="n">
        <x:v>441.76835123697913</x:v>
      </x:c>
      <x:c r="S85" s="23" t="n">
        <x:v>441.71573893229163</x:v>
      </x:c>
      <x:c r="T85" s="23" t="n">
        <x:v>436.0240071614583</x:v>
      </x:c>
      <x:c r="U85" s="23" t="n">
        <x:v>437.409423828125</x:v>
      </x:c>
      <x:c r="V85" s="23" t="n">
        <x:v>445.396728515625</x:v>
      </x:c>
      <x:c r="W85" s="23" t="n">
        <x:v>454.37113444010413</x:v>
      </x:c>
      <x:c r="X85" s="23" t="n">
        <x:v>445.43924967447913</x:v>
      </x:c>
      <x:c r="Y85" s="23" t="n">
        <x:v>443.0202229817708</x:v>
      </x:c>
      <x:c r="Z85" s="23" t="n">
        <x:v>454.7359619140625</x:v>
      </x:c>
      <x:c r="AA85" s="23" t="n">
        <x:v>452.9616292317708</x:v>
      </x:c>
      <x:c r="AB85" s="23" t="n">
        <x:v>0</x:v>
      </x:c>
      <x:c r="AC85" s="23" t="n">
        <x:v>0</x:v>
      </x:c>
      <x:c r="AD85" s="23" t="n">
        <x:v>438.69278971354163</x:v>
      </x:c>
      <x:c r="AE85" s="23" t="n">
        <x:v>444.1397705078125</x:v>
      </x:c>
      <x:c r="AF85" s="23" t="n">
        <x:v>444.3974814977226</x:v>
      </x:c>
      <x:c r="AG85" s="23" t="n">
        <x:v>0</x:v>
      </x:c>
      <x:c r="AH85" s="23" t="n">
        <x:v>0</x:v>
      </x:c>
      <x:c r="AI85" s="23" t="n">
        <x:v>420.0764038430441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25.6578977406416</x:v>
      </x:c>
      <x:c r="CX85" s="23" t="n">
        <x:v>19.71813585140277</x:v>
      </x:c>
      <x:c r="CY85" s="23" t="n">
        <x:v>15.958483925203836</x:v>
      </x:c>
      <x:c r="CZ85" s="23" t="n">
        <x:v>69.00574311144555</x:v>
      </x:c>
      <x:c r="DA85" s="23" t="n">
        <x:v>128.1013534987519</x:v>
      </x:c>
      <x:c r="DB85" s="23" t="n">
        <x:v>185.96378924735373</x:v>
      </x:c>
      <x:c r="DC85" s="23" t="n">
        <x:v>231.86878831413733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453.6400960286458</x:v>
      </x:c>
      <x:c r="DX85" s="23" t="n">
        <x:v>455.0949300130208</x:v>
      </x:c>
      <x:c r="DY85" s="23" t="n">
        <x:v>455.64359537760413</x:v>
      </x:c>
      <x:c r="DZ85" s="23" t="n">
        <x:v>455.72709147135413</x:v>
      </x:c>
      <x:c r="EA85" s="23" t="n">
        <x:v>32.66880931598082</x:v>
      </x:c>
      <x:c r="EB85" s="23" t="n">
        <x:v>451.37084152343743</x:v>
      </x:c>
      <x:c r="EC85" s="23" t="n">
        <x:v>685.9550488361625</x:v>
      </x:c>
      <x:c r="ED85" s="23" t="n">
        <x:v>1220.622802734375</x:v>
      </x:c>
      <x:c r="EE85" s="23" t="n">
        <x:v>389.33890787760413</x:v>
      </x:c>
      <x:c r="EF85" s="23" t="n">
        <x:v>388.4523518880208</x:v>
      </x:c>
      <x:c r="EG85" s="23" t="n">
        <x:v>1218.593505859375</x:v>
      </x:c>
      <x:c r="EH85" s="23" t="n">
        <x:v>1230.166300455729</x:v>
      </x:c>
      <x:c r="EI85" s="23" t="n">
        <x:v>398.19034830729163</x:v>
      </x:c>
      <x:c r="EJ85" s="23" t="n">
        <x:v>405.37744140625</x:v>
      </x:c>
      <x:c r="EK85" s="23" t="n">
        <x:v>406.1259765625</x:v>
      </x:c>
      <x:c r="EL85" s="23" t="n">
        <x:v>397.96244303385413</x:v>
      </x:c>
      <x:c r="EM85" s="23" t="n">
        <x:v>1237.9423828125</x:v>
      </x:c>
      <x:c r="EN85" s="23" t="n">
        <x:v>1242.4032796223958</x:v>
      </x:c>
      <x:c r="EO85" s="23" t="n">
        <x:v>1243.9224446614583</x:v>
      </x:c>
      <x:c r="EP85" s="23" t="n">
        <x:f>SUM(B85:EO85)</x:f>
        <x:v>25958.07297906704</x:v>
      </x:c>
      <x:c r="EQ85" s="23" t="n">
        <x:f>SUMPRODUCT(B85:EO85,{0.3035,0.3054,0.3227,0.3646,0.3309,0.2653,0.3148,0.3583,0.3389,0.3225,0.3318,0.346,0.3329,0.3328,0.3384,0.3048,0.2994,0.3337,0.3529,0.3772,0.3941,0.3616,0.3272,0.3368,0.3894,0.3986,0.3565,0.3388,0.3554,0.3771,0.3668,0.3406,0.3058,0.2875,0.457,0.6995,0.7021,0.646,0.6526,0.6622,0.637,0.5875,0.5536,0.5322,0.5144,0.5182,0.6349,0.792,0.8021,0.7449,0.7041,0.6953,0.7169,0.7382,0.7194,0.6854,0.6728,0.6919,0.6688,0.6169,0.6234,0.6407,0.6328,0.5905,0.4355,0.2406,0.182,0.1738,0.165,0.1861,0.1879,0.1653,0.1627,0.1631,0.1382,0.1126,0.2873,0.5616,0.6084,0.5688,0.5654,0.5739,0.5484,0.5411,0.635,0.6391,0.5646,0.5867,0.4626,0.2515,0.2829,0.3429,0.3284,0.3517,0.3876,0.4239,0.4817,0.5205,0.5476,0.6027,0.6052,0.5647,0.5764,0.5946,0.6134,0.6912,0.8379,0.9981,1.084,1.0879,1.0829,1.1503,1.1677,1.1141,1.0961,1.1178,1.1417,1.131,1.1101,1.1019,1.1118,1.1398,1.1686,1.1466,0.9615,0.7395,0.7397,0.7538,0.7471,0.8426,0.6504,0.2837,0.2758,0.3232,0.2833,0.3211,0.3307,0.2886,0.2879,0.276,0.2887,0.4025,0.3688,0.2375})</x:f>
        <x:v>9693.06186049399</x:v>
      </x:c>
    </x:row>
    <x:row r="86" ht="14" customHeight="1">
      <x:c r="A86" s="3">
        <x:v>45773</x:v>
      </x:c>
      <x:c r="B86" s="23" t="n">
        <x:v>419.94449869791663</x:v>
      </x:c>
      <x:c r="C86" s="23" t="n">
        <x:v>406.81376139322913</x:v>
      </x:c>
      <x:c r="D86" s="23" t="n">
        <x:v>412.54850260416663</x:v>
      </x:c>
      <x:c r="E86" s="23" t="n">
        <x:v>420.6750081380208</x:v>
      </x:c>
      <x:c r="F86" s="23" t="n">
        <x:v>0</x:v>
      </x:c>
      <x:c r="G86" s="23" t="n">
        <x:v>0</x:v>
      </x:c>
      <x:c r="H86" s="23" t="n">
        <x:v>0</x:v>
      </x:c>
      <x:c r="I86" s="23" t="n">
        <x:v>413.11279296875</x:v>
      </x:c>
      <x:c r="J86" s="23" t="n">
        <x:v>417.1610107421875</x:v>
      </x:c>
      <x:c r="K86" s="23" t="n">
        <x:v>428.1769612630208</x:v>
      </x:c>
      <x:c r="L86" s="23" t="n">
        <x:v>430.847412109375</x:v>
      </x:c>
      <x:c r="M86" s="23" t="n">
        <x:v>423.6491292317708</x:v>
      </x:c>
      <x:c r="N86" s="23" t="n">
        <x:v>425.84208170572913</x:v>
      </x:c>
      <x:c r="O86" s="23" t="n">
        <x:v>429.08585611979163</x:v>
      </x:c>
      <x:c r="P86" s="23" t="n">
        <x:v>437.99918619791663</x:v>
      </x:c>
      <x:c r="Q86" s="23" t="n">
        <x:v>425.6365966796875</x:v>
      </x:c>
      <x:c r="R86" s="23" t="n">
        <x:v>426.47037760416663</x:v>
      </x:c>
      <x:c r="S86" s="23" t="n">
        <x:v>428.9998779296875</x:v>
      </x:c>
      <x:c r="T86" s="23" t="n">
        <x:v>427.40885416666663</x:v>
      </x:c>
      <x:c r="U86" s="23" t="n">
        <x:v>425.5294189453125</x:v>
      </x:c>
      <x:c r="V86" s="23" t="n">
        <x:v>438.9569905598958</x:v>
      </x:c>
      <x:c r="W86" s="23" t="n">
        <x:v>144.86813052047503</x:v>
      </x:c>
      <x:c r="X86" s="23" t="n">
        <x:v>450.1317952473958</x:v>
      </x:c>
      <x:c r="Y86" s="23" t="n">
        <x:v>440.80859375</x:v>
      </x:c>
      <x:c r="Z86" s="23" t="n">
        <x:v>449.4557698567708</x:v>
      </x:c>
      <x:c r="AA86" s="23" t="n">
        <x:v>449.55631510416663</x:v>
      </x:c>
      <x:c r="AB86" s="23" t="n">
        <x:v>432.4852294921875</x:v>
      </x:c>
      <x:c r="AC86" s="23" t="n">
        <x:v>441.239501953125</x:v>
      </x:c>
      <x:c r="AD86" s="23" t="n">
        <x:v>450.7357991536458</x:v>
      </x:c>
      <x:c r="AE86" s="23" t="n">
        <x:v>0</x:v>
      </x:c>
      <x:c r="AF86" s="23" t="n">
        <x:v>444.59739292860934</x:v>
      </x:c>
      <x:c r="AG86" s="23" t="n">
        <x:v>452.2657470703125</x:v>
      </x:c>
      <x:c r="AH86" s="23" t="n">
        <x:v>0</x:v>
      </x:c>
      <x:c r="AI86" s="23" t="n">
        <x:v>407.84116186252925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37.40157752475442</x:v>
      </x:c>
      <x:c r="CX86" s="23" t="n">
        <x:v>51.253953249388886</x:v>
      </x:c>
      <x:c r="CY86" s="23" t="n">
        <x:v>17.229314952635526</x:v>
      </x:c>
      <x:c r="CZ86" s="23" t="n">
        <x:v>68.21006217523139</x:v>
      </x:c>
      <x:c r="DA86" s="23" t="n">
        <x:v>130.6815517337459</x:v>
      </x:c>
      <x:c r="DB86" s="23" t="n">
        <x:v>186.3926179938833</x:v>
      </x:c>
      <x:c r="DC86" s="23" t="n">
        <x:v>231.3554320212427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449.03470865885413</x:v>
      </x:c>
      <x:c r="DX86" s="23" t="n">
        <x:v>451.6566162109375</x:v>
      </x:c>
      <x:c r="DY86" s="23" t="n">
        <x:v>456.9383138020833</x:v>
      </x:c>
      <x:c r="DZ86" s="23" t="n">
        <x:v>456.53043619791663</x:v>
      </x:c>
      <x:c r="EA86" s="23" t="n">
        <x:v>24.257311994201395</x:v>
      </x:c>
      <x:c r="EB86" s="23" t="n">
        <x:v>441.26612188802085</x:v>
      </x:c>
      <x:c r="EC86" s="23" t="n">
        <x:v>1240.2140299479165</x:v>
      </x:c>
      <x:c r="ED86" s="23" t="n">
        <x:v>1224.0340576171875</x:v>
      </x:c>
      <x:c r="EE86" s="23" t="n">
        <x:v>397.5858968098958</x:v>
      </x:c>
      <x:c r="EF86" s="23" t="n">
        <x:v>571.353916598347</x:v>
      </x:c>
      <x:c r="EG86" s="23" t="n">
        <x:v>383.7514241536458</x:v>
      </x:c>
      <x:c r="EH86" s="23" t="n">
        <x:v>408.8633626302083</x:v>
      </x:c>
      <x:c r="EI86" s="23" t="n">
        <x:v>1236.3016764322915</x:v>
      </x:c>
      <x:c r="EJ86" s="23" t="n">
        <x:v>1236.228312174479</x:v>
      </x:c>
      <x:c r="EK86" s="23" t="n">
        <x:v>1234.2708333333333</x:v>
      </x:c>
      <x:c r="EL86" s="23" t="n">
        <x:v>1231.2318522135415</x:v>
      </x:c>
      <x:c r="EM86" s="23" t="n">
        <x:v>1235.8311360677083</x:v>
      </x:c>
      <x:c r="EN86" s="23" t="n">
        <x:v>438.2962646484375</x:v>
      </x:c>
      <x:c r="EO86" s="23" t="n">
        <x:v>0</x:v>
      </x:c>
      <x:c r="EP86" s="23" t="n">
        <x:f>SUM(B86:EO86)</x:f>
        <x:v>26043.014535026392</x:v>
      </x:c>
      <x:c r="EQ86" s="23" t="n">
        <x:f>SUMPRODUCT(B86:EO86,{0.3049,0.3405,0.2729,0.2751,0.3198,0.35,0.3455,0.3396,0.3564,0.3896,0.4011,0.3794,0.3482,0.3346,0.3359,0.3328,0.3598,0.3946,0.3746,0.3547,0.3501,0.323,0.3021,0.3184,0.3685,0.376,0.3423,0.3359,0.3148,0.3034,0.3646,0.3482,0.26,0.2831,0.4641,0.6838,0.7528,0.716,0.6359,0.5496,0.5551,0.6121,0.5806,0.5338,0.5024,0.4666,0.5804,0.7653,0.7654,0.7179,0.6996,0.6645,0.7119,0.7748,0.676,0.6057,0.633,0.6342,0.5779,0.5098,0.5015,0.5263,0.5566,0.5513,0.3334,0.0489,0.0506,0.1016,0.0776,0.0765,0.034,0.0076,0.1304,0.1883,0.0987,0.0224,0.1985,0.5015,0.5628,0.559,0.5847,0.5518,0.5283,0.5716,0.6607,0.6766,0.6582,0.7236,0.6041,0.3665,0.377,0.4652,0.488,0.4759,0.4868,0.5135,0.5089,0.5391,0.6006,0.6159,0.6071,0.6044,0.6142,0.6194,0.609,0.6153,0.785,1.03,1.0937,1.0935,1.1238,1.1545,1.1425,1.1081,1.1096,1.0951,1.0729,1.113,1.1789,1.196,1.119,1.055,1.086,1.1708,1.0469,0.7998,0.7776,0.7807,0.7604,0.8393,0.6793,0.3389,0.2537,0.3139,0.344,0.2898,0.2721,0.3262,0.3685,0.353,0.3201,0.3532,0.409,0.4266})</x:f>
        <x:v>9939.918966109577</x:v>
      </x:c>
    </x:row>
    <x:row r="87" ht="14" customHeight="1">
      <x:c r="A87" s="3">
        <x:v>45774</x:v>
      </x:c>
      <x:c r="B87" s="23" t="n">
        <x:v>571.342041015625</x:v>
      </x:c>
      <x:c r="C87" s="23" t="n">
        <x:v>557.031982421875</x:v>
      </x:c>
      <x:c r="D87" s="23" t="n">
        <x:v>556.7757161458333</x:v>
      </x:c>
      <x:c r="E87" s="23" t="n">
        <x:v>569.0847574869791</x:v>
      </x:c>
      <x:c r="F87" s="23" t="n">
        <x:v>581.8558349609375</x:v>
      </x:c>
      <x:c r="G87" s="23" t="n">
        <x:v>567.5797932942708</x:v>
      </x:c>
      <x:c r="H87" s="23" t="n">
        <x:v>568.7209065755208</x:v>
      </x:c>
      <x:c r="I87" s="23" t="n">
        <x:v>575.2228190104166</x:v>
      </x:c>
      <x:c r="J87" s="23" t="n">
        <x:v>582.4352620442708</x:v>
      </x:c>
      <x:c r="K87" s="23" t="n">
        <x:v>1417.033732096354</x:v>
      </x:c>
      <x:c r="L87" s="23" t="n">
        <x:v>585.4632161458333</x:v>
      </x:c>
      <x:c r="M87" s="23" t="n">
        <x:v>587.2656656901041</x:v>
      </x:c>
      <x:c r="N87" s="23" t="n">
        <x:v>577.2492268880208</x:v>
      </x:c>
      <x:c r="O87" s="23" t="n">
        <x:v>1422.6460774739583</x:v>
      </x:c>
      <x:c r="P87" s="23" t="n">
        <x:v>602.8770751953125</x:v>
      </x:c>
      <x:c r="Q87" s="23" t="n">
        <x:v>595.8929036458333</x:v>
      </x:c>
      <x:c r="R87" s="23" t="n">
        <x:v>1194.1352543442636</x:v>
      </x:c>
      <x:c r="S87" s="23" t="n">
        <x:v>579.5731608072916</x:v>
      </x:c>
      <x:c r="T87" s="23" t="n">
        <x:v>592.0038248697916</x:v>
      </x:c>
      <x:c r="U87" s="23" t="n">
        <x:v>596.0136311848958</x:v>
      </x:c>
      <x:c r="V87" s="23" t="n">
        <x:v>588.6675211588541</x:v>
      </x:c>
      <x:c r="W87" s="23" t="n">
        <x:v>600.1792805989583</x:v>
      </x:c>
      <x:c r="X87" s="23" t="n">
        <x:v>597.3328043619791</x:v>
      </x:c>
      <x:c r="Y87" s="23" t="n">
        <x:v>586.9727783203125</x:v>
      </x:c>
      <x:c r="Z87" s="23" t="n">
        <x:v>585.6010335286458</x:v>
      </x:c>
      <x:c r="AA87" s="23" t="n">
        <x:v>592.8704020182291</x:v>
      </x:c>
      <x:c r="AB87" s="23" t="n">
        <x:v>600.3193766276041</x:v>
      </x:c>
      <x:c r="AC87" s="23" t="n">
        <x:v>598.984375</x:v>
      </x:c>
      <x:c r="AD87" s="23" t="n">
        <x:v>596.4505615234375</x:v>
      </x:c>
      <x:c r="AE87" s="23" t="n">
        <x:v>598.5670979817708</x:v>
      </x:c>
      <x:c r="AF87" s="23" t="n">
        <x:v>599.5026383984866</x:v>
      </x:c>
      <x:c r="AG87" s="23" t="n">
        <x:v>606.8518473307291</x:v>
      </x:c>
      <x:c r="AH87" s="23" t="n">
        <x:v>578.7840216265786</x:v>
      </x:c>
      <x:c r="AI87" s="23" t="n">
        <x:v>1367.1460546130743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0</x:v>
      </x:c>
      <x:c r="CO87" s="23" t="n">
        <x:v>24.23504497504655</x:v>
      </x:c>
      <x:c r="CP87" s="23" t="n">
        <x:v>68.6944820048067</x:v>
      </x:c>
      <x:c r="CQ87" s="23" t="n">
        <x:v>135.9728565537604</x:v>
      </x:c>
      <x:c r="CR87" s="23" t="n">
        <x:v>210.95020130716014</x:v>
      </x:c>
      <x:c r="CS87" s="23" t="n">
        <x:v>266.5065655190043</x:v>
      </x:c>
      <x:c r="CT87" s="23" t="n">
        <x:v>316.7381376540725</x:v>
      </x:c>
      <x:c r="CU87" s="23" t="n">
        <x:v>371.43660263670404</x:v>
      </x:c>
      <x:c r="CV87" s="23" t="n">
        <x:v>429.8100791508289</x:v>
      </x:c>
      <x:c r="CW87" s="23" t="n">
        <x:v>488.98275016044664</x:v>
      </x:c>
      <x:c r="CX87" s="23" t="n">
        <x:v>540.0646800438092</x:v>
      </x:c>
      <x:c r="CY87" s="23" t="n">
        <x:v>569.3195861663269</x:v>
      </x:c>
      <x:c r="CZ87" s="23" t="n">
        <x:v>649.9159457145354</x:v>
      </x:c>
      <x:c r="DA87" s="23" t="n">
        <x:v>701.6681215390936</x:v>
      </x:c>
      <x:c r="DB87" s="23" t="n">
        <x:v>751.0838912790747</x:v>
      </x:c>
      <x:c r="DC87" s="23" t="n">
        <x:v>823.3731519464751</x:v>
      </x:c>
      <x:c r="DD87" s="23" t="n">
        <x:v>753.0275981396355</x:v>
      </x:c>
      <x:c r="DE87" s="23" t="n">
        <x:v>520.1823445745177</x:v>
      </x:c>
      <x:c r="DF87" s="23" t="n">
        <x:v>574.7639675863519</x:v>
      </x:c>
      <x:c r="DG87" s="23" t="n">
        <x:v>670.9388507594444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713.2366536458333</x:v>
      </x:c>
      <x:c r="DT87" s="23" t="n">
        <x:v>716.8416341145833</x:v>
      </x:c>
      <x:c r="DU87" s="23" t="n">
        <x:v>0</x:v>
      </x:c>
      <x:c r="DV87" s="23" t="n">
        <x:v>719.0886691536458</x:v>
      </x:c>
      <x:c r="DW87" s="23" t="n">
        <x:v>738.1093026861496</x:v>
      </x:c>
      <x:c r="DX87" s="23" t="n">
        <x:v>720.6904296875</x:v>
      </x:c>
      <x:c r="DY87" s="23" t="n">
        <x:v>712.178466796875</x:v>
      </x:c>
      <x:c r="DZ87" s="23" t="n">
        <x:v>729.4335085198046</x:v>
      </x:c>
      <x:c r="EA87" s="23" t="n">
        <x:v>729.2544759114583</x:v>
      </x:c>
      <x:c r="EB87" s="23" t="n">
        <x:v>642.2484457291667</x:v>
      </x:c>
      <x:c r="EC87" s="23" t="n">
        <x:v>547.8192952473958</x:v>
      </x:c>
      <x:c r="ED87" s="23" t="n">
        <x:v>1364.870402018229</x:v>
      </x:c>
      <x:c r="EE87" s="23" t="n">
        <x:v>1373.8428955078125</x:v>
      </x:c>
      <x:c r="EF87" s="23" t="n">
        <x:v>1377.4808349609375</x:v>
      </x:c>
      <x:c r="EG87" s="23" t="n">
        <x:v>1381.137939453125</x:v>
      </x:c>
      <x:c r="EH87" s="23" t="n">
        <x:v>852.8198411900398</x:v>
      </x:c>
      <x:c r="EI87" s="23" t="n">
        <x:v>1385.080607096354</x:v>
      </x:c>
      <x:c r="EJ87" s="23" t="n">
        <x:v>1377.238566080729</x:v>
      </x:c>
      <x:c r="EK87" s="23" t="n">
        <x:v>541.1193033854166</x:v>
      </x:c>
      <x:c r="EL87" s="23" t="n">
        <x:v>548.6631673177083</x:v>
      </x:c>
      <x:c r="EM87" s="23" t="n">
        <x:v>559.7284342447916</x:v>
      </x:c>
      <x:c r="EN87" s="23" t="n">
        <x:v>563.4643147786458</x:v>
      </x:c>
      <x:c r="EO87" s="23" t="n">
        <x:v>562.322509765625</x:v>
      </x:c>
      <x:c r="EP87" s="23" t="n">
        <x:f>SUM(B87:EO87)</x:f>
        <x:v>50702.767229388955</x:v>
      </x:c>
      <x:c r="EQ87" s="23" t="n">
        <x:f>SUMPRODUCT(B87:EO87,{0.3905,0.3994,0.4554,0.4633,0.4368,0.4071,0.3914,0.398,0.4059,0.383,0.3573,0.3649,0.4129,0.426,0.4164,0.4599,0.4601,0.4194,0.4391,0.4485,0.4453,0.4953,0.4907,0.4392,0.4591,0.4731,0.45,0.4416,0.4463,0.4359,0.3983,0.4276,0.4455,0.3282,0.5326,0.9327,0.918,0.8434,0.8857,0.8535,0.7901,0.7641,0.786,0.7886,0.7238,0.6454,0.8385,1.1886,1.2633,1.1831,1.1015,1.0537,1.0403,1.0214,0.9542,0.9115,0.9101,0.8995,0.9023,0.9093,0.8727,0.7983,0.7608,0.8136,0.7176,0.4904,0.4031,0.4216,0.4424,0.4017,0.3483,0.3316,0.3542,0.3477,0.2936,0.272,0.471,0.7789,0.8685,0.8493,0.8357,0.8301,0.8201,0.8288,0.8856,0.8982,0.9025,0.9889,0.8522,0.5812,0.6003,0.703,0.7186,0.6927,0.733,0.8042,0.7781,0.7752,0.8512,0.9363,0.9767,0.9629,0.9357,0.9725,1.0335,1.0175,1.0735,1.2065,1.2595,1.2573,1.2524,1.2651,1.2695,1.2676,1.281,1.2558,1.2174,1.2492,1.2785,1.2687,1.2579,1.2784,1.3177,1.3121,1.1743,0.9794,0.9083,0.8981,0.9322,1.0098,0.7816,0.3966,0.3788,0.4222,0.3739,0.3904,0.4003,0.3928,0.4395,0.4616,0.4241,0.3801,0.3988,0.4492})</x:f>
        <x:v>30257.026791848755</x:v>
      </x:c>
    </x:row>
    <x:row r="88" ht="14" customHeight="1">
      <x:c r="A88" s="3">
        <x:v>45775</x:v>
      </x:c>
      <x:c r="B88" s="23" t="n">
        <x:v>566.0814208984375</x:v>
      </x:c>
      <x:c r="C88" s="23" t="n">
        <x:v>563.4211018880208</x:v>
      </x:c>
      <x:c r="D88" s="23" t="n">
        <x:v>570.572265625</x:v>
      </x:c>
      <x:c r="E88" s="23" t="n">
        <x:v>583.6514892578125</x:v>
      </x:c>
      <x:c r="F88" s="23" t="n">
        <x:v>581.9825439453125</x:v>
      </x:c>
      <x:c r="G88" s="23" t="n">
        <x:v>568.3522135416666</x:v>
      </x:c>
      <x:c r="H88" s="23" t="n">
        <x:v>1405.356486002604</x:v>
      </x:c>
      <x:c r="I88" s="23" t="n">
        <x:v>1127.2392866345488</x:v>
      </x:c>
      <x:c r="J88" s="23" t="n">
        <x:v>581.4079182942708</x:v>
      </x:c>
      <x:c r="K88" s="23" t="n">
        <x:v>577.4765218098958</x:v>
      </x:c>
      <x:c r="L88" s="23" t="n">
        <x:v>583.9786376953125</x:v>
      </x:c>
      <x:c r="M88" s="23" t="n">
        <x:v>580.4789632161458</x:v>
      </x:c>
      <x:c r="N88" s="23" t="n">
        <x:v>582.3433024088541</x:v>
      </x:c>
      <x:c r="O88" s="23" t="n">
        <x:v>590.3057454427083</x:v>
      </x:c>
      <x:c r="P88" s="23" t="n">
        <x:v>1428.5447591145833</x:v>
      </x:c>
      <x:c r="Q88" s="23" t="n">
        <x:v>596.4827473958333</x:v>
      </x:c>
      <x:c r="R88" s="23" t="n">
        <x:v>598.5410970052083</x:v>
      </x:c>
      <x:c r="S88" s="23" t="n">
        <x:v>598.38916015625</x:v>
      </x:c>
      <x:c r="T88" s="23" t="n">
        <x:v>596.0636393229166</x:v>
      </x:c>
      <x:c r="U88" s="23" t="n">
        <x:v>589.9585774739583</x:v>
      </x:c>
      <x:c r="V88" s="23" t="n">
        <x:v>593.4090576171875</x:v>
      </x:c>
      <x:c r="W88" s="23" t="n">
        <x:v>605.7904052734375</x:v>
      </x:c>
      <x:c r="X88" s="23" t="n">
        <x:v>600.02587890625</x:v>
      </x:c>
      <x:c r="Y88" s="23" t="n">
        <x:v>591.1349283854166</x:v>
      </x:c>
      <x:c r="Z88" s="23" t="n">
        <x:v>596.653076171875</x:v>
      </x:c>
      <x:c r="AA88" s="23" t="n">
        <x:v>602.3321940104166</x:v>
      </x:c>
      <x:c r="AB88" s="23" t="n">
        <x:v>589.4252522786458</x:v>
      </x:c>
      <x:c r="AC88" s="23" t="n">
        <x:v>598.7237548828125</x:v>
      </x:c>
      <x:c r="AD88" s="23" t="n">
        <x:v>605.9707438151041</x:v>
      </x:c>
      <x:c r="AE88" s="23" t="n">
        <x:v>611.8696695963541</x:v>
      </x:c>
      <x:c r="AF88" s="23" t="n">
        <x:v>596.9450466907798</x:v>
      </x:c>
      <x:c r="AG88" s="23" t="n">
        <x:v>602.2578125</x:v>
      </x:c>
      <x:c r="AH88" s="23" t="n">
        <x:v>587.9060396868547</x:v>
      </x:c>
      <x:c r="AI88" s="23" t="n">
        <x:v>1381.5842001794158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0</x:v>
      </x:c>
      <x:c r="BV88" s="23" t="n">
        <x:v>0</x:v>
      </x:c>
      <x:c r="BW88" s="23" t="n">
        <x:v>0</x:v>
      </x:c>
      <x:c r="BX88" s="23" t="n">
        <x:v>0</x:v>
      </x:c>
      <x:c r="BY88" s="23" t="n">
        <x:v>0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0</x:v>
      </x:c>
      <x:c r="CN88" s="23" t="n">
        <x:v>13.888098749289535</x:v>
      </x:c>
      <x:c r="CO88" s="23" t="n">
        <x:v>54.8698327956193</x:v>
      </x:c>
      <x:c r="CP88" s="23" t="n">
        <x:v>98.74634931714809</x:v>
      </x:c>
      <x:c r="CQ88" s="23" t="n">
        <x:v>160.6668345397935</x:v>
      </x:c>
      <x:c r="CR88" s="23" t="n">
        <x:v>214.80179254542082</x:v>
      </x:c>
      <x:c r="CS88" s="23" t="n">
        <x:v>263.32966068299567</x:v>
      </x:c>
      <x:c r="CT88" s="23" t="n">
        <x:v>323.91047742062</x:v>
      </x:c>
      <x:c r="CU88" s="23" t="n">
        <x:v>379.4599550398259</x:v>
      </x:c>
      <x:c r="CV88" s="23" t="n">
        <x:v>428.98161143449715</x:v>
      </x:c>
      <x:c r="CW88" s="23" t="n">
        <x:v>483.77400770192116</x:v>
      </x:c>
      <x:c r="CX88" s="23" t="n">
        <x:v>542.2622169599013</x:v>
      </x:c>
      <x:c r="CY88" s="23" t="n">
        <x:v>598.4683216612507</x:v>
      </x:c>
      <x:c r="CZ88" s="23" t="n">
        <x:v>649.1040658351051</x:v>
      </x:c>
      <x:c r="DA88" s="23" t="n">
        <x:v>697.3733421337622</x:v>
      </x:c>
      <x:c r="DB88" s="23" t="n">
        <x:v>747.994601069328</x:v>
      </x:c>
      <x:c r="DC88" s="23" t="n">
        <x:v>812.5139041995342</x:v>
      </x:c>
      <x:c r="DD88" s="23" t="n">
        <x:v>723.1460448314093</x:v>
      </x:c>
      <x:c r="DE88" s="23" t="n">
        <x:v>584.0078440362163</x:v>
      </x:c>
      <x:c r="DF88" s="23" t="n">
        <x:v>628.968842114271</x:v>
      </x:c>
      <x:c r="DG88" s="23" t="n">
        <x:v>678.0586565723129</x:v>
      </x:c>
      <x:c r="DH88" s="23" t="n">
        <x:v>0</x:v>
      </x:c>
      <x:c r="DI88" s="23" t="n">
        <x:v>0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723.8701985677083</x:v>
      </x:c>
      <x:c r="DT88" s="23" t="n">
        <x:v>695.4558833445614</x:v>
      </x:c>
      <x:c r="DU88" s="23" t="n">
        <x:v>0</x:v>
      </x:c>
      <x:c r="DV88" s="23" t="n">
        <x:v>723.0170084635416</x:v>
      </x:c>
      <x:c r="DW88" s="23" t="n">
        <x:v>721.7416001318159</x:v>
      </x:c>
      <x:c r="DX88" s="23" t="n">
        <x:v>734.6723596000512</x:v>
      </x:c>
      <x:c r="DY88" s="23" t="n">
        <x:v>727.6829427083333</x:v>
      </x:c>
      <x:c r="DZ88" s="23" t="n">
        <x:v>729.7179361979166</x:v>
      </x:c>
      <x:c r="EA88" s="23" t="n">
        <x:v>758.5880533854166</x:v>
      </x:c>
      <x:c r="EB88" s="23" t="n">
        <x:v>672.5781303255208</x:v>
      </x:c>
      <x:c r="EC88" s="23" t="n">
        <x:v>1377.45263671875</x:v>
      </x:c>
      <x:c r="ED88" s="23" t="n">
        <x:v>1372.411376953125</x:v>
      </x:c>
      <x:c r="EE88" s="23" t="n">
        <x:v>1383.9730224609375</x:v>
      </x:c>
      <x:c r="EF88" s="23" t="n">
        <x:v>1384.3394368489583</x:v>
      </x:c>
      <x:c r="EG88" s="23" t="n">
        <x:v>560.2923990885416</x:v>
      </x:c>
      <x:c r="EH88" s="23" t="n">
        <x:v>559.3465983072916</x:v>
      </x:c>
      <x:c r="EI88" s="23" t="n">
        <x:v>557.6787923177083</x:v>
      </x:c>
      <x:c r="EJ88" s="23" t="n">
        <x:v>561.5703938802083</x:v>
      </x:c>
      <x:c r="EK88" s="23" t="n">
        <x:v>1397.215372721354</x:v>
      </x:c>
      <x:c r="EL88" s="23" t="n">
        <x:v>1390.3404947916665</x:v>
      </x:c>
      <x:c r="EM88" s="23" t="n">
        <x:v>562.3578694661458</x:v>
      </x:c>
      <x:c r="EN88" s="23" t="n">
        <x:v>561.75439453125</x:v>
      </x:c>
      <x:c r="EO88" s="23" t="n">
        <x:v>861.5900179116832</x:v>
      </x:c>
      <x:c r="EP88" s="23" t="n">
        <x:f>SUM(B88:EO88)</x:f>
        <x:v>51136.6293154866</x:v>
      </x:c>
      <x:c r="EQ88" s="23" t="n">
        <x:f>SUMPRODUCT(B88:EO88,{0.4419,0.4611,0.4942,0.4401,0.4033,0.4226,0.4342,0.4399,0.4418,0.4348,0.4551,0.4769,0.4388,0.4211,0.4256,0.3865,0.4154,0.4912,0.4755,0.4685,0.4788,0.4141,0.3838,0.4078,0.3998,0.4119,0.4558,0.4739,0.4413,0.409,0.4532,0.4859,0.4345,0.3592,0.593,0.9566,0.92,0.85,0.8843,0.7983,0.7476,0.7763,0.7633,0.7648,0.7399,0.6226,0.7984,1.1563,1.1768,1.1382,1.1654,1.0988,1.0655,1.0905,1.0626,1.0358,1.0312,1.0066,0.9725,0.9497,0.9444,0.9213,0.9347,1.0311,0.8558,0.5351,0.5718,0.6571,0.6229,0.6081,0.5832,0.5379,0.5155,0.5154,0.4972,0.45,0.5768,0.8193,0.897,0.895,0.8948,0.8913,0.9231,0.9624,0.9438,0.9599,1.0254,1.0295,0.8471,0.6278,0.66,0.6904,0.6589,0.7485,0.7978,0.7735,0.8061,0.8161,0.7966,0.8387,0.9176,0.9626,0.9306,0.9439,1.0117,1.0369,1.1113,1.2286,1.2697,1.2529,1.2306,1.2421,1.2796,1.3113,1.305,1.2775,1.2619,1.2789,1.287,1.2597,1.215,1.221,1.2904,1.3403,1.1903,0.9573,0.9477,0.9552,0.9225,0.9647,0.7856,0.4659,0.4162,0.4452,0.4109,0.3713,0.3652,0.3921,0.4206,0.4268,0.4167,0.4168,0.4269,0.4437})</x:f>
        <x:v>30988.1925192383</x:v>
      </x:c>
    </x:row>
    <x:row r="89" ht="14" customHeight="1">
      <x:c r="A89" s="3">
        <x:v>45776</x:v>
      </x:c>
      <x:c r="B89" s="23" t="n">
        <x:v>567.0308430989583</x:v>
      </x:c>
      <x:c r="C89" s="23" t="n">
        <x:v>571.7065836588541</x:v>
      </x:c>
      <x:c r="D89" s="23" t="n">
        <x:v>569.7049967447916</x:v>
      </x:c>
      <x:c r="E89" s="23" t="n">
        <x:v>571.4385172526041</x:v>
      </x:c>
      <x:c r="F89" s="23" t="n">
        <x:v>1329.6670140146111</x:v>
      </x:c>
      <x:c r="G89" s="23" t="n">
        <x:v>573.5142008463541</x:v>
      </x:c>
      <x:c r="H89" s="23" t="n">
        <x:v>1408.100138346354</x:v>
      </x:c>
      <x:c r="I89" s="23" t="n">
        <x:v>581.3353678385416</x:v>
      </x:c>
      <x:c r="J89" s="23" t="n">
        <x:v>577.3109537760416</x:v>
      </x:c>
      <x:c r="K89" s="23" t="n">
        <x:v>579.4809163411458</x:v>
      </x:c>
      <x:c r="L89" s="23" t="n">
        <x:v>593.6532389322916</x:v>
      </x:c>
      <x:c r="M89" s="23" t="n">
        <x:v>595.4361165364583</x:v>
      </x:c>
      <x:c r="N89" s="23" t="n">
        <x:v>583.2654215494791</x:v>
      </x:c>
      <x:c r="O89" s="23" t="n">
        <x:v>582.6445719401041</x:v>
      </x:c>
      <x:c r="P89" s="23" t="n">
        <x:v>587.8573811848958</x:v>
      </x:c>
      <x:c r="Q89" s="23" t="n">
        <x:v>1425.0848388671875</x:v>
      </x:c>
      <x:c r="R89" s="23" t="n">
        <x:v>1420.3353271484375</x:v>
      </x:c>
      <x:c r="S89" s="23" t="n">
        <x:v>593.1809895833333</x:v>
      </x:c>
      <x:c r="T89" s="23" t="n">
        <x:v>592.9774983723958</x:v>
      </x:c>
      <x:c r="U89" s="23" t="n">
        <x:v>592.9774983723958</x:v>
      </x:c>
      <x:c r="V89" s="23" t="n">
        <x:v>591.4972330729166</x:v>
      </x:c>
      <x:c r="W89" s="23" t="n">
        <x:v>595.22119140625</x:v>
      </x:c>
      <x:c r="X89" s="23" t="n">
        <x:v>592.9425048828125</x:v>
      </x:c>
      <x:c r="Y89" s="23" t="n">
        <x:v>599.4798990885416</x:v>
      </x:c>
      <x:c r="Z89" s="23" t="n">
        <x:v>597.1074625651041</x:v>
      </x:c>
      <x:c r="AA89" s="23" t="n">
        <x:v>589.7658284505208</x:v>
      </x:c>
      <x:c r="AB89" s="23" t="n">
        <x:v>584.2049967447916</x:v>
      </x:c>
      <x:c r="AC89" s="23" t="n">
        <x:v>593.9212239583333</x:v>
      </x:c>
      <x:c r="AD89" s="23" t="n">
        <x:v>598.818603515625</x:v>
      </x:c>
      <x:c r="AE89" s="23" t="n">
        <x:v>599.2624918619791</x:v>
      </x:c>
      <x:c r="AF89" s="23" t="n">
        <x:v>587.6593263060959</x:v>
      </x:c>
      <x:c r="AG89" s="23" t="n">
        <x:v>589.6942277589985</x:v>
      </x:c>
      <x:c r="AH89" s="23" t="n">
        <x:v>584.3398762869604</x:v>
      </x:c>
      <x:c r="AI89" s="23" t="n">
        <x:v>1382.3405099138267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0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0</x:v>
      </x:c>
      <x:c r="CN89" s="23" t="n">
        <x:v>48.73449379434775</x:v>
      </x:c>
      <x:c r="CO89" s="23" t="n">
        <x:v>98.46039523364107</x:v>
      </x:c>
      <x:c r="CP89" s="23" t="n">
        <x:v>141.60785126737647</x:v>
      </x:c>
      <x:c r="CQ89" s="23" t="n">
        <x:v>186.79981769501092</x:v>
      </x:c>
      <x:c r="CR89" s="23" t="n">
        <x:v>239.17229770536488</x:v>
      </x:c>
      <x:c r="CS89" s="23" t="n">
        <x:v>282.6668538774559</x:v>
      </x:c>
      <x:c r="CT89" s="23" t="n">
        <x:v>341.0117879935659</x:v>
      </x:c>
      <x:c r="CU89" s="23" t="n">
        <x:v>401.63358426720765</x:v>
      </x:c>
      <x:c r="CV89" s="23" t="n">
        <x:v>442.2632780369878</x:v>
      </x:c>
      <x:c r="CW89" s="23" t="n">
        <x:v>489.3575153812377</x:v>
      </x:c>
      <x:c r="CX89" s="23" t="n">
        <x:v>541.2942477484328</x:v>
      </x:c>
      <x:c r="CY89" s="23" t="n">
        <x:v>600.4215700370261</x:v>
      </x:c>
      <x:c r="CZ89" s="23" t="n">
        <x:v>647.4175911622557</x:v>
      </x:c>
      <x:c r="DA89" s="23" t="n">
        <x:v>693.0945108988918</x:v>
      </x:c>
      <x:c r="DB89" s="23" t="n">
        <x:v>756.228788128909</x:v>
      </x:c>
      <x:c r="DC89" s="23" t="n">
        <x:v>820.537805669803</x:v>
      </x:c>
      <x:c r="DD89" s="23" t="n">
        <x:v>750.8341954577147</x:v>
      </x:c>
      <x:c r="DE89" s="23" t="n">
        <x:v>585.7767637987615</x:v>
      </x:c>
      <x:c r="DF89" s="23" t="n">
        <x:v>588.0688199807696</x:v>
      </x:c>
      <x:c r="DG89" s="23" t="n">
        <x:v>0</x:v>
      </x:c>
      <x:c r="DH89" s="23" t="n">
        <x:v>0</x:v>
      </x:c>
      <x:c r="DI89" s="23" t="n">
        <x:v>0</x:v>
      </x:c>
      <x:c r="DJ89" s="23" t="n">
        <x:v>0</x:v>
      </x:c>
      <x:c r="DK89" s="23" t="n">
        <x:v>628.3486934091286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717.9507649739583</x:v>
      </x:c>
      <x:c r="DS89" s="23" t="n">
        <x:v>715.1078287760416</x:v>
      </x:c>
      <x:c r="DT89" s="23" t="n">
        <x:v>0</x:v>
      </x:c>
      <x:c r="DU89" s="23" t="n">
        <x:v>0</x:v>
      </x:c>
      <x:c r="DV89" s="23" t="n">
        <x:v>724.757080078125</x:v>
      </x:c>
      <x:c r="DW89" s="23" t="n">
        <x:v>726.6190360243056</x:v>
      </x:c>
      <x:c r="DX89" s="23" t="n">
        <x:v>731.1377766927083</x:v>
      </x:c>
      <x:c r="DY89" s="23" t="n">
        <x:v>727.4854003182868</x:v>
      </x:c>
      <x:c r="DZ89" s="23" t="n">
        <x:v>736.2795699588479</x:v>
      </x:c>
      <x:c r="EA89" s="23" t="n">
        <x:v>762.5009765625</x:v>
      </x:c>
      <x:c r="EB89" s="23" t="n">
        <x:v>690.1462455598958</x:v>
      </x:c>
      <x:c r="EC89" s="23" t="n">
        <x:v>552.0856526692708</x:v>
      </x:c>
      <x:c r="ED89" s="23" t="n">
        <x:v>1369.5531819661458</x:v>
      </x:c>
      <x:c r="EE89" s="23" t="n">
        <x:v>548.7754720052083</x:v>
      </x:c>
      <x:c r="EF89" s="23" t="n">
        <x:v>1373.7055257161458</x:v>
      </x:c>
      <x:c r="EG89" s="23" t="n">
        <x:v>848.2554231851209</x:v>
      </x:c>
      <x:c r="EH89" s="23" t="n">
        <x:v>555.0066731770833</x:v>
      </x:c>
      <x:c r="EI89" s="23" t="n">
        <x:v>557.6276041666666</x:v>
      </x:c>
      <x:c r="EJ89" s="23" t="n">
        <x:v>1393.8812255859375</x:v>
      </x:c>
      <x:c r="EK89" s="23" t="n">
        <x:v>1388.719970703125</x:v>
      </x:c>
      <x:c r="EL89" s="23" t="n">
        <x:v>1391.606689453125</x:v>
      </x:c>
      <x:c r="EM89" s="23" t="n">
        <x:v>562.9388020833333</x:v>
      </x:c>
      <x:c r="EN89" s="23" t="n">
        <x:v>562.0467529296875</x:v>
      </x:c>
      <x:c r="EO89" s="23" t="n">
        <x:v>1403.291056315104</x:v>
      </x:c>
      <x:c r="EP89" s="23" t="n">
        <x:f>SUM(B89:EO89)</x:f>
        <x:v>52306.167360662526</x:v>
      </x:c>
      <x:c r="EQ89" s="23" t="n">
        <x:f>SUMPRODUCT(B89:EO89,{0.4591,0.4341,0.4065,0.4494,0.4436,0.389,0.4054,0.4243,0.4092,0.4042,0.4509,0.4957,0.4402,0.3752,0.3855,0.4644,0.4663,0.4113,0.4511,0.4704,0.4215,0.3896,0.441,0.5041,0.447,0.4152,0.4515,0.4525,0.4216,0.3898,0.3827,0.4066,0.3965,0.3239,0.5474,0.9295,0.9403,0.841,0.8188,0.802,0.796,0.7886,0.7473,0.7137,0.6731,0.612,0.7984,1.1026,1.0981,1.0336,1.0551,1.0553,1.0176,0.9598,0.9123,0.9169,0.9523,0.946,0.8875,0.8389,0.8661,0.8353,0.7637,0.7771,0.6445,0.4128,0.3864,0.4297,0.4458,0.4706,0.4622,0.4227,0.4022,0.3817,0.3378,0.3089,0.5081,0.7993,0.8104,0.7828,0.8491,0.8909,0.8575,0.8141,0.8663,0.9031,0.9188,0.987,0.873,0.6487,0.651,0.7423,0.7918,0.8022,0.7889,0.774,0.7776,0.7941,0.8347,0.9066,0.9153,0.8788,0.9105,0.9523,0.9643,0.9811,1.078,1.2086,1.2403,1.2199,1.2142,1.2462,1.2662,1.2588,1.2591,1.2923,1.3284,1.3057,1.2459,1.2181,1.273,1.2898,1.2769,1.3236,1.1748,0.9153,0.9099,0.9444,0.9575,1.0542,0.8235,0.3936,0.3481,0.4197,0.4151,0.4209,0.4638,0.4829,0.4008,0.3468,0.3772,0.421,0.4058,0.3693})</x:f>
        <x:v>30921.308146284304</x:v>
      </x:c>
    </x:row>
    <x:row r="90" ht="14" customHeight="1">
      <x:c r="A90" s="3">
        <x:v>45777</x:v>
      </x:c>
      <x:c r="B90" s="23" t="n">
        <x:v>573.6432698567708</x:v>
      </x:c>
      <x:c r="C90" s="23" t="n">
        <x:v>572.6502278645833</x:v>
      </x:c>
      <x:c r="D90" s="23" t="n">
        <x:v>573.755615234375</x:v>
      </x:c>
      <x:c r="E90" s="23" t="n">
        <x:v>576.7548828125</x:v>
      </x:c>
      <x:c r="F90" s="23" t="n">
        <x:v>587.2940673828125</x:v>
      </x:c>
      <x:c r="G90" s="23" t="n">
        <x:v>567.9275877585636</x:v>
      </x:c>
      <x:c r="H90" s="23" t="n">
        <x:v>575.3979085286458</x:v>
      </x:c>
      <x:c r="I90" s="23" t="n">
        <x:v>581.1501057942708</x:v>
      </x:c>
      <x:c r="J90" s="23" t="n">
        <x:v>580.6889241536458</x:v>
      </x:c>
      <x:c r="K90" s="23" t="n">
        <x:v>586.3157958984375</x:v>
      </x:c>
      <x:c r="L90" s="23" t="n">
        <x:v>602.5541178385416</x:v>
      </x:c>
      <x:c r="M90" s="23" t="n">
        <x:v>603.0103352864583</x:v>
      </x:c>
      <x:c r="N90" s="23" t="n">
        <x:v>591.7020263671875</x:v>
      </x:c>
      <x:c r="O90" s="23" t="n">
        <x:v>588.0091959635416</x:v>
      </x:c>
      <x:c r="P90" s="23" t="n">
        <x:v>1424.7921549479165</x:v>
      </x:c>
      <x:c r="Q90" s="23" t="n">
        <x:v>1416.3428548177083</x:v>
      </x:c>
      <x:c r="R90" s="23" t="n">
        <x:v>589.7212727864583</x:v>
      </x:c>
      <x:c r="S90" s="23" t="n">
        <x:v>594.5381266276041</x:v>
      </x:c>
      <x:c r="T90" s="23" t="n">
        <x:v>598.1889241536458</x:v>
      </x:c>
      <x:c r="U90" s="23" t="n">
        <x:v>1431.4457600911458</x:v>
      </x:c>
      <x:c r="V90" s="23" t="n">
        <x:v>1426.41845703125</x:v>
      </x:c>
      <x:c r="W90" s="23" t="n">
        <x:v>596.5441487630208</x:v>
      </x:c>
      <x:c r="X90" s="23" t="n">
        <x:v>600.77294921875</x:v>
      </x:c>
      <x:c r="Y90" s="23" t="n">
        <x:v>607.4816080729166</x:v>
      </x:c>
      <x:c r="Z90" s="23" t="n">
        <x:v>601.301513671875</x:v>
      </x:c>
      <x:c r="AA90" s="23" t="n">
        <x:v>595.7266845703125</x:v>
      </x:c>
      <x:c r="AB90" s="23" t="n">
        <x:v>598.92138671875</x:v>
      </x:c>
      <x:c r="AC90" s="23" t="n">
        <x:v>598.21630859375</x:v>
      </x:c>
      <x:c r="AD90" s="23" t="n">
        <x:v>598.7491861979166</x:v>
      </x:c>
      <x:c r="AE90" s="23" t="n">
        <x:v>600.9944254557291</x:v>
      </x:c>
      <x:c r="AF90" s="23" t="n">
        <x:v>592.3118656761717</x:v>
      </x:c>
      <x:c r="AG90" s="23" t="n">
        <x:v>591.6151981703904</x:v>
      </x:c>
      <x:c r="AH90" s="23" t="n">
        <x:v>583.1579816495935</x:v>
      </x:c>
      <x:c r="AI90" s="23" t="n">
        <x:v>1377.304987108557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0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10.75186974043163</x:v>
      </x:c>
      <x:c r="CN90" s="23" t="n">
        <x:v>52.77475984836807</x:v>
      </x:c>
      <x:c r="CO90" s="23" t="n">
        <x:v>94.33539383418004</x:v>
      </x:c>
      <x:c r="CP90" s="23" t="n">
        <x:v>135.09817355953555</x:v>
      </x:c>
      <x:c r="CQ90" s="23" t="n">
        <x:v>192.37800921701728</x:v>
      </x:c>
      <x:c r="CR90" s="23" t="n">
        <x:v>247.75672718636952</x:v>
      </x:c>
      <x:c r="CS90" s="23" t="n">
        <x:v>302.85686728706116</x:v>
      </x:c>
      <x:c r="CT90" s="23" t="n">
        <x:v>355.34714402334276</x:v>
      </x:c>
      <x:c r="CU90" s="23" t="n">
        <x:v>407.27060303837527</x:v>
      </x:c>
      <x:c r="CV90" s="23" t="n">
        <x:v>454.0557607846279</x:v>
      </x:c>
      <x:c r="CW90" s="23" t="n">
        <x:v>492.22871966952437</x:v>
      </x:c>
      <x:c r="CX90" s="23" t="n">
        <x:v>549.4913622511251</x:v>
      </x:c>
      <x:c r="CY90" s="23" t="n">
        <x:v>604.575893579799</x:v>
      </x:c>
      <x:c r="CZ90" s="23" t="n">
        <x:v>656.6807919356309</x:v>
      </x:c>
      <x:c r="DA90" s="23" t="n">
        <x:v>695.6084203779557</x:v>
      </x:c>
      <x:c r="DB90" s="23" t="n">
        <x:v>747.4417489458724</x:v>
      </x:c>
      <x:c r="DC90" s="23" t="n">
        <x:v>816.4924879624492</x:v>
      </x:c>
      <x:c r="DD90" s="23" t="n">
        <x:v>735.3811418749622</x:v>
      </x:c>
      <x:c r="DE90" s="23" t="n">
        <x:v>582.1973392925016</x:v>
      </x:c>
      <x:c r="DF90" s="23" t="n">
        <x:v>602.459689005574</x:v>
      </x:c>
      <x:c r="DG90" s="23" t="n">
        <x:v>0</x:v>
      </x:c>
      <x:c r="DH90" s="23" t="n">
        <x:v>0</x:v>
      </x:c>
      <x:c r="DI90" s="23" t="n">
        <x:v>0</x:v>
      </x:c>
      <x:c r="DJ90" s="23" t="n">
        <x:v>0</x:v>
      </x:c>
      <x:c r="DK90" s="23" t="n">
        <x:v>0</x:v>
      </x:c>
      <x:c r="DL90" s="23" t="n">
        <x:v>717.4134114583333</x:v>
      </x:c>
      <x:c r="DM90" s="23" t="n">
        <x:v>0</x:v>
      </x:c>
      <x:c r="DN90" s="23" t="n">
        <x:v>0</x:v>
      </x:c>
      <x:c r="DO90" s="23" t="n">
        <x:v>718.6695963541666</x:v>
      </x:c>
      <x:c r="DP90" s="23" t="n">
        <x:v>0</x:v>
      </x:c>
      <x:c r="DQ90" s="23" t="n">
        <x:v>0</x:v>
      </x:c>
      <x:c r="DR90" s="23" t="n">
        <x:v>0</x:v>
      </x:c>
      <x:c r="DS90" s="23" t="n">
        <x:v>651.092437526108</x:v>
      </x:c>
      <x:c r="DT90" s="23" t="n">
        <x:v>0</x:v>
      </x:c>
      <x:c r="DU90" s="23" t="n">
        <x:v>0</x:v>
      </x:c>
      <x:c r="DV90" s="23" t="n">
        <x:v>717.4235435156249</x:v>
      </x:c>
      <x:c r="DW90" s="23" t="n">
        <x:v>732.4420790091308</x:v>
      </x:c>
      <x:c r="DX90" s="23" t="n">
        <x:v>736.2001916313012</x:v>
      </x:c>
      <x:c r="DY90" s="23" t="n">
        <x:v>726.6615397135416</x:v>
      </x:c>
      <x:c r="DZ90" s="23" t="n">
        <x:v>718.0020345052083</x:v>
      </x:c>
      <x:c r="EA90" s="23" t="n">
        <x:v>758.4112141927083</x:v>
      </x:c>
      <x:c r="EB90" s="23" t="n">
        <x:v>687.146082799479</x:v>
      </x:c>
      <x:c r="EC90" s="23" t="n">
        <x:v>1383.5033365885415</x:v>
      </x:c>
      <x:c r="ED90" s="23" t="n">
        <x:v>1379.1671142578125</x:v>
      </x:c>
      <x:c r="EE90" s="23" t="n">
        <x:v>552.3274739583333</x:v>
      </x:c>
      <x:c r="EF90" s="23" t="n">
        <x:v>1385.4153645833333</x:v>
      </x:c>
      <x:c r="EG90" s="23" t="n">
        <x:v>1388.6308186848958</x:v>
      </x:c>
      <x:c r="EH90" s="23" t="n">
        <x:v>858.9045117267874</x:v>
      </x:c>
      <x:c r="EI90" s="23" t="n">
        <x:v>556.4921875</x:v>
      </x:c>
      <x:c r="EJ90" s="23" t="n">
        <x:v>555.7403157552083</x:v>
      </x:c>
      <x:c r="EK90" s="23" t="n">
        <x:v>558.57470703125</x:v>
      </x:c>
      <x:c r="EL90" s="23" t="n">
        <x:v>559.4305826822916</x:v>
      </x:c>
      <x:c r="EM90" s="23" t="n">
        <x:v>1388.6545003255208</x:v>
      </x:c>
      <x:c r="EN90" s="23" t="n">
        <x:v>1397.867919921875</x:v>
      </x:c>
      <x:c r="EO90" s="23" t="n">
        <x:v>567.1641845703125</x:v>
      </x:c>
      <x:c r="EP90" s="23" t="n">
        <x:f>SUM(B90:EO90)</x:f>
        <x:v>52615.917906770286</x:v>
      </x:c>
      <x:c r="EQ90" s="23" t="n">
        <x:f>SUMPRODUCT(B90:EO90,{0.4072,0.4175,0.39,0.4195,0.4523,0.4534,0.4449,0.4469,0.4452,0.4152,0.4166,0.4453,0.4372,0.4268,0.4375,0.4504,0.4283,0.4044,0.4428,0.4379,0.3944,0.4205,0.4294,0.4106,0.4434,0.4648,0.4505,0.4434,0.4472,0.4496,0.4376,0.4182,0.3875,0.3739,0.5835,0.8878,0.9204,0.8699,0.8567,0.8145,0.7742,0.7557,0.7434,0.7301,0.6844,0.6203,0.82,1.1414,1.1346,1.069,1.0703,0.9949,0.9333,0.9282,0.9218,0.8942,0.8641,0.8543,0.8003,0.7524,0.8297,0.8811,0.875,0.894,0.7411,0.5079,0.5142,0.561,0.5343,0.512,0.4664,0.4214,0.449,0.4951,0.4876,0.4403,0.6333,0.9245,0.8748,0.7928,0.8093,0.7576,0.7575,0.827,0.8454,0.8474,0.8821,0.927,0.7935,0.5721,0.556,0.5781,0.5726,0.641,0.6835,0.6711,0.6835,0.7393,0.8005,0.8225,0.8845,0.9549,0.9219,0.9161,0.9613,0.9697,1.0708,1.2251,1.2425,1.2281,1.2501,1.2685,1.2666,1.2658,1.2966,1.3036,1.2881,1.3073,1.3303,1.3318,1.3133,1.2743,1.2609,1.3065,1.2148,1.0041,0.9076,0.9299,0.9967,0.9915,0.7233,0.3938,0.4214,0.466,0.3936,0.3958,0.3755,0.3282,0.3666,0.3996,0.3945,0.41,0.4283,0.4474})</x:f>
        <x:v>31048.178627038727</x:v>
      </x:c>
    </x:row>
    <x:row r="91" ht="14" customHeight="1">
      <x:c r="A91" s="3">
        <x:v>45778</x:v>
      </x:c>
      <x:c r="B91" s="23" t="n">
        <x:v>561.1151123046875</x:v>
      </x:c>
      <x:c r="C91" s="23" t="n">
        <x:v>546.701416015625</x:v>
      </x:c>
      <x:c r="D91" s="23" t="n">
        <x:v>548.7829996744791</x:v>
      </x:c>
      <x:c r="E91" s="23" t="n">
        <x:v>570.5335693359375</x:v>
      </x:c>
      <x:c r="F91" s="23" t="n">
        <x:v>567.2814127604166</x:v>
      </x:c>
      <x:c r="G91" s="23" t="n">
        <x:v>560.0857340494791</x:v>
      </x:c>
      <x:c r="H91" s="23" t="n">
        <x:v>568.5844319661458</x:v>
      </x:c>
      <x:c r="I91" s="23" t="n">
        <x:v>568.3607177734375</x:v>
      </x:c>
      <x:c r="J91" s="23" t="n">
        <x:v>565.9677734375</x:v>
      </x:c>
      <x:c r="K91" s="23" t="n">
        <x:v>1108.9894403608278</x:v>
      </x:c>
      <x:c r="L91" s="23" t="n">
        <x:v>583.4418538411458</x:v>
      </x:c>
      <x:c r="M91" s="23" t="n">
        <x:v>571.5303141276041</x:v>
      </x:c>
      <x:c r="N91" s="23" t="n">
        <x:v>572.12353515625</x:v>
      </x:c>
      <x:c r="O91" s="23" t="n">
        <x:v>583.7525634765625</x:v>
      </x:c>
      <x:c r="P91" s="23" t="n">
        <x:v>577.3710123697916</x:v>
      </x:c>
      <x:c r="Q91" s="23" t="n">
        <x:v>1409.926513671875</x:v>
      </x:c>
      <x:c r="R91" s="23" t="n">
        <x:v>1409.88623046875</x:v>
      </x:c>
      <x:c r="S91" s="23" t="n">
        <x:v>600.8177083333333</x:v>
      </x:c>
      <x:c r="T91" s="23" t="n">
        <x:v>571.753662109375</x:v>
      </x:c>
      <x:c r="U91" s="23" t="n">
        <x:v>569.914306640625</x:v>
      </x:c>
      <x:c r="V91" s="23" t="n">
        <x:v>599.1116129557291</x:v>
      </x:c>
      <x:c r="W91" s="23" t="n">
        <x:v>597.06494140625</x:v>
      </x:c>
      <x:c r="X91" s="23" t="n">
        <x:v>602.11962890625</x:v>
      </x:c>
      <x:c r="Y91" s="23" t="n">
        <x:v>602.881103515625</x:v>
      </x:c>
      <x:c r="Z91" s="23" t="n">
        <x:v>582.9820963541666</x:v>
      </x:c>
      <x:c r="AA91" s="23" t="n">
        <x:v>581.5259195963541</x:v>
      </x:c>
      <x:c r="AB91" s="23" t="n">
        <x:v>594.8026936848958</x:v>
      </x:c>
      <x:c r="AC91" s="23" t="n">
        <x:v>570.9427083333333</x:v>
      </x:c>
      <x:c r="AD91" s="23" t="n">
        <x:v>597.494873046875</x:v>
      </x:c>
      <x:c r="AE91" s="23" t="n">
        <x:v>599.9840494791666</x:v>
      </x:c>
      <x:c r="AF91" s="23" t="n">
        <x:v>575.187489163062</x:v>
      </x:c>
      <x:c r="AG91" s="23" t="n">
        <x:v>577.2899175031225</x:v>
      </x:c>
      <x:c r="AH91" s="23" t="n">
        <x:v>577.622353950555</x:v>
      </x:c>
      <x:c r="AI91" s="23" t="n">
        <x:v>1362.266001052411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0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0</x:v>
      </x:c>
      <x:c r="CN91" s="23" t="n">
        <x:v>0.7896363957276359</x:v>
      </x:c>
      <x:c r="CO91" s="23" t="n">
        <x:v>44.82450606635014</x:v>
      </x:c>
      <x:c r="CP91" s="23" t="n">
        <x:v>87.45754882957893</x:v>
      </x:c>
      <x:c r="CQ91" s="23" t="n">
        <x:v>159.50464468765145</x:v>
      </x:c>
      <x:c r="CR91" s="23" t="n">
        <x:v>219.68411061700965</x:v>
      </x:c>
      <x:c r="CS91" s="23" t="n">
        <x:v>277.8309490908714</x:v>
      </x:c>
      <x:c r="CT91" s="23" t="n">
        <x:v>327.5930053142738</x:v>
      </x:c>
      <x:c r="CU91" s="23" t="n">
        <x:v>381.1352466201443</x:v>
      </x:c>
      <x:c r="CV91" s="23" t="n">
        <x:v>420.25190003268597</x:v>
      </x:c>
      <x:c r="CW91" s="23" t="n">
        <x:v>471.079139701976</x:v>
      </x:c>
      <x:c r="CX91" s="23" t="n">
        <x:v>530.3798263474947</x:v>
      </x:c>
      <x:c r="CY91" s="23" t="n">
        <x:v>579.5608733063923</x:v>
      </x:c>
      <x:c r="CZ91" s="23" t="n">
        <x:v>636.7274846028181</x:v>
      </x:c>
      <x:c r="DA91" s="23" t="n">
        <x:v>689.5053574446534</x:v>
      </x:c>
      <x:c r="DB91" s="23" t="n">
        <x:v>741.0469429108764</x:v>
      </x:c>
      <x:c r="DC91" s="23" t="n">
        <x:v>790.4110998059547</x:v>
      </x:c>
      <x:c r="DD91" s="23" t="n">
        <x:v>709.7407070317588</x:v>
      </x:c>
      <x:c r="DE91" s="23" t="n">
        <x:v>574.8703056087788</x:v>
      </x:c>
      <x:c r="DF91" s="23" t="n">
        <x:v>612.4848997333035</x:v>
      </x:c>
      <x:c r="DG91" s="23" t="n">
        <x:v>661.944720731485</x:v>
      </x:c>
      <x:c r="DH91" s="23" t="n">
        <x:v>0</x:v>
      </x:c>
      <x:c r="DI91" s="23" t="n">
        <x:v>0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586.803924347004</x:v>
      </x:c>
      <x:c r="DS91" s="23" t="n">
        <x:v>711.9710286458333</x:v>
      </x:c>
      <x:c r="DT91" s="23" t="n">
        <x:v>0</x:v>
      </x:c>
      <x:c r="DU91" s="23" t="n">
        <x:v>0</x:v>
      </x:c>
      <x:c r="DV91" s="23" t="n">
        <x:v>708.858154296875</x:v>
      </x:c>
      <x:c r="DW91" s="23" t="n">
        <x:v>704.2714469521604</x:v>
      </x:c>
      <x:c r="DX91" s="23" t="n">
        <x:v>706.9866383744857</x:v>
      </x:c>
      <x:c r="DY91" s="23" t="n">
        <x:v>712.6952311197916</x:v>
      </x:c>
      <x:c r="DZ91" s="23" t="n">
        <x:v>723.3827311197916</x:v>
      </x:c>
      <x:c r="EA91" s="23" t="n">
        <x:v>751.04052734375</x:v>
      </x:c>
      <x:c r="EB91" s="23" t="n">
        <x:v>623.3504853645832</x:v>
      </x:c>
      <x:c r="EC91" s="23" t="n">
        <x:v>1347.4654947916665</x:v>
      </x:c>
      <x:c r="ED91" s="23" t="n">
        <x:v>1331.5408528645833</x:v>
      </x:c>
      <x:c r="EE91" s="23" t="n">
        <x:v>522.7667643229166</x:v>
      </x:c>
      <x:c r="EF91" s="23" t="n">
        <x:v>1348.584269205729</x:v>
      </x:c>
      <x:c r="EG91" s="23" t="n">
        <x:v>526.0160319010416</x:v>
      </x:c>
      <x:c r="EH91" s="23" t="n">
        <x:v>856.657414673354</x:v>
      </x:c>
      <x:c r="EI91" s="23" t="n">
        <x:v>554.5529378255208</x:v>
      </x:c>
      <x:c r="EJ91" s="23" t="n">
        <x:v>547.8465983072916</x:v>
      </x:c>
      <x:c r="EK91" s="23" t="n">
        <x:v>548.0887044270833</x:v>
      </x:c>
      <x:c r="EL91" s="23" t="n">
        <x:v>554.41552734375</x:v>
      </x:c>
      <x:c r="EM91" s="23" t="n">
        <x:v>1392.4239908854165</x:v>
      </x:c>
      <x:c r="EN91" s="23" t="n">
        <x:v>1331.4434407552083</x:v>
      </x:c>
      <x:c r="EO91" s="23" t="n">
        <x:v>1251.6385091145833</x:v>
      </x:c>
      <x:c r="EP91" s="23" t="n">
        <x:f>SUM(B91:EO91)</x:f>
        <x:v>49897.81930568386</x:v>
      </x:c>
      <x:c r="EQ91" s="23" t="n">
        <x:f>SUMPRODUCT(B91:EO91,{0.4868,0.5095,0.4845,0.4217,0.411,0.437,0.4002,0.3628,0.3566,0.3561,0.3923,0.4612,0.5085,0.4832,0.4191,0.4017,0.3923,0.3878,0.4298,0.4679,0.4614,0.4241,0.4472,0.4942,0.4463,0.4364,0.4912,0.4941,0.4427,0.4023,0.443,0.4995,0.4693,0.3498,0.526,0.8996,0.9605,0.8635,0.8025,0.8093,0.8085,0.7842,0.7873,0.7981,0.7654,0.7005,0.8911,1.1859,1.1267,1.0432,1.1007,1.1263,1.0654,0.982,0.9746,0.946,0.8851,0.8828,0.8957,0.8786,0.8343,0.8185,0.8303,0.7926,0.6131,0.4325,0.4891,0.4845,0.3967,0.4809,0.4681,0.3405,0.3721,0.4626,0.4641,0.3679,0.4997,0.7805,0.8044,0.7923,0.8394,0.8108,0.7991,0.8374,0.8624,0.8993,0.936,0.9097,0.7984,0.6729,0.652,0.7181,0.7654,0.701,0.6849,0.7393,0.7418,0.7891,0.8787,0.9001,0.9308,0.9791,0.9727,0.9862,1.0204,1.0188,1.1295,1.3058,1.3366,1.3359,1.3561,1.3301,1.2941,1.296,1.3422,1.3397,1.299,1.3165,1.3245,1.282,1.226,1.222,1.2894,1.3606,1.2429,1.0129,0.9521,0.9689,0.9919,1.0051,0.7662,0.4272,0.4152,0.4629,0.4317,0.4447,0.4469,0.4275,0.4474,0.4855,0.4949,0.4395,0.344,0.2921})</x:f>
        <x:v>30327.318129417687</x:v>
      </x:c>
    </x:row>
    <x:row r="92" ht="14" customHeight="1">
      <x:c r="A92" s="3">
        <x:v>45779</x:v>
      </x:c>
      <x:c r="B92" s="23" t="n">
        <x:v>405.2171630859375</x:v>
      </x:c>
      <x:c r="C92" s="23" t="n">
        <x:v>410.3162841796875</x:v>
      </x:c>
      <x:c r="D92" s="23" t="n">
        <x:v>407.103271484375</x:v>
      </x:c>
      <x:c r="E92" s="23" t="n">
        <x:v>419.4538167317708</x:v>
      </x:c>
      <x:c r="F92" s="23" t="n">
        <x:v>419.1668701171875</x:v>
      </x:c>
      <x:c r="G92" s="23" t="n">
        <x:v>408.9881591796875</x:v>
      </x:c>
      <x:c r="H92" s="23" t="n">
        <x:v>413.8247884114583</x:v>
      </x:c>
      <x:c r="I92" s="23" t="n">
        <x:v>421.51944986979163</x:v>
      </x:c>
      <x:c r="J92" s="23" t="n">
        <x:v>416.22916666666663</x:v>
      </x:c>
      <x:c r="K92" s="23" t="n">
        <x:v>423.22269694010413</x:v>
      </x:c>
      <x:c r="L92" s="23" t="n">
        <x:v>427.36588541666663</x:v>
      </x:c>
      <x:c r="M92" s="23" t="n">
        <x:v>0</x:v>
      </x:c>
      <x:c r="N92" s="23" t="n">
        <x:v>425.515380859375</x:v>
      </x:c>
      <x:c r="O92" s="23" t="n">
        <x:v>437.9383138020833</x:v>
      </x:c>
      <x:c r="P92" s="23" t="n">
        <x:v>438.8887532552083</x:v>
      </x:c>
      <x:c r="Q92" s="23" t="n">
        <x:v>449.4642333984375</x:v>
      </x:c>
      <x:c r="R92" s="23" t="n">
        <x:v>448.450439453125</x:v>
      </x:c>
      <x:c r="S92" s="23" t="n">
        <x:v>427.62516276041663</x:v>
      </x:c>
      <x:c r="T92" s="23" t="n">
        <x:v>432.29630533854163</x:v>
      </x:c>
      <x:c r="U92" s="23" t="n">
        <x:v>437.0963948567708</x:v>
      </x:c>
      <x:c r="V92" s="23" t="n">
        <x:v>447.6779378255208</x:v>
      </x:c>
      <x:c r="W92" s="23" t="n">
        <x:v>450.613525390625</x:v>
      </x:c>
      <x:c r="X92" s="23" t="n">
        <x:v>452.20072428385413</x:v>
      </x:c>
      <x:c r="Y92" s="23" t="n">
        <x:v>458.9832763671875</x:v>
      </x:c>
      <x:c r="Z92" s="23" t="n">
        <x:v>204.34772780645372</x:v>
      </x:c>
      <x:c r="AA92" s="23" t="n">
        <x:v>0</x:v>
      </x:c>
      <x:c r="AB92" s="23" t="n">
        <x:v>0</x:v>
      </x:c>
      <x:c r="AC92" s="23" t="n">
        <x:v>0</x:v>
      </x:c>
      <x:c r="AD92" s="23" t="n">
        <x:v>442.9625396049348</x:v>
      </x:c>
      <x:c r="AE92" s="23" t="n">
        <x:v>440.1648763020833</x:v>
      </x:c>
      <x:c r="AF92" s="23" t="n">
        <x:v>434.3803550233422</x:v>
      </x:c>
      <x:c r="AG92" s="23" t="n">
        <x:v>0</x:v>
      </x:c>
      <x:c r="AH92" s="23" t="n">
        <x:v>427.350087972518</x:v>
      </x:c>
      <x:c r="AI92" s="23" t="n">
        <x:v>1211.5853092626123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0</x:v>
      </x:c>
      <x:c r="CV92" s="23" t="n">
        <x:v>0</x:v>
      </x:c>
      <x:c r="CW92" s="23" t="n">
        <x:v>23.029432424347153</x:v>
      </x:c>
      <x:c r="CX92" s="23" t="n">
        <x:v>32.91011009888962</x:v>
      </x:c>
      <x:c r="CY92" s="23" t="n">
        <x:v>25.54123387116139</x:v>
      </x:c>
      <x:c r="CZ92" s="23" t="n">
        <x:v>77.11401788507828</x:v>
      </x:c>
      <x:c r="DA92" s="23" t="n">
        <x:v>129.59948837153553</x:v>
      </x:c>
      <x:c r="DB92" s="23" t="n">
        <x:v>180.00604831828412</x:v>
      </x:c>
      <x:c r="DC92" s="23" t="n">
        <x:v>231.88236759841539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273.1276353869652</x:v>
      </x:c>
      <x:c r="DX92" s="23" t="n">
        <x:v>448.73876953125</x:v>
      </x:c>
      <x:c r="DY92" s="23" t="n">
        <x:v>445.40348307291663</x:v>
      </x:c>
      <x:c r="DZ92" s="23" t="n">
        <x:v>445.65824381510413</x:v>
      </x:c>
      <x:c r="EA92" s="23" t="n">
        <x:v>0</x:v>
      </x:c>
      <x:c r="EB92" s="23" t="n">
        <x:v>445.16523446614593</x:v>
      </x:c>
      <x:c r="EC92" s="23" t="n">
        <x:v>1232.7412923177083</x:v>
      </x:c>
      <x:c r="ED92" s="23" t="n">
        <x:v>1226.536173502604</x:v>
      </x:c>
      <x:c r="EE92" s="23" t="n">
        <x:v>405.9010823567708</x:v>
      </x:c>
      <x:c r="EF92" s="23" t="n">
        <x:v>1230.9337565104165</x:v>
      </x:c>
      <x:c r="EG92" s="23" t="n">
        <x:v>414.7283935546875</x:v>
      </x:c>
      <x:c r="EH92" s="23" t="n">
        <x:v>407.2042236328125</x:v>
      </x:c>
      <x:c r="EI92" s="23" t="n">
        <x:v>405.23974609375</x:v>
      </x:c>
      <x:c r="EJ92" s="23" t="n">
        <x:v>706.2724779087894</x:v>
      </x:c>
      <x:c r="EK92" s="23" t="n">
        <x:v>1236.042521158854</x:v>
      </x:c>
      <x:c r="EL92" s="23" t="n">
        <x:v>1236.4574381510415</x:v>
      </x:c>
      <x:c r="EM92" s="23" t="n">
        <x:v>414.07132975260413</x:v>
      </x:c>
      <x:c r="EN92" s="23" t="n">
        <x:v>408.7164306640625</x:v>
      </x:c>
      <x:c r="EO92" s="23" t="n">
        <x:v>1238.9324951171875</x:v>
      </x:c>
      <x:c r="EP92" s="23" t="n">
        <x:f>SUM(B92:EO92)</x:f>
        <x:v>26361.902321207806</x:v>
      </x:c>
      <x:c r="EQ92" s="23" t="n">
        <x:f>SUMPRODUCT(B92:EO92,{0.3549,0.3835,0.3358,0.311,0.3248,0.3571,0.3805,0.3904,0.3834,0.3585,0.3418,0.3285,0.3005,0.3307,0.3924,0.3754,0.325,0.3099,0.3546,0.3778,0.3675,0.3811,0.3764,0.3626,0.3924,0.3871,0.3546,0.384,0.4109,0.3932,0.3562,0.344,0.3337,0.295,0.4379,0.692,0.7468,0.6948,0.6259,0.5496,0.5758,0.6483,0.5996,0.577,0.5939,0.5351,0.6126,0.7905,0.7999,0.7647,0.7516,0.7082,0.733,0.796,0.752,0.6679,0.6326,0.6683,0.6658,0.622,0.6313,0.6301,0.6372,0.7097,0.5827,0.3144,0.2489,0.2602,0.2486,0.2528,0.2702,0.2789,0.2675,0.2934,0.3179,0.2693,0.3817,0.6118,0.6656,0.66,0.6828,0.6901,0.657,0.6396,0.7146,0.7462,0.7374,0.7923,0.6687,0.4462,0.4688,0.5084,0.4586,0.4505,0.4899,0.5337,0.5479,0.5897,0.6566,0.6777,0.6368,0.5994,0.6509,0.6905,0.6582,0.6231,0.8051,1.1008,1.1644,1.115,1.1014,1.1482,1.1522,1.1279,1.1805,1.1905,1.1417,1.1414,1.1476,1.1277,1.1022,1.1065,1.1601,1.2187,1.076,0.8248,0.7774,0.7794,0.7919,0.8899,0.6879,0.2948,0.2501,0.3713,0.4183,0.3376,0.2965,0.3602,0.4303,0.3867,0.3023,0.357,0.3797,0.3322})</x:f>
        <x:v>10250.856761457415</x:v>
      </x:c>
    </x:row>
    <x:row r="93" ht="14" customHeight="1">
      <x:c r="A93" s="3">
        <x:v>45780</x:v>
      </x:c>
      <x:c r="B93" s="23" t="n">
        <x:v>405.9696858723958</x:v>
      </x:c>
      <x:c r="C93" s="23" t="n">
        <x:v>0</x:v>
      </x:c>
      <x:c r="D93" s="23" t="n">
        <x:v>407.5731201171875</x:v>
      </x:c>
      <x:c r="E93" s="23" t="n">
        <x:v>414.2937825520833</x:v>
      </x:c>
      <x:c r="F93" s="23" t="n">
        <x:v>415.61405436197913</x:v>
      </x:c>
      <x:c r="G93" s="23" t="n">
        <x:v>0</x:v>
      </x:c>
      <x:c r="H93" s="23" t="n">
        <x:v>410.3181966145833</x:v>
      </x:c>
      <x:c r="I93" s="23" t="n">
        <x:v>415.9333089192708</x:v>
      </x:c>
      <x:c r="J93" s="23" t="n">
        <x:v>411.2163899739583</x:v>
      </x:c>
      <x:c r="K93" s="23" t="n">
        <x:v>418.43827311197913</x:v>
      </x:c>
      <x:c r="L93" s="23" t="n">
        <x:v>419.0979817708333</x:v>
      </x:c>
      <x:c r="M93" s="23" t="n">
        <x:v>0</x:v>
      </x:c>
      <x:c r="N93" s="23" t="n">
        <x:v>0</x:v>
      </x:c>
      <x:c r="O93" s="23" t="n">
        <x:v>436.81827799479163</x:v>
      </x:c>
      <x:c r="P93" s="23" t="n">
        <x:v>428.42822265625</x:v>
      </x:c>
      <x:c r="Q93" s="23" t="n">
        <x:v>429.0234375</x:v>
      </x:c>
      <x:c r="R93" s="23" t="n">
        <x:v>423.8543294270833</x:v>
      </x:c>
      <x:c r="S93" s="23" t="n">
        <x:v>389.2717106161276</x:v>
      </x:c>
      <x:c r="T93" s="23" t="n">
        <x:v>426.80900065104163</x:v>
      </x:c>
      <x:c r="U93" s="23" t="n">
        <x:v>430.8660481770833</x:v>
      </x:c>
      <x:c r="V93" s="23" t="n">
        <x:v>440.2145589192708</x:v>
      </x:c>
      <x:c r="W93" s="23" t="n">
        <x:v>442.4190266927083</x:v>
      </x:c>
      <x:c r="X93" s="23" t="n">
        <x:v>444.2069905598958</x:v>
      </x:c>
      <x:c r="Y93" s="23" t="n">
        <x:v>446.22465006510413</x:v>
      </x:c>
      <x:c r="Z93" s="23" t="n">
        <x:v>0</x:v>
      </x:c>
      <x:c r="AA93" s="23" t="n">
        <x:v>444.38297526041663</x:v>
      </x:c>
      <x:c r="AB93" s="23" t="n">
        <x:v>444.989501953125</x:v>
      </x:c>
      <x:c r="AC93" s="23" t="n">
        <x:v>445.259765625</x:v>
      </x:c>
      <x:c r="AD93" s="23" t="n">
        <x:v>436.7082997878165</x:v>
      </x:c>
      <x:c r="AE93" s="23" t="n">
        <x:v>436.5272216796875</x:v>
      </x:c>
      <x:c r="AF93" s="23" t="n">
        <x:v>432.14186749980274</x:v>
      </x:c>
      <x:c r="AG93" s="23" t="n">
        <x:v>427.337813912839</x:v>
      </x:c>
      <x:c r="AH93" s="23" t="n">
        <x:v>416.546732061424</x:v>
      </x:c>
      <x:c r="AI93" s="23" t="n">
        <x:v>375.6749982809463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0</x:v>
      </x:c>
      <x:c r="CW93" s="23" t="n">
        <x:v>37.832981418900616</x:v>
      </x:c>
      <x:c r="CX93" s="23" t="n">
        <x:v>15.998457520301827</x:v>
      </x:c>
      <x:c r="CY93" s="23" t="n">
        <x:v>25.243891440627976</x:v>
      </x:c>
      <x:c r="CZ93" s="23" t="n">
        <x:v>74.37164754345613</x:v>
      </x:c>
      <x:c r="DA93" s="23" t="n">
        <x:v>126.85244203732475</x:v>
      </x:c>
      <x:c r="DB93" s="23" t="n">
        <x:v>184.57316544998642</x:v>
      </x:c>
      <x:c r="DC93" s="23" t="n">
        <x:v>232.0560742002263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293.32470626494074</x:v>
      </x:c>
      <x:c r="DX93" s="23" t="n">
        <x:v>456.60685221354163</x:v>
      </x:c>
      <x:c r="DY93" s="23" t="n">
        <x:v>457.3743896484375</x:v>
      </x:c>
      <x:c r="DZ93" s="23" t="n">
        <x:v>458.1769612630208</x:v>
      </x:c>
      <x:c r="EA93" s="23" t="n">
        <x:v>0</x:v>
      </x:c>
      <x:c r="EB93" s="23" t="n">
        <x:v>451.2879231770833</x:v>
      </x:c>
      <x:c r="EC93" s="23" t="n">
        <x:v>1227.6426595052083</x:v>
      </x:c>
      <x:c r="ED93" s="23" t="n">
        <x:v>1223.7143147786458</x:v>
      </x:c>
      <x:c r="EE93" s="23" t="n">
        <x:v>401.29679361979163</x:v>
      </x:c>
      <x:c r="EF93" s="23" t="n">
        <x:v>397.8604329427083</x:v>
      </x:c>
      <x:c r="EG93" s="23" t="n">
        <x:v>1237.6470540364583</x:v>
      </x:c>
      <x:c r="EH93" s="23" t="n">
        <x:v>1239.2880045572915</x:v>
      </x:c>
      <x:c r="EI93" s="23" t="n">
        <x:v>1239.5214029947915</x:v>
      </x:c>
      <x:c r="EJ93" s="23" t="n">
        <x:v>411.4843343098958</x:v>
      </x:c>
      <x:c r="EK93" s="23" t="n">
        <x:v>411.1470947265625</x:v>
      </x:c>
      <x:c r="EL93" s="23" t="n">
        <x:v>1242.0614827473958</x:v>
      </x:c>
      <x:c r="EM93" s="23" t="n">
        <x:v>701.5135370490932</x:v>
      </x:c>
      <x:c r="EN93" s="23" t="n">
        <x:v>420.08732096354163</x:v>
      </x:c>
      <x:c r="EO93" s="23" t="n">
        <x:v>545.9336344401041</x:v>
      </x:c>
      <x:c r="EP93" s="23" t="n">
        <x:f>SUM(B93:EO93)</x:f>
        <x:v>25829.057781464027</x:v>
      </x:c>
      <x:c r="EQ93" s="23" t="n">
        <x:f>SUMPRODUCT(B93:EO93,{0.3441,0.3274,0.2791,0.2976,0.3221,0.3238,0.34,0.3753,0.3929,0.3562,0.3549,0.3815,0.343,0.3167,0.3502,0.4017,0.3723,0.302,0.3304,0.387,0.3928,0.3434,0.3419,0.3685,0.3198,0.3433,0.4085,0.333,0.2848,0.321,0.3322,0.3437,0.3467,0.3246,0.4942,0.7442,0.7168,0.6096,0.5787,0.593,0.6105,0.6168,0.6182,0.5922,0.5402,0.5114,0.6109,0.776,0.82,0.7838,0.7363,0.7105,0.7172,0.7197,0.6732,0.664,0.6977,0.6883,0.6431,0.6074,0.6128,0.5867,0.5638,0.6148,0.4428,0.1511,0.1614,0.2083,0.1648,0.1819,0.2556,0.3059,0.265,0.2423,0.2267,0.14,0.2773,0.5616,0.6003,0.593,0.6448,0.648,0.6357,0.6477,0.6786,0.6674,0.6551,0.7148,0.6032,0.3972,0.4345,0.5058,0.492,0.4873,0.5136,0.5552,0.5842,0.5959,0.5954,0.5932,0.6068,0.6353,0.6602,0.6712,0.6581,0.6478,0.8107,1.0441,1.068,1.1149,1.2062,1.1356,1.1395,1.2238,1.1563,1.1195,1.1546,1.1204,1.1317,1.1939,1.1835,1.1634,1.172,1.1564,1.0033,0.7984,0.7599,0.7897,0.8373,0.9041,0.7038,0.3544,0.2963,0.3575,0.3662,0.3259,0.3004,0.3039,0.3064,0.3487,0.3946,0.3634,0.3686,0.416})</x:f>
        <x:v>9987.87991830402</x:v>
      </x:c>
    </x:row>
    <x:row r="94" ht="14" customHeight="1">
      <x:c r="A94" s="3">
        <x:v>45781</x:v>
      </x:c>
      <x:c r="B94" s="23" t="n">
        <x:v>575.5018311923043</x:v>
      </x:c>
      <x:c r="C94" s="23" t="n">
        <x:v>537.8907063802083</x:v>
      </x:c>
      <x:c r="D94" s="23" t="n">
        <x:v>559.2051188151041</x:v>
      </x:c>
      <x:c r="E94" s="23" t="n">
        <x:v>571.6002604166666</x:v>
      </x:c>
      <x:c r="F94" s="23" t="n">
        <x:v>566.3682047526041</x:v>
      </x:c>
      <x:c r="G94" s="23" t="n">
        <x:v>544.3367106119791</x:v>
      </x:c>
      <x:c r="H94" s="23" t="n">
        <x:v>568.572265625</x:v>
      </x:c>
      <x:c r="I94" s="23" t="n">
        <x:v>568.7021484375</x:v>
      </x:c>
      <x:c r="J94" s="23" t="n">
        <x:v>552.0990397135416</x:v>
      </x:c>
      <x:c r="K94" s="23" t="n">
        <x:v>1396.522501627604</x:v>
      </x:c>
      <x:c r="L94" s="23" t="n">
        <x:v>1396.3202718098958</x:v>
      </x:c>
      <x:c r="M94" s="23" t="n">
        <x:v>550.1399332682291</x:v>
      </x:c>
      <x:c r="N94" s="23" t="n">
        <x:v>556.9550374348958</x:v>
      </x:c>
      <x:c r="O94" s="23" t="n">
        <x:v>585.9204508463541</x:v>
      </x:c>
      <x:c r="P94" s="23" t="n">
        <x:v>594.9260660807291</x:v>
      </x:c>
      <x:c r="Q94" s="23" t="n">
        <x:v>571.9637451171875</x:v>
      </x:c>
      <x:c r="R94" s="23" t="n">
        <x:v>552.3826090494791</x:v>
      </x:c>
      <x:c r="S94" s="23" t="n">
        <x:v>574.673583984375</x:v>
      </x:c>
      <x:c r="T94" s="23" t="n">
        <x:v>586.3982747395833</x:v>
      </x:c>
      <x:c r="U94" s="23" t="n">
        <x:v>575.3819986979166</x:v>
      </x:c>
      <x:c r="V94" s="23" t="n">
        <x:v>587.5607096354166</x:v>
      </x:c>
      <x:c r="W94" s="23" t="n">
        <x:v>615.652587890625</x:v>
      </x:c>
      <x:c r="X94" s="23" t="n">
        <x:v>614.4405110677083</x:v>
      </x:c>
      <x:c r="Y94" s="23" t="n">
        <x:v>607.9064534505208</x:v>
      </x:c>
      <x:c r="Z94" s="23" t="n">
        <x:v>606.286376953125</x:v>
      </x:c>
      <x:c r="AA94" s="23" t="n">
        <x:v>602.4126790364583</x:v>
      </x:c>
      <x:c r="AB94" s="23" t="n">
        <x:v>601.6761474609375</x:v>
      </x:c>
      <x:c r="AC94" s="23" t="n">
        <x:v>601.6905517578125</x:v>
      </x:c>
      <x:c r="AD94" s="23" t="n">
        <x:v>592.707229276429</x:v>
      </x:c>
      <x:c r="AE94" s="23" t="n">
        <x:v>610.6294352213541</x:v>
      </x:c>
      <x:c r="AF94" s="23" t="n">
        <x:v>1428.08524318017</x:v>
      </x:c>
      <x:c r="AG94" s="23" t="n">
        <x:v>594.1147716695766</x:v>
      </x:c>
      <x:c r="AH94" s="23" t="n">
        <x:v>566.5658044951865</x:v>
      </x:c>
      <x:c r="AI94" s="23" t="n">
        <x:v>1318.5776442976437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0</x:v>
      </x:c>
      <x:c r="BV94" s="23" t="n">
        <x:v>0</x:v>
      </x:c>
      <x:c r="BW94" s="23" t="n">
        <x:v>0</x:v>
      </x:c>
      <x:c r="BX94" s="23" t="n">
        <x:v>0</x:v>
      </x:c>
      <x:c r="BY94" s="23" t="n">
        <x:v>376.5070264827342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5.987764964579583</x:v>
      </x:c>
      <x:c r="CN94" s="23" t="n">
        <x:v>53.975511209204036</x:v>
      </x:c>
      <x:c r="CO94" s="23" t="n">
        <x:v>92.44657837740169</x:v>
      </x:c>
      <x:c r="CP94" s="23" t="n">
        <x:v>122.96062226084587</x:v>
      </x:c>
      <x:c r="CQ94" s="23" t="n">
        <x:v>177.65162861271028</x:v>
      </x:c>
      <x:c r="CR94" s="23" t="n">
        <x:v>243.28617694192815</x:v>
      </x:c>
      <x:c r="CS94" s="23" t="n">
        <x:v>286.6363850763409</x:v>
      </x:c>
      <x:c r="CT94" s="23" t="n">
        <x:v>341.6381901551223</x:v>
      </x:c>
      <x:c r="CU94" s="23" t="n">
        <x:v>399.0947674640036</x:v>
      </x:c>
      <x:c r="CV94" s="23" t="n">
        <x:v>462.07308667547306</x:v>
      </x:c>
      <x:c r="CW94" s="23" t="n">
        <x:v>488.2982011223651</x:v>
      </x:c>
      <x:c r="CX94" s="23" t="n">
        <x:v>535.9353258138602</x:v>
      </x:c>
      <x:c r="CY94" s="23" t="n">
        <x:v>576.5234352776922</x:v>
      </x:c>
      <x:c r="CZ94" s="23" t="n">
        <x:v>634.6544186969095</x:v>
      </x:c>
      <x:c r="DA94" s="23" t="n">
        <x:v>685.4364370454224</x:v>
      </x:c>
      <x:c r="DB94" s="23" t="n">
        <x:v>739.0632604754471</x:v>
      </x:c>
      <x:c r="DC94" s="23" t="n">
        <x:v>791.4122016675415</x:v>
      </x:c>
      <x:c r="DD94" s="23" t="n">
        <x:v>719.9991315929431</x:v>
      </x:c>
      <x:c r="DE94" s="23" t="n">
        <x:v>570.3568704041647</x:v>
      </x:c>
      <x:c r="DF94" s="23" t="n">
        <x:v>570.809502007001</x:v>
      </x:c>
      <x:c r="DG94" s="23" t="n">
        <x:v>647.4215338445376</x:v>
      </x:c>
      <x:c r="DH94" s="23" t="n">
        <x:v>0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702.216796875</x:v>
      </x:c>
      <x:c r="DP94" s="23" t="n">
        <x:v>0</x:v>
      </x:c>
      <x:c r="DQ94" s="23" t="n">
        <x:v>0</x:v>
      </x:c>
      <x:c r="DR94" s="23" t="n">
        <x:v>0</x:v>
      </x:c>
      <x:c r="DS94" s="23" t="n">
        <x:v>439.7013340889225</x:v>
      </x:c>
      <x:c r="DT94" s="23" t="n">
        <x:v>0</x:v>
      </x:c>
      <x:c r="DU94" s="23" t="n">
        <x:v>0</x:v>
      </x:c>
      <x:c r="DV94" s="23" t="n">
        <x:v>694.9965006510416</x:v>
      </x:c>
      <x:c r="DW94" s="23" t="n">
        <x:v>701.647705078125</x:v>
      </x:c>
      <x:c r="DX94" s="23" t="n">
        <x:v>689.3993326822916</x:v>
      </x:c>
      <x:c r="DY94" s="23" t="n">
        <x:v>704.6478678385416</x:v>
      </x:c>
      <x:c r="DZ94" s="23" t="n">
        <x:v>723.266845703125</x:v>
      </x:c>
      <x:c r="EA94" s="23" t="n">
        <x:v>734.2945595442709</x:v>
      </x:c>
      <x:c r="EB94" s="23" t="n">
        <x:v>628.0441080729166</x:v>
      </x:c>
      <x:c r="EC94" s="23" t="n">
        <x:v>1344.229248046875</x:v>
      </x:c>
      <x:c r="ED94" s="23" t="n">
        <x:v>1362.9033203125</x:v>
      </x:c>
      <x:c r="EE94" s="23" t="n">
        <x:v>552.0772298177083</x:v>
      </x:c>
      <x:c r="EF94" s="23" t="n">
        <x:v>1366.7654622395833</x:v>
      </x:c>
      <x:c r="EG94" s="23" t="n">
        <x:v>1376.1284993489583</x:v>
      </x:c>
      <x:c r="EH94" s="23" t="n">
        <x:v>1371.733683268229</x:v>
      </x:c>
      <x:c r="EI94" s="23" t="n">
        <x:v>1376.39404296875</x:v>
      </x:c>
      <x:c r="EJ94" s="23" t="n">
        <x:v>555.6302897135416</x:v>
      </x:c>
      <x:c r="EK94" s="23" t="n">
        <x:v>555.2659098307291</x:v>
      </x:c>
      <x:c r="EL94" s="23" t="n">
        <x:v>541.2259928385416</x:v>
      </x:c>
      <x:c r="EM94" s="23" t="n">
        <x:v>818.0495138607577</x:v>
      </x:c>
      <x:c r="EN94" s="23" t="n">
        <x:v>551.3339029947916</x:v>
      </x:c>
      <x:c r="EO94" s="23" t="n">
        <x:v>565.7429606119791</x:v>
      </x:c>
      <x:c r="EP94" s="23" t="n">
        <x:f>SUM(B94:EO94)</x:f>
        <x:v>50812.03006654952</x:v>
      </x:c>
      <x:c r="EQ94" s="23" t="n">
        <x:f>SUMPRODUCT(B94:EO94,{0.406,0.4386,0.5049,0.4842,0.4484,0.4466,0.4532,0.441,0.4231,0.439,0.4685,0.4674,0.4135,0.4037,0.4503,0.4691,0.4484,0.4261,0.4428,0.433,0.3879,0.3732,0.4147,0.4629,0.4446,0.444,0.4818,0.4878,0.4422,0.4006,0.4401,0.4782,0.4488,0.4029,0.6105,0.9272,0.916,0.8327,0.8305,0.8143,0.8145,0.7977,0.6957,0.6823,0.6954,0.5528,0.7445,1.1623,1.1662,1.0571,1.05,1.0452,1.0041,0.9537,0.9408,0.9087,0.8506,0.8219,0.8229,0.8412,0.862,0.8555,0.8289,0.798,0.6607,0.4913,0.4918,0.5558,0.5837,0.5639,0.492,0.4196,0.4271,0.4877,0.4909,0.3824,0.5301,0.8494,0.8727,0.8264,0.8515,0.8525,0.8443,0.845,0.8472,0.8545,0.8799,0.9078,0.7956,0.6114,0.5824,0.6071,0.6237,0.6755,0.727,0.7569,0.7825,0.8306,0.8863,0.9042,0.8944,0.888,0.9156,0.9768,1.0208,1.0062,1.0887,1.2384,1.2642,1.266,1.2902,1.2863,1.3282,1.3892,1.3592,1.3222,1.3114,1.2839,1.2897,1.3263,1.3274,1.2848,1.2623,1.312,1.2266,1.0343,0.9813,0.989,0.9919,0.9783,0.7764,0.4998,0.4623,0.4791,0.449,0.4501,0.4355,0.4135,0.4438,0.4441,0.4155,0.4417,0.46,0.446})</x:f>
        <x:v>31108.286819026536</x:v>
      </x:c>
    </x:row>
    <x:row r="95" ht="14" customHeight="1">
      <x:c r="A95" s="3">
        <x:v>45782</x:v>
      </x:c>
      <x:c r="B95" s="23" t="n">
        <x:v>564.9722900390625</x:v>
      </x:c>
      <x:c r="C95" s="23" t="n">
        <x:v>556.0976155598958</x:v>
      </x:c>
      <x:c r="D95" s="23" t="n">
        <x:v>566.671142578125</x:v>
      </x:c>
      <x:c r="E95" s="23" t="n">
        <x:v>565.6304117838541</x:v>
      </x:c>
      <x:c r="F95" s="23" t="n">
        <x:v>572.3402506510416</x:v>
      </x:c>
      <x:c r="G95" s="23" t="n">
        <x:v>562.651611328125</x:v>
      </x:c>
      <x:c r="H95" s="23" t="n">
        <x:v>1399.3557942708333</x:v>
      </x:c>
      <x:c r="I95" s="23" t="n">
        <x:v>567.639892578125</x:v>
      </x:c>
      <x:c r="J95" s="23" t="n">
        <x:v>565.5093587239583</x:v>
      </x:c>
      <x:c r="K95" s="23" t="n">
        <x:v>572.5048421223958</x:v>
      </x:c>
      <x:c r="L95" s="23" t="n">
        <x:v>571.1988118489583</x:v>
      </x:c>
      <x:c r="M95" s="23" t="n">
        <x:v>569.833984375</x:v>
      </x:c>
      <x:c r="N95" s="23" t="n">
        <x:v>557.5651448567708</x:v>
      </x:c>
      <x:c r="O95" s="23" t="n">
        <x:v>548.8663736979166</x:v>
      </x:c>
      <x:c r="P95" s="23" t="n">
        <x:v>1331.0307810587612</x:v>
      </x:c>
      <x:c r="Q95" s="23" t="n">
        <x:v>585.7861328125</x:v>
      </x:c>
      <x:c r="R95" s="23" t="n">
        <x:v>587.8206380208333</x:v>
      </x:c>
      <x:c r="S95" s="23" t="n">
        <x:v>594.4938557942708</x:v>
      </x:c>
      <x:c r="T95" s="23" t="n">
        <x:v>597.6523030598958</x:v>
      </x:c>
      <x:c r="U95" s="23" t="n">
        <x:v>601.4777018229166</x:v>
      </x:c>
      <x:c r="V95" s="23" t="n">
        <x:v>608.7552083333333</x:v>
      </x:c>
      <x:c r="W95" s="23" t="n">
        <x:v>605.1565755208333</x:v>
      </x:c>
      <x:c r="X95" s="23" t="n">
        <x:v>1430.8562825520833</x:v>
      </x:c>
      <x:c r="Y95" s="23" t="n">
        <x:v>1424.330118815104</x:v>
      </x:c>
      <x:c r="Z95" s="23" t="n">
        <x:v>1437.7714436848958</x:v>
      </x:c>
      <x:c r="AA95" s="23" t="n">
        <x:v>609.69775390625</x:v>
      </x:c>
      <x:c r="AB95" s="23" t="n">
        <x:v>589.7183837890625</x:v>
      </x:c>
      <x:c r="AC95" s="23" t="n">
        <x:v>605.2556559244791</x:v>
      </x:c>
      <x:c r="AD95" s="23" t="n">
        <x:v>597.5336533750657</x:v>
      </x:c>
      <x:c r="AE95" s="23" t="n">
        <x:v>601.196044921875</x:v>
      </x:c>
      <x:c r="AF95" s="23" t="n">
        <x:v>594.7898173166174</x:v>
      </x:c>
      <x:c r="AG95" s="23" t="n">
        <x:v>593.3150934659036</x:v>
      </x:c>
      <x:c r="AH95" s="23" t="n">
        <x:v>580.4759810779955</x:v>
      </x:c>
      <x:c r="AI95" s="23" t="n">
        <x:v>1344.9597253829581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0</x:v>
      </x:c>
      <x:c r="BV95" s="23" t="n">
        <x:v>0</x:v>
      </x:c>
      <x:c r="BW95" s="23" t="n">
        <x:v>0</x:v>
      </x:c>
      <x:c r="BX95" s="23" t="n">
        <x:v>0</x:v>
      </x:c>
      <x:c r="BY95" s="23" t="n">
        <x:v>0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3.3631521733042664</x:v>
      </x:c>
      <x:c r="CN95" s="23" t="n">
        <x:v>49.8942549809708</x:v>
      </x:c>
      <x:c r="CO95" s="23" t="n">
        <x:v>92.25265593900636</x:v>
      </x:c>
      <x:c r="CP95" s="23" t="n">
        <x:v>134.69004828139578</x:v>
      </x:c>
      <x:c r="CQ95" s="23" t="n">
        <x:v>184.99716884903393</x:v>
      </x:c>
      <x:c r="CR95" s="23" t="n">
        <x:v>239.4399062723337</x:v>
      </x:c>
      <x:c r="CS95" s="23" t="n">
        <x:v>275.53591868938884</x:v>
      </x:c>
      <x:c r="CT95" s="23" t="n">
        <x:v>343.52934032638336</x:v>
      </x:c>
      <x:c r="CU95" s="23" t="n">
        <x:v>400.26892117874445</x:v>
      </x:c>
      <x:c r="CV95" s="23" t="n">
        <x:v>433.92128959534</x:v>
      </x:c>
      <x:c r="CW95" s="23" t="n">
        <x:v>502.0431516570128</x:v>
      </x:c>
      <x:c r="CX95" s="23" t="n">
        <x:v>536.6984280194449</x:v>
      </x:c>
      <x:c r="CY95" s="23" t="n">
        <x:v>590.0121276080749</x:v>
      </x:c>
      <x:c r="CZ95" s="23" t="n">
        <x:v>625.5964003152042</x:v>
      </x:c>
      <x:c r="DA95" s="23" t="n">
        <x:v>675.2682634529913</x:v>
      </x:c>
      <x:c r="DB95" s="23" t="n">
        <x:v>741.322863764006</x:v>
      </x:c>
      <x:c r="DC95" s="23" t="n">
        <x:v>801.8287963407897</x:v>
      </x:c>
      <x:c r="DD95" s="23" t="n">
        <x:v>725.8561258984638</x:v>
      </x:c>
      <x:c r="DE95" s="23" t="n">
        <x:v>0</x:v>
      </x:c>
      <x:c r="DF95" s="23" t="n">
        <x:v>610.9308261400591</x:v>
      </x:c>
      <x:c r="DG95" s="23" t="n">
        <x:v>661.6190711517489</x:v>
      </x:c>
      <x:c r="DH95" s="23" t="n">
        <x:v>0</x:v>
      </x:c>
      <x:c r="DI95" s="23" t="n">
        <x:v>509.86393743396457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717.91943359375</x:v>
      </x:c>
      <x:c r="DS95" s="23" t="n">
        <x:v>724.228271484375</x:v>
      </x:c>
      <x:c r="DT95" s="23" t="n">
        <x:v>0</x:v>
      </x:c>
      <x:c r="DU95" s="23" t="n">
        <x:v>0</x:v>
      </x:c>
      <x:c r="DV95" s="23" t="n">
        <x:v>719.1720377604166</x:v>
      </x:c>
      <x:c r="DW95" s="23" t="n">
        <x:v>726.763427734375</x:v>
      </x:c>
      <x:c r="DX95" s="23" t="n">
        <x:v>721.19873046875</x:v>
      </x:c>
      <x:c r="DY95" s="23" t="n">
        <x:v>715.1805013020833</x:v>
      </x:c>
      <x:c r="DZ95" s="23" t="n">
        <x:v>715.1798502604166</x:v>
      </x:c>
      <x:c r="EA95" s="23" t="n">
        <x:v>691.7525799609376</x:v>
      </x:c>
      <x:c r="EB95" s="23" t="n">
        <x:v>674.9642740885416</x:v>
      </x:c>
      <x:c r="EC95" s="23" t="n">
        <x:v>553.7256266276041</x:v>
      </x:c>
      <x:c r="ED95" s="23" t="n">
        <x:v>1371.9523111979165</x:v>
      </x:c>
      <x:c r="EE95" s="23" t="n">
        <x:v>550.6092122395833</x:v>
      </x:c>
      <x:c r="EF95" s="23" t="n">
        <x:v>1373.8199055989583</x:v>
      </x:c>
      <x:c r="EG95" s="23" t="n">
        <x:v>1380.425048828125</x:v>
      </x:c>
      <x:c r="EH95" s="23" t="n">
        <x:v>1388.375528971354</x:v>
      </x:c>
      <x:c r="EI95" s="23" t="n">
        <x:v>780.0334182741769</x:v>
      </x:c>
      <x:c r="EJ95" s="23" t="n">
        <x:v>537.9820556640625</x:v>
      </x:c>
      <x:c r="EK95" s="23" t="n">
        <x:v>545.5916748046875</x:v>
      </x:c>
      <x:c r="EL95" s="23" t="n">
        <x:v>1380.8943684895833</x:v>
      </x:c>
      <x:c r="EM95" s="23" t="n">
        <x:v>543.0799967447916</x:v>
      </x:c>
      <x:c r="EN95" s="23" t="n">
        <x:v>536.3057454427083</x:v>
      </x:c>
      <x:c r="EO95" s="23" t="n">
        <x:v>1382.9544270833333</x:v>
      </x:c>
      <x:c r="EP95" s="23" t="n">
        <x:f>SUM(B95:EO95)</x:f>
        <x:v>52533.951749737884</x:v>
      </x:c>
      <x:c r="EQ95" s="23" t="n">
        <x:f>SUMPRODUCT(B95:EO95,{0.4405,0.4386,0.4413,0.457,0.4528,0.4154,0.374,0.3993,0.4544,0.4337,0.424,0.4429,0.4264,0.4523,0.4877,0.4122,0.3375,0.3576,0.4564,0.4952,0.4528,0.4293,0.4211,0.4231,0.4441,0.444,0.4327,0.4638,0.5165,0.5347,0.4823,0.461,0.4463,0.3655,0.5712,0.9285,0.9152,0.8254,0.8362,0.8255,0.7866,0.7568,0.7673,0.7793,0.75,0.7082,0.8975,1.1939,1.2009,1.1121,1.0848,1.0847,1.0622,1.0172,0.9934,1.0049,1.0102,0.9536,0.9113,0.9115,0.913,0.9193,0.9263,0.8945,0.7328,0.5148,0.4347,0.4602,0.4933,0.4605,0.4164,0.4055,0.4191,0.4076,0.3611,0.3521,0.5681,0.8663,0.8879,0.8361,0.8791,0.9763,0.981,0.9021,0.8866,0.9141,0.9481,0.9593,0.8441,0.6738,0.6423,0.6682,0.6846,0.7035,0.7115,0.7392,0.8328,0.8991,0.9097,0.9236,0.9485,0.9565,0.9301,0.9686,1.054,1.071,1.0983,1.1736,1.2491,1.2998,1.3097,1.2865,1.3155,1.3466,1.2613,1.272,1.3756,1.3501,1.2945,1.29,1.3125,1.3231,1.3302,1.3463,1.2163,1.0132,0.9796,0.966,0.9646,1.0683,0.8356,0.4052,0.3904,0.4567,0.4242,0.4548,0.4807,0.4586,0.43,0.4294,0.4296,0.3816,0.3813,0.4235})</x:f>
        <x:v>32156.73764904067</x:v>
      </x:c>
    </x:row>
    <x:row r="96" ht="14" customHeight="1">
      <x:c r="A96" s="3">
        <x:v>45783</x:v>
      </x:c>
      <x:c r="B96" s="23" t="n">
        <x:v>572.637451171875</x:v>
      </x:c>
      <x:c r="C96" s="23" t="n">
        <x:v>572.779541015625</x:v>
      </x:c>
      <x:c r="D96" s="23" t="n">
        <x:v>573.2344970703125</x:v>
      </x:c>
      <x:c r="E96" s="23" t="n">
        <x:v>584.9290364583333</x:v>
      </x:c>
      <x:c r="F96" s="23" t="n">
        <x:v>1413.3073323567708</x:v>
      </x:c>
      <x:c r="G96" s="23" t="n">
        <x:v>570.2463785807291</x:v>
      </x:c>
      <x:c r="H96" s="23" t="n">
        <x:v>1416.6988525390625</x:v>
      </x:c>
      <x:c r="I96" s="23" t="n">
        <x:v>582.90576171875</x:v>
      </x:c>
      <x:c r="J96" s="23" t="n">
        <x:v>578.2754720052083</x:v>
      </x:c>
      <x:c r="K96" s="23" t="n">
        <x:v>1314.2478900487645</x:v>
      </x:c>
      <x:c r="L96" s="23" t="n">
        <x:v>593.9886881510416</x:v>
      </x:c>
      <x:c r="M96" s="23" t="n">
        <x:v>592.802490234375</x:v>
      </x:c>
      <x:c r="N96" s="23" t="n">
        <x:v>596.7129313151041</x:v>
      </x:c>
      <x:c r="O96" s="23" t="n">
        <x:v>1429.641357421875</x:v>
      </x:c>
      <x:c r="P96" s="23" t="n">
        <x:v>1417.7404378255208</x:v>
      </x:c>
      <x:c r="Q96" s="23" t="n">
        <x:v>591.3683675130208</x:v>
      </x:c>
      <x:c r="R96" s="23" t="n">
        <x:v>597.7288004557291</x:v>
      </x:c>
      <x:c r="S96" s="23" t="n">
        <x:v>594.5603841145833</x:v>
      </x:c>
      <x:c r="T96" s="23" t="n">
        <x:v>596.7355143229166</x:v>
      </x:c>
      <x:c r="U96" s="23" t="n">
        <x:v>591.4512125651041</x:v>
      </x:c>
      <x:c r="V96" s="23" t="n">
        <x:v>597.319091796875</x:v>
      </x:c>
      <x:c r="W96" s="23" t="n">
        <x:v>600.4327799479166</x:v>
      </x:c>
      <x:c r="X96" s="23" t="n">
        <x:v>603.3846028645833</x:v>
      </x:c>
      <x:c r="Y96" s="23" t="n">
        <x:v>601.902587890625</x:v>
      </x:c>
      <x:c r="Z96" s="23" t="n">
        <x:v>600.3314615885416</x:v>
      </x:c>
      <x:c r="AA96" s="23" t="n">
        <x:v>600.6024576822916</x:v>
      </x:c>
      <x:c r="AB96" s="23" t="n">
        <x:v>601.1615397135416</x:v>
      </x:c>
      <x:c r="AC96" s="23" t="n">
        <x:v>595.3189697265625</x:v>
      </x:c>
      <x:c r="AD96" s="23" t="n">
        <x:v>594.337938469444</x:v>
      </x:c>
      <x:c r="AE96" s="23" t="n">
        <x:v>612.9337972005208</x:v>
      </x:c>
      <x:c r="AF96" s="23" t="n">
        <x:v>596.3678829069916</x:v>
      </x:c>
      <x:c r="AG96" s="23" t="n">
        <x:v>588.504580218303</x:v>
      </x:c>
      <x:c r="AH96" s="23" t="n">
        <x:v>571.7677935828821</x:v>
      </x:c>
      <x:c r="AI96" s="23" t="n">
        <x:v>1369.459559166899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0</x:v>
      </x:c>
      <x:c r="BW96" s="23" t="n">
        <x:v>0</x:v>
      </x:c>
      <x:c r="BX96" s="23" t="n">
        <x:v>0</x:v>
      </x:c>
      <x:c r="BY96" s="23" t="n">
        <x:v>0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4.481718491668289</x:v>
      </x:c>
      <x:c r="CN96" s="23" t="n">
        <x:v>52.47032343093072</x:v>
      </x:c>
      <x:c r="CO96" s="23" t="n">
        <x:v>95.56987093548392</x:v>
      </x:c>
      <x:c r="CP96" s="23" t="n">
        <x:v>143.2184001055939</x:v>
      </x:c>
      <x:c r="CQ96" s="23" t="n">
        <x:v>188.07955393787202</x:v>
      </x:c>
      <x:c r="CR96" s="23" t="n">
        <x:v>235.40881518211063</x:v>
      </x:c>
      <x:c r="CS96" s="23" t="n">
        <x:v>293.33425792015487</x:v>
      </x:c>
      <x:c r="CT96" s="23" t="n">
        <x:v>338.96035549187195</x:v>
      </x:c>
      <x:c r="CU96" s="23" t="n">
        <x:v>390.7967592041813</x:v>
      </x:c>
      <x:c r="CV96" s="23" t="n">
        <x:v>459.0888160178298</x:v>
      </x:c>
      <x:c r="CW96" s="23" t="n">
        <x:v>522.3701240798707</x:v>
      </x:c>
      <x:c r="CX96" s="23" t="n">
        <x:v>559.6012568939474</x:v>
      </x:c>
      <x:c r="CY96" s="23" t="n">
        <x:v>586.7460351832874</x:v>
      </x:c>
      <x:c r="CZ96" s="23" t="n">
        <x:v>633.4709966176765</x:v>
      </x:c>
      <x:c r="DA96" s="23" t="n">
        <x:v>689.2156113051151</x:v>
      </x:c>
      <x:c r="DB96" s="23" t="n">
        <x:v>756.6927152652943</x:v>
      </x:c>
      <x:c r="DC96" s="23" t="n">
        <x:v>819.9784027428468</x:v>
      </x:c>
      <x:c r="DD96" s="23" t="n">
        <x:v>753.810544748869</x:v>
      </x:c>
      <x:c r="DE96" s="23" t="n">
        <x:v>566.6450597653115</x:v>
      </x:c>
      <x:c r="DF96" s="23" t="n">
        <x:v>573.4468971470315</x:v>
      </x:c>
      <x:c r="DG96" s="23" t="n">
        <x:v>665.3616832187763</x:v>
      </x:c>
      <x:c r="DH96" s="23" t="n">
        <x:v>0</x:v>
      </x:c>
      <x:c r="DI96" s="23" t="n">
        <x:v>0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45.02923218947035</x:v>
      </x:c>
      <x:c r="DR96" s="23" t="n">
        <x:v>733.12109375</x:v>
      </x:c>
      <x:c r="DS96" s="23" t="n">
        <x:v>737.14892578125</x:v>
      </x:c>
      <x:c r="DT96" s="23" t="n">
        <x:v>0</x:v>
      </x:c>
      <x:c r="DU96" s="23" t="n">
        <x:v>0</x:v>
      </x:c>
      <x:c r="DV96" s="23" t="n">
        <x:v>725.42458203125</x:v>
      </x:c>
      <x:c r="DW96" s="23" t="n">
        <x:v>749.4611633551955</x:v>
      </x:c>
      <x:c r="DX96" s="23" t="n">
        <x:v>743.3906577128341</x:v>
      </x:c>
      <x:c r="DY96" s="23" t="n">
        <x:v>730.3544921875</x:v>
      </x:c>
      <x:c r="DZ96" s="23" t="n">
        <x:v>726.70556640625</x:v>
      </x:c>
      <x:c r="EA96" s="23" t="n">
        <x:v>759.52490234375</x:v>
      </x:c>
      <x:c r="EB96" s="23" t="n">
        <x:v>682.56640625</x:v>
      </x:c>
      <x:c r="EC96" s="23" t="n">
        <x:v>1381.154825846354</x:v>
      </x:c>
      <x:c r="ED96" s="23" t="n">
        <x:v>1380.007853190104</x:v>
      </x:c>
      <x:c r="EE96" s="23" t="n">
        <x:v>569.5196533203125</x:v>
      </x:c>
      <x:c r="EF96" s="23" t="n">
        <x:v>560.7560221354166</x:v>
      </x:c>
      <x:c r="EG96" s="23" t="n">
        <x:v>562.6977945963541</x:v>
      </x:c>
      <x:c r="EH96" s="23" t="n">
        <x:v>563.6028645833333</x:v>
      </x:c>
      <x:c r="EI96" s="23" t="n">
        <x:v>561.7622884114583</x:v>
      </x:c>
      <x:c r="EJ96" s="23" t="n">
        <x:v>1396.6748046875</x:v>
      </x:c>
      <x:c r="EK96" s="23" t="n">
        <x:v>1400.0782877604165</x:v>
      </x:c>
      <x:c r="EL96" s="23" t="n">
        <x:v>1398.819132486979</x:v>
      </x:c>
      <x:c r="EM96" s="23" t="n">
        <x:v>567.7997639973958</x:v>
      </x:c>
      <x:c r="EN96" s="23" t="n">
        <x:v>866.4122049414866</x:v>
      </x:c>
      <x:c r="EO96" s="23" t="n">
        <x:v>1406.6918538411458</x:v>
      </x:c>
      <x:c r="EP96" s="23" t="n">
        <x:f>SUM(B96:EO96)</x:f>
        <x:v>53493.27000913216</x:v>
      </x:c>
      <x:c r="EQ96" s="23" t="n">
        <x:f>SUMPRODUCT(B96:EO96,{0.4127,0.4401,0.5042,0.4944,0.4291,0.3949,0.4586,0.4796,0.4377,0.4393,0.4147,0.3717,0.4041,0.4587,0.4826,0.4675,0.4329,0.4119,0.4371,0.5036,0.5332,0.445,0.3986,0.4513,0.5041,0.4884,0.4406,0.4539,0.4669,0.4611,0.4788,0.4785,0.4157,0.337,0.5558,0.9229,0.945,0.8553,0.8378,0.8331,0.7598,0.6951,0.7839,0.8106,0.7189,0.699,0.9106,1.1898,1.1996,1.1496,1.1457,1.0917,1.0543,1.0347,0.9699,0.9667,1.0248,1.0244,0.9731,0.9347,0.9524,0.9047,0.8231,0.8361,0.6977,0.4362,0.3559,0.389,0.4324,0.4519,0.441,0.3963,0.3324,0.3443,0.3912,0.3626,0.4791,0.7258,0.8362,0.8163,0.7798,0.8244,0.8483,0.8353,0.8693,0.8956,0.9027,0.9166,0.8028,0.6416,0.6622,0.6791,0.6415,0.6869,0.7458,0.757,0.7392,0.7726,0.8628,0.9325,0.9344,0.9075,0.9387,0.9982,1.0298,1.02,1.1031,1.2365,1.2428,1.2555,1.316,1.328,1.3296,1.3384,1.3249,1.2975,1.2955,1.343,1.3278,1.263,1.2724,1.2843,1.2902,1.3352,1.2364,1.0467,1.0103,0.9727,0.9354,1.0239,0.8529,0.4947,0.4347,0.4679,0.4532,0.465,0.4715,0.4523,0.4291,0.4262,0.4297,0.4124,0.4417,0.4811})</x:f>
        <x:v>33085.44540732408</x:v>
      </x:c>
    </x:row>
    <x:row r="97" ht="14" customHeight="1">
      <x:c r="A97" s="3">
        <x:v>45784</x:v>
      </x:c>
      <x:c r="B97" s="23" t="n">
        <x:v>581.9154052734375</x:v>
      </x:c>
      <x:c r="C97" s="23" t="n">
        <x:v>577.1283365885416</x:v>
      </x:c>
      <x:c r="D97" s="23" t="n">
        <x:v>576.6193440755208</x:v>
      </x:c>
      <x:c r="E97" s="23" t="n">
        <x:v>584.624755859375</x:v>
      </x:c>
      <x:c r="F97" s="23" t="n">
        <x:v>582.9503987630208</x:v>
      </x:c>
      <x:c r="G97" s="23" t="n">
        <x:v>572.9398193359375</x:v>
      </x:c>
      <x:c r="H97" s="23" t="n">
        <x:v>584.6145833333333</x:v>
      </x:c>
      <x:c r="I97" s="23" t="n">
        <x:v>593.1762288411458</x:v>
      </x:c>
      <x:c r="J97" s="23" t="n">
        <x:v>584.7318929036458</x:v>
      </x:c>
      <x:c r="K97" s="23" t="n">
        <x:v>589.6090087890625</x:v>
      </x:c>
      <x:c r="L97" s="23" t="n">
        <x:v>597.207763671875</x:v>
      </x:c>
      <x:c r="M97" s="23" t="n">
        <x:v>590.7381998697916</x:v>
      </x:c>
      <x:c r="N97" s="23" t="n">
        <x:v>595.4652506510416</x:v>
      </x:c>
      <x:c r="O97" s="23" t="n">
        <x:v>596.3367919921875</x:v>
      </x:c>
      <x:c r="P97" s="23" t="n">
        <x:v>592.543212890625</x:v>
      </x:c>
      <x:c r="Q97" s="23" t="n">
        <x:v>594.444580078125</x:v>
      </x:c>
      <x:c r="R97" s="23" t="n">
        <x:v>1425.441935221354</x:v>
      </x:c>
      <x:c r="S97" s="23" t="n">
        <x:v>592.3039957682291</x:v>
      </x:c>
      <x:c r="T97" s="23" t="n">
        <x:v>1430.91455078125</x:v>
      </x:c>
      <x:c r="U97" s="23" t="n">
        <x:v>1430.6341145833333</x:v>
      </x:c>
      <x:c r="V97" s="23" t="n">
        <x:v>595.3157958984375</x:v>
      </x:c>
      <x:c r="W97" s="23" t="n">
        <x:v>599.2497965494791</x:v>
      </x:c>
      <x:c r="X97" s="23" t="n">
        <x:v>603.5536295572916</x:v>
      </x:c>
      <x:c r="Y97" s="23" t="n">
        <x:v>1438.8541666666665</x:v>
      </x:c>
      <x:c r="Z97" s="23" t="n">
        <x:v>1292.2070046361057</x:v>
      </x:c>
      <x:c r="AA97" s="23" t="n">
        <x:v>606.3851725260416</x:v>
      </x:c>
      <x:c r="AB97" s="23" t="n">
        <x:v>609.7061360677083</x:v>
      </x:c>
      <x:c r="AC97" s="23" t="n">
        <x:v>601.409912109375</x:v>
      </x:c>
      <x:c r="AD97" s="23" t="n">
        <x:v>590.0783812331215</x:v>
      </x:c>
      <x:c r="AE97" s="23" t="n">
        <x:v>597.9004720052083</x:v>
      </x:c>
      <x:c r="AF97" s="23" t="n">
        <x:v>593.6556046175258</x:v>
      </x:c>
      <x:c r="AG97" s="23" t="n">
        <x:v>590.2870400159813</x:v>
      </x:c>
      <x:c r="AH97" s="23" t="n">
        <x:v>570.4773833106221</x:v>
      </x:c>
      <x:c r="AI97" s="23" t="n">
        <x:v>1366.2863146439224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0</x:v>
      </x:c>
      <x:c r="BV97" s="23" t="n">
        <x:v>0</x:v>
      </x:c>
      <x:c r="BW97" s="23" t="n">
        <x:v>0</x:v>
      </x:c>
      <x:c r="BX97" s="23" t="n">
        <x:v>0</x:v>
      </x:c>
      <x:c r="BY97" s="23" t="n">
        <x:v>0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0</x:v>
      </x:c>
      <x:c r="CN97" s="23" t="n">
        <x:v>28.64274827247815</x:v>
      </x:c>
      <x:c r="CO97" s="23" t="n">
        <x:v>63.613221769711494</x:v>
      </x:c>
      <x:c r="CP97" s="23" t="n">
        <x:v>106.0800424093959</x:v>
      </x:c>
      <x:c r="CQ97" s="23" t="n">
        <x:v>155.11410155222012</x:v>
      </x:c>
      <x:c r="CR97" s="23" t="n">
        <x:v>211.9985860245556</x:v>
      </x:c>
      <x:c r="CS97" s="23" t="n">
        <x:v>265.42317884393236</x:v>
      </x:c>
      <x:c r="CT97" s="23" t="n">
        <x:v>315.7936611075024</x:v>
      </x:c>
      <x:c r="CU97" s="23" t="n">
        <x:v>366.352837551874</x:v>
      </x:c>
      <x:c r="CV97" s="23" t="n">
        <x:v>436.2907193086678</x:v>
      </x:c>
      <x:c r="CW97" s="23" t="n">
        <x:v>505.0389393619872</x:v>
      </x:c>
      <x:c r="CX97" s="23" t="n">
        <x:v>557.1208892557622</x:v>
      </x:c>
      <x:c r="CY97" s="23" t="n">
        <x:v>597.5034883359049</x:v>
      </x:c>
      <x:c r="CZ97" s="23" t="n">
        <x:v>647.2015177283715</x:v>
      </x:c>
      <x:c r="DA97" s="23" t="n">
        <x:v>687.0544024860925</x:v>
      </x:c>
      <x:c r="DB97" s="23" t="n">
        <x:v>755.3992941481712</x:v>
      </x:c>
      <x:c r="DC97" s="23" t="n">
        <x:v>831.1932440919059</x:v>
      </x:c>
      <x:c r="DD97" s="23" t="n">
        <x:v>753.7914558788354</x:v>
      </x:c>
      <x:c r="DE97" s="23" t="n">
        <x:v>558.0228839064118</x:v>
      </x:c>
      <x:c r="DF97" s="23" t="n">
        <x:v>559.6723587700109</x:v>
      </x:c>
      <x:c r="DG97" s="23" t="n">
        <x:v>657.7904623106612</x:v>
      </x:c>
      <x:c r="DH97" s="23" t="n">
        <x:v>0</x:v>
      </x:c>
      <x:c r="DI97" s="23" t="n">
        <x:v>0</x:v>
      </x:c>
      <x:c r="DJ97" s="23" t="n">
        <x:v>0</x:v>
      </x:c>
      <x:c r="DK97" s="23" t="n">
        <x:v>0</x:v>
      </x:c>
      <x:c r="DL97" s="23" t="n">
        <x:v>715.4479443315481</x:v>
      </x:c>
      <x:c r="DM97" s="23" t="n">
        <x:v>0</x:v>
      </x:c>
      <x:c r="DN97" s="23" t="n">
        <x:v>0</x:v>
      </x:c>
      <x:c r="DO97" s="23" t="n">
        <x:v>726.4795735677083</x:v>
      </x:c>
      <x:c r="DP97" s="23" t="n">
        <x:v>0</x:v>
      </x:c>
      <x:c r="DQ97" s="23" t="n">
        <x:v>0</x:v>
      </x:c>
      <x:c r="DR97" s="23" t="n">
        <x:v>0</x:v>
      </x:c>
      <x:c r="DS97" s="23" t="n">
        <x:v>28.683694210235444</x:v>
      </x:c>
      <x:c r="DT97" s="23" t="n">
        <x:v>0</x:v>
      </x:c>
      <x:c r="DU97" s="23" t="n">
        <x:v>0</x:v>
      </x:c>
      <x:c r="DV97" s="23" t="n">
        <x:v>736.7882486979166</x:v>
      </x:c>
      <x:c r="DW97" s="23" t="n">
        <x:v>741.9189453125</x:v>
      </x:c>
      <x:c r="DX97" s="23" t="n">
        <x:v>752.346435546875</x:v>
      </x:c>
      <x:c r="DY97" s="23" t="n">
        <x:v>749.1853131028162</x:v>
      </x:c>
      <x:c r="DZ97" s="23" t="n">
        <x:v>738.0956217447916</x:v>
      </x:c>
      <x:c r="EA97" s="23" t="n">
        <x:v>756.9845377604166</x:v>
      </x:c>
      <x:c r="EB97" s="23" t="n">
        <x:v>674.285400390625</x:v>
      </x:c>
      <x:c r="EC97" s="23" t="n">
        <x:v>1382.7960205078125</x:v>
      </x:c>
      <x:c r="ED97" s="23" t="n">
        <x:v>841.5003213614006</x:v>
      </x:c>
      <x:c r="EE97" s="23" t="n">
        <x:v>562.1401774088541</x:v>
      </x:c>
      <x:c r="EF97" s="23" t="n">
        <x:v>1384.5516764322915</x:v>
      </x:c>
      <x:c r="EG97" s="23" t="n">
        <x:v>1385.465372721354</x:v>
      </x:c>
      <x:c r="EH97" s="23" t="n">
        <x:v>1392.5631510416665</x:v>
      </x:c>
      <x:c r="EI97" s="23" t="n">
        <x:v>1394.2591552734375</x:v>
      </x:c>
      <x:c r="EJ97" s="23" t="n">
        <x:v>559.5699869791666</x:v>
      </x:c>
      <x:c r="EK97" s="23" t="n">
        <x:v>559.1322835286458</x:v>
      </x:c>
      <x:c r="EL97" s="23" t="n">
        <x:v>567.0691324869791</x:v>
      </x:c>
      <x:c r="EM97" s="23" t="n">
        <x:v>1400.4942220052083</x:v>
      </x:c>
      <x:c r="EN97" s="23" t="n">
        <x:v>577.0235595703125</x:v>
      </x:c>
      <x:c r="EO97" s="23" t="n">
        <x:v>585.8564453125</x:v>
      </x:c>
      <x:c r="EP97" s="23" t="n">
        <x:f>SUM(B97:EO97)</x:f>
        <x:v>53201.44223151782</x:v>
      </x:c>
      <x:c r="EQ97" s="23" t="n">
        <x:f>SUMPRODUCT(B97:EO97,{0.4301,0.4364,0.498,0.465,0.4462,0.4729,0.4617,0.4466,0.4499,0.4566,0.4704,0.4672,0.4215,0.4256,0.463,0.4304,0.4283,0.4701,0.4623,0.4393,0.4272,0.4188,0.4409,0.4639,0.4262,0.3967,0.415,0.4536,0.472,0.4667,0.4699,0.4936,0.4648,0.35,0.5605,0.9472,0.9235,0.8242,0.8484,0.8574,0.8502,0.8237,0.7643,0.7689,0.7708,0.6477,0.7955,1.132,1.1542,1.1019,1.1184,1.0927,1.0521,1.0328,1.0297,0.9912,0.9302,0.9155,0.9346,0.9325,0.8732,0.875,0.936,0.9075,0.7006,0.4773,0.5046,0.5432,0.4835,0.4426,0.4114,0.3851,0.3892,0.4166,0.4087,0.347,0.5224,0.8298,0.851,0.801,0.8099,0.7959,0.8156,0.8656,0.8795,0.9254,1.0152,1.0513,0.8764,0.647,0.6949,0.7546,0.7108,0.7108,0.7416,0.7701,0.7933,0.8346,0.884,0.9002,0.876,0.876,0.9799,1.0807,1.1061,1.0877,1.1364,1.2373,1.2679,1.2549,1.246,1.2629,1.2919,1.3121,1.3135,1.3243,1.3424,1.335,1.3088,1.2882,1.2963,1.3231,1.3598,1.3712,1.1925,0.9499,0.9578,0.9955,0.9688,0.9661,0.7735,0.4872,0.4552,0.4845,0.442,0.3962,0.4192,0.4681,0.4358,0.4112,0.4122,0.3739,0.3778,0.4279})</x:f>
        <x:v>32670.62549618966</x:v>
      </x:c>
    </x:row>
    <x:row r="98" ht="14" customHeight="1">
      <x:c r="A98" s="3">
        <x:v>45785</x:v>
      </x:c>
      <x:c r="B98" s="23" t="n">
        <x:v>582.5669759114583</x:v>
      </x:c>
      <x:c r="C98" s="23" t="n">
        <x:v>569.8023681640625</x:v>
      </x:c>
      <x:c r="D98" s="23" t="n">
        <x:v>573.90283203125</x:v>
      </x:c>
      <x:c r="E98" s="23" t="n">
        <x:v>592.4554850260416</x:v>
      </x:c>
      <x:c r="F98" s="23" t="n">
        <x:v>590.7582600911458</x:v>
      </x:c>
      <x:c r="G98" s="23" t="n">
        <x:v>570.5812581380208</x:v>
      </x:c>
      <x:c r="H98" s="23" t="n">
        <x:v>583.6586100260416</x:v>
      </x:c>
      <x:c r="I98" s="23" t="n">
        <x:v>1294.6579917590325</x:v>
      </x:c>
      <x:c r="J98" s="23" t="n">
        <x:v>1407.4879557291665</x:v>
      </x:c>
      <x:c r="K98" s="23" t="n">
        <x:v>1420.6658935546875</x:v>
      </x:c>
      <x:c r="L98" s="23" t="n">
        <x:v>594.6235758463541</x:v>
      </x:c>
      <x:c r="M98" s="23" t="n">
        <x:v>590.9677327473958</x:v>
      </x:c>
      <x:c r="N98" s="23" t="n">
        <x:v>595.8361002604166</x:v>
      </x:c>
      <x:c r="O98" s="23" t="n">
        <x:v>598.6739501953125</x:v>
      </x:c>
      <x:c r="P98" s="23" t="n">
        <x:v>597.5891520182291</x:v>
      </x:c>
      <x:c r="Q98" s="23" t="n">
        <x:v>1430.223673502604</x:v>
      </x:c>
      <x:c r="R98" s="23" t="n">
        <x:v>1429.5528564453125</x:v>
      </x:c>
      <x:c r="S98" s="23" t="n">
        <x:v>593.79150390625</x:v>
      </x:c>
      <x:c r="T98" s="23" t="n">
        <x:v>598.7137044270833</x:v>
      </x:c>
      <x:c r="U98" s="23" t="n">
        <x:v>599.0515950520833</x:v>
      </x:c>
      <x:c r="V98" s="23" t="n">
        <x:v>599.2335205078125</x:v>
      </x:c>
      <x:c r="W98" s="23" t="n">
        <x:v>600.2812093098958</x:v>
      </x:c>
      <x:c r="X98" s="23" t="n">
        <x:v>602.0701904296875</x:v>
      </x:c>
      <x:c r="Y98" s="23" t="n">
        <x:v>605.9901936848958</x:v>
      </x:c>
      <x:c r="Z98" s="23" t="n">
        <x:v>598.9913330078125</x:v>
      </x:c>
      <x:c r="AA98" s="23" t="n">
        <x:v>599.130126953125</x:v>
      </x:c>
      <x:c r="AB98" s="23" t="n">
        <x:v>600.9045817057291</x:v>
      </x:c>
      <x:c r="AC98" s="23" t="n">
        <x:v>599.3600667317708</x:v>
      </x:c>
      <x:c r="AD98" s="23" t="n">
        <x:v>592.0263572050011</x:v>
      </x:c>
      <x:c r="AE98" s="23" t="n">
        <x:v>585.5907796223958</x:v>
      </x:c>
      <x:c r="AF98" s="23" t="n">
        <x:v>593.0580041418048</x:v>
      </x:c>
      <x:c r="AG98" s="23" t="n">
        <x:v>590.3802574315073</x:v>
      </x:c>
      <x:c r="AH98" s="23" t="n">
        <x:v>571.481443327859</x:v>
      </x:c>
      <x:c r="AI98" s="23" t="n">
        <x:v>1350.3250493737573</x:v>
      </x:c>
      <x:c r="AJ98" s="23" t="n">
        <x:v>0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0</x:v>
      </x:c>
      <x:c r="BT98" s="23" t="n">
        <x:v>0</x:v>
      </x:c>
      <x:c r="BU98" s="23" t="n">
        <x:v>0</x:v>
      </x:c>
      <x:c r="BV98" s="23" t="n">
        <x:v>0</x:v>
      </x:c>
      <x:c r="BW98" s="23" t="n">
        <x:v>0</x:v>
      </x:c>
      <x:c r="BX98" s="23" t="n">
        <x:v>0</x:v>
      </x:c>
      <x:c r="BY98" s="23" t="n">
        <x:v>0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8.494523833592211</x:v>
      </x:c>
      <x:c r="CN98" s="23" t="n">
        <x:v>46.514161397056036</x:v>
      </x:c>
      <x:c r="CO98" s="23" t="n">
        <x:v>80.67277400400644</x:v>
      </x:c>
      <x:c r="CP98" s="23" t="n">
        <x:v>126.47334264186352</x:v>
      </x:c>
      <x:c r="CQ98" s="23" t="n">
        <x:v>172.46457771097295</x:v>
      </x:c>
      <x:c r="CR98" s="23" t="n">
        <x:v>229.01428373163586</x:v>
      </x:c>
      <x:c r="CS98" s="23" t="n">
        <x:v>282.5792065507424</x:v>
      </x:c>
      <x:c r="CT98" s="23" t="n">
        <x:v>329.7253138897364</x:v>
      </x:c>
      <x:c r="CU98" s="23" t="n">
        <x:v>391.082977134342</x:v>
      </x:c>
      <x:c r="CV98" s="23" t="n">
        <x:v>469.8668494912937</x:v>
      </x:c>
      <x:c r="CW98" s="23" t="n">
        <x:v>535.7646475334079</x:v>
      </x:c>
      <x:c r="CX98" s="23" t="n">
        <x:v>573.2875838254627</x:v>
      </x:c>
      <x:c r="CY98" s="23" t="n">
        <x:v>597.7488052765552</x:v>
      </x:c>
      <x:c r="CZ98" s="23" t="n">
        <x:v>661.4878906647056</x:v>
      </x:c>
      <x:c r="DA98" s="23" t="n">
        <x:v>719.6228811174994</x:v>
      </x:c>
      <x:c r="DB98" s="23" t="n">
        <x:v>780.8950417597644</x:v>
      </x:c>
      <x:c r="DC98" s="23" t="n">
        <x:v>847.9163859553848</x:v>
      </x:c>
      <x:c r="DD98" s="23" t="n">
        <x:v>809.8800424273652</x:v>
      </x:c>
      <x:c r="DE98" s="23" t="n">
        <x:v>611.3571235880108</x:v>
      </x:c>
      <x:c r="DF98" s="23" t="n">
        <x:v>639.269407456299</x:v>
      </x:c>
      <x:c r="DG98" s="23" t="n">
        <x:v>246.96330945804152</x:v>
      </x:c>
      <x:c r="DH98" s="23" t="n">
        <x:v>0</x:v>
      </x:c>
      <x:c r="DI98" s="23" t="n">
        <x:v>0</x:v>
      </x:c>
      <x:c r="DJ98" s="23" t="n">
        <x:v>736.4251027591738</x:v>
      </x:c>
      <x:c r="DK98" s="23" t="n">
        <x:v>0</x:v>
      </x:c>
      <x:c r="DL98" s="23" t="n">
        <x:v>0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730.859375</x:v>
      </x:c>
      <x:c r="DS98" s="23" t="n">
        <x:v>739.1551920572916</x:v>
      </x:c>
      <x:c r="DT98" s="23" t="n">
        <x:v>0</x:v>
      </x:c>
      <x:c r="DU98" s="23" t="n">
        <x:v>0</x:v>
      </x:c>
      <x:c r="DV98" s="23" t="n">
        <x:v>782.1658528645833</x:v>
      </x:c>
      <x:c r="DW98" s="23" t="n">
        <x:v>767.6499900334362</x:v>
      </x:c>
      <x:c r="DX98" s="23" t="n">
        <x:v>758.60979375643</x:v>
      </x:c>
      <x:c r="DY98" s="23" t="n">
        <x:v>755.8102213541666</x:v>
      </x:c>
      <x:c r="DZ98" s="23" t="n">
        <x:v>757.7071126302083</x:v>
      </x:c>
      <x:c r="EA98" s="23" t="n">
        <x:v>780.671630859375</x:v>
      </x:c>
      <x:c r="EB98" s="23" t="n">
        <x:v>699.990478515625</x:v>
      </x:c>
      <x:c r="EC98" s="23" t="n">
        <x:v>1380.1620279947915</x:v>
      </x:c>
      <x:c r="ED98" s="23" t="n">
        <x:v>1384.1177571614583</x:v>
      </x:c>
      <x:c r="EE98" s="23" t="n">
        <x:v>583.8086751302083</x:v>
      </x:c>
      <x:c r="EF98" s="23" t="n">
        <x:v>573.6504313151041</x:v>
      </x:c>
      <x:c r="EG98" s="23" t="n">
        <x:v>873.2237635231805</x:v>
      </x:c>
      <x:c r="EH98" s="23" t="n">
        <x:v>1437.59033203125</x:v>
      </x:c>
      <x:c r="EI98" s="23" t="n">
        <x:v>588.3905029296875</x:v>
      </x:c>
      <x:c r="EJ98" s="23" t="n">
        <x:v>571.1666259765625</x:v>
      </x:c>
      <x:c r="EK98" s="23" t="n">
        <x:v>572.2940673828125</x:v>
      </x:c>
      <x:c r="EL98" s="23" t="n">
        <x:v>588.5948079427083</x:v>
      </x:c>
      <x:c r="EM98" s="23" t="n">
        <x:v>1410.4542236328125</x:v>
      </x:c>
      <x:c r="EN98" s="23" t="n">
        <x:v>1364.7130533854165</x:v>
      </x:c>
      <x:c r="EO98" s="23" t="n">
        <x:v>1279.0279541015625</x:v>
      </x:c>
      <x:c r="EP98" s="23" t="n">
        <x:f>SUM(B98:EO98)</x:f>
        <x:v>54181.70469005059</x:v>
      </x:c>
      <x:c r="EQ98" s="23" t="n">
        <x:f>SUMPRODUCT(B98:EO98,{0.4457,0.478,0.497,0.424,0.3943,0.4296,0.4159,0.3705,0.3622,0.4344,0.4706,0.4444,0.4379,0.449,0.4669,0.4874,0.4808,0.4509,0.4305,0.4075,0.4019,0.4452,0.4477,0.4158,0.4414,0.4535,0.4366,0.4486,0.4545,0.4575,0.4942,0.4897,0.419,0.373,0.5766,0.8856,0.9095,0.8691,0.8819,0.8415,0.79,0.7762,0.7972,0.7813,0.7004,0.63,0.8034,1.1051,1.1618,1.1132,1.0927,1.0809,1.0098,0.9427,1.0013,0.9868,0.8871,0.8853,0.8777,0.8518,0.9005,0.8829,0.827,0.8794,0.7657,0.525,0.4965,0.5407,0.541,0.524,0.4989,0.4731,0.4561,0.4475,0.4317,0.4285,0.6359,0.9217,0.9242,0.8526,0.8469,0.8477,0.8637,0.8977,0.928,0.9369,0.9811,1.0976,0.9713,0.6824,0.6463,0.6952,0.7154,0.7683,0.7964,0.7902,0.8017,0.8126,0.8213,0.8533,0.899,0.9421,0.9687,0.9668,0.9551,0.9863,1.1181,1.2813,1.3235,1.2745,1.2445,1.32,1.3665,1.3232,1.2637,1.274,1.3162,1.2837,1.2899,1.366,1.4134,1.3712,1.3036,1.3088,1.1815,0.9724,0.9537,0.9592,0.9596,1.0506,0.8557,0.4619,0.3725,0.4285,0.4669,0.4889,0.4832,0.4707,0.4841,0.4597,0.4171,0.4343,0.3963,0.3201})</x:f>
        <x:v>33588.610110540416</x:v>
      </x:c>
    </x:row>
    <x:row r="99" ht="14" customHeight="1">
      <x:c r="A99" s="3">
        <x:v>45786</x:v>
      </x:c>
      <x:c r="B99" s="23" t="n">
        <x:v>427.5413411458333</x:v>
      </x:c>
      <x:c r="C99" s="23" t="n">
        <x:v>428.873046875</x:v>
      </x:c>
      <x:c r="D99" s="23" t="n">
        <x:v>437.9811604817708</x:v>
      </x:c>
      <x:c r="E99" s="23" t="n">
        <x:v>443.7915852864583</x:v>
      </x:c>
      <x:c r="F99" s="23" t="n">
        <x:v>439.85660807291663</x:v>
      </x:c>
      <x:c r="G99" s="23" t="n">
        <x:v>421.4621175130208</x:v>
      </x:c>
      <x:c r="H99" s="23" t="n">
        <x:v>421.1972249348958</x:v>
      </x:c>
      <x:c r="I99" s="23" t="n">
        <x:v>427.4993896484375</x:v>
      </x:c>
      <x:c r="J99" s="23" t="n">
        <x:v>430.83349609375</x:v>
      </x:c>
      <x:c r="K99" s="23" t="n">
        <x:v>430.94217936197913</x:v>
      </x:c>
      <x:c r="L99" s="23" t="n">
        <x:v>431.1536865234375</x:v>
      </x:c>
      <x:c r="M99" s="23" t="n">
        <x:v>430.1048177083333</x:v>
      </x:c>
      <x:c r="N99" s="23" t="n">
        <x:v>428.79349772135413</x:v>
      </x:c>
      <x:c r="O99" s="23" t="n">
        <x:v>430.78857421875</x:v>
      </x:c>
      <x:c r="P99" s="23" t="n">
        <x:v>0</x:v>
      </x:c>
      <x:c r="Q99" s="23" t="n">
        <x:v>434.3187255859375</x:v>
      </x:c>
      <x:c r="R99" s="23" t="n">
        <x:v>433.2705891927083</x:v>
      </x:c>
      <x:c r="S99" s="23" t="n">
        <x:v>434.84464518229163</x:v>
      </x:c>
      <x:c r="T99" s="23" t="n">
        <x:v>443.1874593098958</x:v>
      </x:c>
      <x:c r="U99" s="23" t="n">
        <x:v>442.0478515625</x:v>
      </x:c>
      <x:c r="V99" s="23" t="n">
        <x:v>0</x:v>
      </x:c>
      <x:c r="W99" s="23" t="n">
        <x:v>443.3602294921875</x:v>
      </x:c>
      <x:c r="X99" s="23" t="n">
        <x:v>442.38712565104163</x:v>
      </x:c>
      <x:c r="Y99" s="23" t="n">
        <x:v>442.61222330729163</x:v>
      </x:c>
      <x:c r="Z99" s="23" t="n">
        <x:v>0</x:v>
      </x:c>
      <x:c r="AA99" s="23" t="n">
        <x:v>0</x:v>
      </x:c>
      <x:c r="AB99" s="23" t="n">
        <x:v>110.92852557472861</x:v>
      </x:c>
      <x:c r="AC99" s="23" t="n">
        <x:v>445.06534830729163</x:v>
      </x:c>
      <x:c r="AD99" s="23" t="n">
        <x:v>0</x:v>
      </x:c>
      <x:c r="AE99" s="23" t="n">
        <x:v>0</x:v>
      </x:c>
      <x:c r="AF99" s="23" t="n">
        <x:v>448.0692132603043</x:v>
      </x:c>
      <x:c r="AG99" s="23" t="n">
        <x:v>441.2769842485616</x:v>
      </x:c>
      <x:c r="AH99" s="23" t="n">
        <x:v>421.5227583310234</x:v>
      </x:c>
      <x:c r="AI99" s="23" t="n">
        <x:v>1208.660515259703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0</x:v>
      </x:c>
      <x:c r="CW99" s="23" t="n">
        <x:v>86.81138567878557</x:v>
      </x:c>
      <x:c r="CX99" s="23" t="n">
        <x:v>102.01797202133699</x:v>
      </x:c>
      <x:c r="CY99" s="23" t="n">
        <x:v>27.368228469741553</x:v>
      </x:c>
      <x:c r="CZ99" s="23" t="n">
        <x:v>72.23833100012992</x:v>
      </x:c>
      <x:c r="DA99" s="23" t="n">
        <x:v>164.50552052906573</x:v>
      </x:c>
      <x:c r="DB99" s="23" t="n">
        <x:v>196.8684311042482</x:v>
      </x:c>
      <x:c r="DC99" s="23" t="n">
        <x:v>217.30246072721627</x:v>
      </x:c>
      <x:c r="DD99" s="23" t="n">
        <x:v>261.10685088495364</x:v>
      </x:c>
      <x:c r="DE99" s="23" t="n">
        <x:v>0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0</x:v>
      </x:c>
      <x:c r="DW99" s="23" t="n">
        <x:v>524.3440755208333</x:v>
      </x:c>
      <x:c r="DX99" s="23" t="n">
        <x:v>509.4276936848958</x:v>
      </x:c>
      <x:c r="DY99" s="23" t="n">
        <x:v>463.4170735677083</x:v>
      </x:c>
      <x:c r="DZ99" s="23" t="n">
        <x:v>456.22513834635413</x:v>
      </x:c>
      <x:c r="EA99" s="23" t="n">
        <x:v>163.52314951761255</x:v>
      </x:c>
      <x:c r="EB99" s="23" t="n">
        <x:v>497.28531901041663</x:v>
      </x:c>
      <x:c r="EC99" s="23" t="n">
        <x:v>1281.8179524739583</x:v>
      </x:c>
      <x:c r="ED99" s="23" t="n">
        <x:v>1257.5188802083333</x:v>
      </x:c>
      <x:c r="EE99" s="23" t="n">
        <x:v>451.34781901041663</x:v>
      </x:c>
      <x:c r="EF99" s="23" t="n">
        <x:v>450.1209309895833</x:v>
      </x:c>
      <x:c r="EG99" s="23" t="n">
        <x:v>1279.0851643880208</x:v>
      </x:c>
      <x:c r="EH99" s="23" t="n">
        <x:v>1270.35302734375</x:v>
      </x:c>
      <x:c r="EI99" s="23" t="n">
        <x:v>727.4604321791405</x:v>
      </x:c>
      <x:c r="EJ99" s="23" t="n">
        <x:v>437.8806966145833</x:v>
      </x:c>
      <x:c r="EK99" s="23" t="n">
        <x:v>428.52197265625</x:v>
      </x:c>
      <x:c r="EL99" s="23" t="n">
        <x:v>1259.8126627604165</x:v>
      </x:c>
      <x:c r="EM99" s="23" t="n">
        <x:v>431.579833984375</x:v>
      </x:c>
      <x:c r="EN99" s="23" t="n">
        <x:v>441.902587890625</x:v>
      </x:c>
      <x:c r="EO99" s="23" t="n">
        <x:v>1270.460978190104</x:v>
      </x:c>
      <x:c r="EP99" s="23" t="n">
        <x:f>SUM(B99:EO99)</x:f>
        <x:v>27352.675488604254</x:v>
      </x:c>
      <x:c r="EQ99" s="23" t="n">
        <x:f>SUMPRODUCT(B99:EO99,{0.3454,0.3796,0.3728,0.37,0.3832,0.394,0.3744,0.3441,0.3291,0.3376,0.3303,0.3005,0.2849,0.3176,0.3654,0.3598,0.3518,0.3633,0.3621,0.3377,0.3137,0.326,0.3491,0.3552,0.3435,0.3592,0.3831,0.3519,0.3305,0.3526,0.39,0.4191,0.3929,0.3097,0.4334,0.6798,0.687,0.6314,0.6175,0.5819,0.6237,0.7015,0.656,0.5828,0.5253,0.4612,0.5666,0.7735,0.8138,0.7907,0.7829,0.7689,0.8005,0.8361,0.7733,0.7137,0.6992,0.6728,0.6321,0.6226,0.6785,0.6626,0.6041,0.6426,0.5343,0.2953,0.2084,0.1936,0.1819,0.1988,0.2254,0.2275,0.1897,0.1822,0.1937,0.1705,0.2891,0.4954,0.5378,0.5274,0.5466,0.5643,0.5867,0.6224,0.6609,0.6522,0.6451,0.7089,0.5771,0.3369,0.367,0.4647,0.4762,0.4545,0.4805,0.5343,0.5291,0.5334,0.5703,0.5884,0.5781,0.5873,0.6657,0.6907,0.6345,0.6215,0.8179,1.0876,1.1129,1.0836,1.1193,1.151,1.1575,1.1471,1.1406,1.1479,1.163,1.1727,1.184,1.1847,1.1534,1.1273,1.1441,1.1781,1.0255,0.7931,0.7997,0.8051,0.7618,0.8302,0.6812,0.3662,0.3023,0.3493,0.3651,0.3536,0.3288,0.3186,0.3461,0.3614,0.34,0.3039,0.2872,0.2941})</x:f>
        <x:v>10846.16372945972</x:v>
      </x:c>
    </x:row>
    <x:row r="100" ht="14" customHeight="1">
      <x:c r="A100" s="3">
        <x:v>45787</x:v>
      </x:c>
      <x:c r="B100" s="23" t="n">
        <x:v>424.3289794921875</x:v>
      </x:c>
      <x:c r="C100" s="23" t="n">
        <x:v>419.1773274739583</x:v>
      </x:c>
      <x:c r="D100" s="23" t="n">
        <x:v>432.364990234375</x:v>
      </x:c>
      <x:c r="E100" s="23" t="n">
        <x:v>441.0271809895833</x:v>
      </x:c>
      <x:c r="F100" s="23" t="n">
        <x:v>438.05712890625</x:v>
      </x:c>
      <x:c r="G100" s="23" t="n">
        <x:v>430.18168131510413</x:v>
      </x:c>
      <x:c r="H100" s="23" t="n">
        <x:v>434.02530924479163</x:v>
      </x:c>
      <x:c r="I100" s="23" t="n">
        <x:v>430.89335123697913</x:v>
      </x:c>
      <x:c r="J100" s="23" t="n">
        <x:v>277.43457781258223</x:v>
      </x:c>
      <x:c r="K100" s="23" t="n">
        <x:v>0</x:v>
      </x:c>
      <x:c r="L100" s="23" t="n">
        <x:v>0</x:v>
      </x:c>
      <x:c r="M100" s="23" t="n">
        <x:v>0</x:v>
      </x:c>
      <x:c r="N100" s="23" t="n">
        <x:v>422.3417561848958</x:v>
      </x:c>
      <x:c r="O100" s="23" t="n">
        <x:v>426.52872721354163</x:v>
      </x:c>
      <x:c r="P100" s="23" t="n">
        <x:v>433.219482421875</x:v>
      </x:c>
      <x:c r="Q100" s="23" t="n">
        <x:v>0</x:v>
      </x:c>
      <x:c r="R100" s="23" t="n">
        <x:v>433.5819091796875</x:v>
      </x:c>
      <x:c r="S100" s="23" t="n">
        <x:v>433.3363037109375</x:v>
      </x:c>
      <x:c r="T100" s="23" t="n">
        <x:v>435.0782063802083</x:v>
      </x:c>
      <x:c r="U100" s="23" t="n">
        <x:v>438.8151448567708</x:v>
      </x:c>
      <x:c r="V100" s="23" t="n">
        <x:v>0</x:v>
      </x:c>
      <x:c r="W100" s="23" t="n">
        <x:v>435.9275716145833</x:v>
      </x:c>
      <x:c r="X100" s="23" t="n">
        <x:v>435.6071370442708</x:v>
      </x:c>
      <x:c r="Y100" s="23" t="n">
        <x:v>435.74051920572913</x:v>
      </x:c>
      <x:c r="Z100" s="23" t="n">
        <x:v>440.6158040364583</x:v>
      </x:c>
      <x:c r="AA100" s="23" t="n">
        <x:v>442.58011881510413</x:v>
      </x:c>
      <x:c r="AB100" s="23" t="n">
        <x:v>0</x:v>
      </x:c>
      <x:c r="AC100" s="23" t="n">
        <x:v>437.5110677083333</x:v>
      </x:c>
      <x:c r="AD100" s="23" t="n">
        <x:v>429.2215874347462</x:v>
      </x:c>
      <x:c r="AE100" s="23" t="n">
        <x:v>444.892822265625</x:v>
      </x:c>
      <x:c r="AF100" s="23" t="n">
        <x:v>436.98621816614065</x:v>
      </x:c>
      <x:c r="AG100" s="23" t="n">
        <x:v>427.8568365106207</x:v>
      </x:c>
      <x:c r="AH100" s="23" t="n">
        <x:v>401.3575675812232</x:v>
      </x:c>
      <x:c r="AI100" s="23" t="n">
        <x:v>368.0795470613053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0</x:v>
      </x:c>
      <x:c r="CW100" s="23" t="n">
        <x:v>42.49037247343858</x:v>
      </x:c>
      <x:c r="CX100" s="23" t="n">
        <x:v>60.6524567272204</x:v>
      </x:c>
      <x:c r="CY100" s="23" t="n">
        <x:v>28.659952072196422</x:v>
      </x:c>
      <x:c r="CZ100" s="23" t="n">
        <x:v>73.691211216173</x:v>
      </x:c>
      <x:c r="DA100" s="23" t="n">
        <x:v>158.3209612038513</x:v>
      </x:c>
      <x:c r="DB100" s="23" t="n">
        <x:v>221.2554726242986</x:v>
      </x:c>
      <x:c r="DC100" s="23" t="n">
        <x:v>248.01345274278378</x:v>
      </x:c>
      <x:c r="DD100" s="23" t="n">
        <x:v>262.6233583014956</x:v>
      </x:c>
      <x:c r="DE100" s="23" t="n">
        <x:v>0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0</x:v>
      </x:c>
      <x:c r="DW100" s="23" t="n">
        <x:v>507.80485026041663</x:v>
      </x:c>
      <x:c r="DX100" s="23" t="n">
        <x:v>511.8248291015625</x:v>
      </x:c>
      <x:c r="DY100" s="23" t="n">
        <x:v>526.7754720052083</x:v>
      </x:c>
      <x:c r="DZ100" s="23" t="n">
        <x:v>529.9232177734375</x:v>
      </x:c>
      <x:c r="EA100" s="23" t="n">
        <x:v>330.7434310954732</x:v>
      </x:c>
      <x:c r="EB100" s="23" t="n">
        <x:v>508.9307096354167</x:v>
      </x:c>
      <x:c r="EC100" s="23" t="n">
        <x:v>441.4676204226146</x:v>
      </x:c>
      <x:c r="ED100" s="23" t="n">
        <x:v>1245.466064453125</x:v>
      </x:c>
      <x:c r="EE100" s="23" t="n">
        <x:v>1262.3700358072915</x:v>
      </x:c>
      <x:c r="EF100" s="23" t="n">
        <x:v>749.8219213163902</x:v>
      </x:c>
      <x:c r="EG100" s="23" t="n">
        <x:v>1268.3707682291665</x:v>
      </x:c>
      <x:c r="EH100" s="23" t="n">
        <x:v>1254.918253580729</x:v>
      </x:c>
      <x:c r="EI100" s="23" t="n">
        <x:v>1253.7154947916665</x:v>
      </x:c>
      <x:c r="EJ100" s="23" t="n">
        <x:v>1250.2448323567708</x:v>
      </x:c>
      <x:c r="EK100" s="23" t="n">
        <x:v>416.8231201171875</x:v>
      </x:c>
      <x:c r="EL100" s="23" t="n">
        <x:v>415.46207682291663</x:v>
      </x:c>
      <x:c r="EM100" s="23" t="n">
        <x:v>410.9095052083333</x:v>
      </x:c>
      <x:c r="EN100" s="23" t="n">
        <x:v>419.5187581380208</x:v>
      </x:c>
      <x:c r="EO100" s="23" t="n">
        <x:v>576.7821451822916</x:v>
      </x:c>
      <x:c r="EP100" s="23" t="n">
        <x:f>SUM(B100:EO100)</x:f>
        <x:v>26864.349197757347</x:v>
      </x:c>
      <x:c r="EQ100" s="23" t="n">
        <x:f>SUMPRODUCT(B100:EO100,{0.306,0.3405,0.3826,0.3834,0.3258,0.2759,0.3229,0.3555,0.3301,0.3167,0.3593,0.3973,0.3363,0.3292,0.3856,0.3643,0.3407,0.3487,0.3431,0.351,0.3719,0.3668,0.3287,0.3055,0.3489,0.3486,0.3048,0.3287,0.3723,0.3645,0.2982,0.3349,0.3977,0.2875,0.4092,0.7083,0.7003,0.6227,0.6191,0.5881,0.571,0.5867,0.5999,0.6008,0.5638,0.4968,0.6151,0.8305,0.8252,0.7785,0.7935,0.7889,0.7641,0.7548,0.7824,0.7607,0.7052,0.7138,0.702,0.6661,0.6896,0.6979,0.6909,0.7134,0.5449,0.2741,0.2348,0.2422,0.1929,0.172,0.159,0.1657,0.2269,0.233,0.159,0.1241,0.3219,0.6051,0.6213,0.6164,0.6988,0.7232,0.6966,0.6667,0.6653,0.6626,0.6801,0.7344,0.5737,0.331,0.4055,0.4709,0.4187,0.466,0.5186,0.5302,0.5619,0.5869,0.5946,0.6015,0.5764,0.5381,0.5464,0.5758,0.5957,0.63,0.8403,1.1002,1.1043,1.1032,1.1764,1.1563,1.1346,1.1329,1.0822,1.0981,1.1732,1.175,1.155,1.1609,1.1804,1.1692,1.1572,1.1933,1.0908,0.8837,0.8096,0.8026,0.8295,0.8923,0.7073,0.3673,0.2809,0.3287,0.3595,0.3487,0.3528,0.3628,0.3271,0.3523,0.4023,0.3397,0.3454,0.4322})</x:f>
        <x:v>10943.807865570561</x:v>
      </x:c>
    </x:row>
    <x:row r="101" ht="14" customHeight="1">
      <x:c r="A101" s="3">
        <x:v>45788</x:v>
      </x:c>
      <x:c r="B101" s="23" t="n">
        <x:v>1417.0214029947915</x:v>
      </x:c>
      <x:c r="C101" s="23" t="n">
        <x:v>573.0008138020833</x:v>
      </x:c>
      <x:c r="D101" s="23" t="n">
        <x:v>590.8603515625</x:v>
      </x:c>
      <x:c r="E101" s="23" t="n">
        <x:v>601.6630045572916</x:v>
      </x:c>
      <x:c r="F101" s="23" t="n">
        <x:v>589.123779296875</x:v>
      </x:c>
      <x:c r="G101" s="23" t="n">
        <x:v>569.6186116536458</x:v>
      </x:c>
      <x:c r="H101" s="23" t="n">
        <x:v>1424.6959635416665</x:v>
      </x:c>
      <x:c r="I101" s="23" t="n">
        <x:v>1039.7863621963725</x:v>
      </x:c>
      <x:c r="J101" s="23" t="n">
        <x:v>1394.7355550130208</x:v>
      </x:c>
      <x:c r="K101" s="23" t="n">
        <x:v>1409.1107177734375</x:v>
      </x:c>
      <x:c r="L101" s="23" t="n">
        <x:v>584.1217854817708</x:v>
      </x:c>
      <x:c r="M101" s="23" t="n">
        <x:v>566.6204427083333</x:v>
      </x:c>
      <x:c r="N101" s="23" t="n">
        <x:v>575.8166910807291</x:v>
      </x:c>
      <x:c r="O101" s="23" t="n">
        <x:v>1417.5439453125</x:v>
      </x:c>
      <x:c r="P101" s="23" t="n">
        <x:v>587.429931640625</x:v>
      </x:c>
      <x:c r="Q101" s="23" t="n">
        <x:v>580.698974609375</x:v>
      </x:c>
      <x:c r="R101" s="23" t="n">
        <x:v>583.3338216145833</x:v>
      </x:c>
      <x:c r="S101" s="23" t="n">
        <x:v>591.481201171875</x:v>
      </x:c>
      <x:c r="T101" s="23" t="n">
        <x:v>602.3519287109375</x:v>
      </x:c>
      <x:c r="U101" s="23" t="n">
        <x:v>599.2663981119791</x:v>
      </x:c>
      <x:c r="V101" s="23" t="n">
        <x:v>596.6783447265625</x:v>
      </x:c>
      <x:c r="W101" s="23" t="n">
        <x:v>605.9254557291666</x:v>
      </x:c>
      <x:c r="X101" s="23" t="n">
        <x:v>604.1979573567708</x:v>
      </x:c>
      <x:c r="Y101" s="23" t="n">
        <x:v>594.8778889973958</x:v>
      </x:c>
      <x:c r="Z101" s="23" t="n">
        <x:v>601.8453776041666</x:v>
      </x:c>
      <x:c r="AA101" s="23" t="n">
        <x:v>605.4722900390625</x:v>
      </x:c>
      <x:c r="AB101" s="23" t="n">
        <x:v>588.8499755859375</x:v>
      </x:c>
      <x:c r="AC101" s="23" t="n">
        <x:v>590.6173502604166</x:v>
      </x:c>
      <x:c r="AD101" s="23" t="n">
        <x:v>585.842952458202</x:v>
      </x:c>
      <x:c r="AE101" s="23" t="n">
        <x:v>597.1993815104166</x:v>
      </x:c>
      <x:c r="AF101" s="23" t="n">
        <x:v>606.3368326822916</x:v>
      </x:c>
      <x:c r="AG101" s="23" t="n">
        <x:v>586.4922787696605</x:v>
      </x:c>
      <x:c r="AH101" s="23" t="n">
        <x:v>552.3616094021506</x:v>
      </x:c>
      <x:c r="AI101" s="23" t="n">
        <x:v>1336.6560227654975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0</x:v>
      </x:c>
      <x:c r="BV101" s="23" t="n">
        <x:v>0</x:v>
      </x:c>
      <x:c r="BW101" s="23" t="n">
        <x:v>0</x:v>
      </x:c>
      <x:c r="BX101" s="23" t="n">
        <x:v>0</x:v>
      </x:c>
      <x:c r="BY101" s="23" t="n">
        <x:v>458.4414120990726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20.199159844900045</x:v>
      </x:c>
      <x:c r="CN101" s="23" t="n">
        <x:v>70.73891124060023</x:v>
      </x:c>
      <x:c r="CO101" s="23" t="n">
        <x:v>106.78613396232322</x:v>
      </x:c>
      <x:c r="CP101" s="23" t="n">
        <x:v>145.9886556889278</x:v>
      </x:c>
      <x:c r="CQ101" s="23" t="n">
        <x:v>196.47442300527794</x:v>
      </x:c>
      <x:c r="CR101" s="23" t="n">
        <x:v>249.77559242771534</x:v>
      </x:c>
      <x:c r="CS101" s="23" t="n">
        <x:v>300.28358602004084</x:v>
      </x:c>
      <x:c r="CT101" s="23" t="n">
        <x:v>348.76643994175294</x:v>
      </x:c>
      <x:c r="CU101" s="23" t="n">
        <x:v>394.4704485091511</x:v>
      </x:c>
      <x:c r="CV101" s="23" t="n">
        <x:v>449.72248970707807</x:v>
      </x:c>
      <x:c r="CW101" s="23" t="n">
        <x:v>511.99523995729334</x:v>
      </x:c>
      <x:c r="CX101" s="23" t="n">
        <x:v>553.077343610398</x:v>
      </x:c>
      <x:c r="CY101" s="23" t="n">
        <x:v>578.6169121507766</x:v>
      </x:c>
      <x:c r="CZ101" s="23" t="n">
        <x:v>635.1758085467309</x:v>
      </x:c>
      <x:c r="DA101" s="23" t="n">
        <x:v>679.161048589183</x:v>
      </x:c>
      <x:c r="DB101" s="23" t="n">
        <x:v>728.5417220485419</x:v>
      </x:c>
      <x:c r="DC101" s="23" t="n">
        <x:v>822.1206941331329</x:v>
      </x:c>
      <x:c r="DD101" s="23" t="n">
        <x:v>782.9601612994877</x:v>
      </x:c>
      <x:c r="DE101" s="23" t="n">
        <x:v>604.5522082233848</x:v>
      </x:c>
      <x:c r="DF101" s="23" t="n">
        <x:v>638.2448669339412</x:v>
      </x:c>
      <x:c r="DG101" s="23" t="n">
        <x:v>653.6621749679846</x:v>
      </x:c>
      <x:c r="DH101" s="23" t="n">
        <x:v>0</x:v>
      </x:c>
      <x:c r="DI101" s="23" t="n">
        <x:v>752.9090327669064</x:v>
      </x:c>
      <x:c r="DJ101" s="23" t="n">
        <x:v>0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753.4286295572916</x:v>
      </x:c>
      <x:c r="DP101" s="23" t="n">
        <x:v>385.0805855577329</x:v>
      </x:c>
      <x:c r="DQ101" s="23" t="n">
        <x:v>0</x:v>
      </x:c>
      <x:c r="DR101" s="23" t="n">
        <x:v>0</x:v>
      </x:c>
      <x:c r="DS101" s="23" t="n">
        <x:v>0</x:v>
      </x:c>
      <x:c r="DT101" s="23" t="n">
        <x:v>0</x:v>
      </x:c>
      <x:c r="DU101" s="23" t="n">
        <x:v>0</x:v>
      </x:c>
      <x:c r="DV101" s="23" t="n">
        <x:v>769.9938151041666</x:v>
      </x:c>
      <x:c r="DW101" s="23" t="n">
        <x:v>770.31591796875</x:v>
      </x:c>
      <x:c r="DX101" s="23" t="n">
        <x:v>765.8648274739583</x:v>
      </x:c>
      <x:c r="DY101" s="23" t="n">
        <x:v>765.12548828125</x:v>
      </x:c>
      <x:c r="DZ101" s="23" t="n">
        <x:v>773.663330078125</x:v>
      </x:c>
      <x:c r="EA101" s="23" t="n">
        <x:v>756.1378130208332</x:v>
      </x:c>
      <x:c r="EB101" s="23" t="n">
        <x:v>702.3760372058256</x:v>
      </x:c>
      <x:c r="EC101" s="23" t="n">
        <x:v>575.9110860942322</x:v>
      </x:c>
      <x:c r="ED101" s="23" t="n">
        <x:v>1399.04248046875</x:v>
      </x:c>
      <x:c r="EE101" s="23" t="n">
        <x:v>588.7170817057291</x:v>
      </x:c>
      <x:c r="EF101" s="23" t="n">
        <x:v>1404.4169921875</x:v>
      </x:c>
      <x:c r="EG101" s="23" t="n">
        <x:v>1406.230509440104</x:v>
      </x:c>
      <x:c r="EH101" s="23" t="n">
        <x:v>1399.4219970703125</x:v>
      </x:c>
      <x:c r="EI101" s="23" t="n">
        <x:v>1401.5789794921875</x:v>
      </x:c>
      <x:c r="EJ101" s="23" t="n">
        <x:v>593.6739908854166</x:v>
      </x:c>
      <x:c r="EK101" s="23" t="n">
        <x:v>594.6174723307291</x:v>
      </x:c>
      <x:c r="EL101" s="23" t="n">
        <x:v>569.1796061197916</x:v>
      </x:c>
      <x:c r="EM101" s="23" t="n">
        <x:v>1389.2762858072915</x:v>
      </x:c>
      <x:c r="EN101" s="23" t="n">
        <x:v>874.0322491681137</x:v>
      </x:c>
      <x:c r="EO101" s="23" t="n">
        <x:v>580.0896402994791</x:v>
      </x:c>
      <x:c r="EP101" s="23" t="n">
        <x:f>SUM(B101:EO101)</x:f>
        <x:v>55252.474681714244</x:v>
      </x:c>
      <x:c r="EQ101" s="23" t="n">
        <x:f>SUMPRODUCT(B101:EO101,{0.4313,0.4379,0.4712,0.4447,0.4259,0.4506,0.4766,0.442,0.3988,0.4548,0.4768,0.4375,0.4383,0.429,0.4053,0.4229,0.4399,0.45,0.4832,0.4748,0.4439,0.477,0.502,0.4788,0.4443,0.4467,0.4692,0.4552,0.452,0.4586,0.4317,0.4485,0.4412,0.3089,0.4938,0.9022,0.9598,0.8522,0.791,0.7929,0.7866,0.7544,0.7395,0.7327,0.6861,0.6065,0.7981,1.1291,1.1403,1.091,1.1201,1.0972,1.0375,0.9954,0.9974,0.9695,0.9328,0.9752,0.98,0.9372,0.9546,0.978,0.9634,0.9058,0.7512,0.5622,0.4883,0.5064,0.5321,0.4958,0.4509,0.4389,0.4528,0.4608,0.4288,0.3768,0.5137,0.7644,0.833,0.8574,0.9039,0.8904,0.8747,0.8902,0.9164,0.9588,1.0188,1.0525,0.8967,0.6515,0.6108,0.6758,0.7172,0.7077,0.7405,0.8138,0.829,0.8006,0.7887,0.8377,0.8662,0.8721,0.9318,0.9918,1.0114,1.014,1.0907,1.2058,1.2335,1.2565,1.317,1.3647,1.3567,1.3114,1.2912,1.302,1.3322,1.3636,1.3628,1.3326,1.3092,1.3038,1.3339,1.3772,1.2196,0.9544,0.9117,0.9511,0.9908,1.045,0.8155,0.4429,0.4082,0.4835,0.4558,0.3545,0.3761,0.4865,0.4684,0.4452,0.4724,0.4738,0.4686,0.4575})</x:f>
        <x:v>33951.29024735012</x:v>
      </x:c>
    </x:row>
    <x:row r="102" ht="14" customHeight="1">
      <x:c r="A102" s="3">
        <x:v>45789</x:v>
      </x:c>
      <x:c r="B102" s="23" t="n">
        <x:v>579.8400065104166</x:v>
      </x:c>
      <x:c r="C102" s="23" t="n">
        <x:v>577.912109375</x:v>
      </x:c>
      <x:c r="D102" s="23" t="n">
        <x:v>580.9665934244791</x:v>
      </x:c>
      <x:c r="E102" s="23" t="n">
        <x:v>581.0478108723958</x:v>
      </x:c>
      <x:c r="F102" s="23" t="n">
        <x:v>584.7125651041666</x:v>
      </x:c>
      <x:c r="G102" s="23" t="n">
        <x:v>581.2721354166666</x:v>
      </x:c>
      <x:c r="H102" s="23" t="n">
        <x:v>1416.668986002604</x:v>
      </x:c>
      <x:c r="I102" s="23" t="n">
        <x:v>1320.199432787584</x:v>
      </x:c>
      <x:c r="J102" s="23" t="n">
        <x:v>577.4839680989583</x:v>
      </x:c>
      <x:c r="K102" s="23" t="n">
        <x:v>586.7281494140625</x:v>
      </x:c>
      <x:c r="L102" s="23" t="n">
        <x:v>596.8877766927083</x:v>
      </x:c>
      <x:c r="M102" s="23" t="n">
        <x:v>591.7578938802083</x:v>
      </x:c>
      <x:c r="N102" s="23" t="n">
        <x:v>588.0476481119791</x:v>
      </x:c>
      <x:c r="O102" s="23" t="n">
        <x:v>594.1822509765625</x:v>
      </x:c>
      <x:c r="P102" s="23" t="n">
        <x:v>595.9464925130208</x:v>
      </x:c>
      <x:c r="Q102" s="23" t="n">
        <x:v>1428.252970377604</x:v>
      </x:c>
      <x:c r="R102" s="23" t="n">
        <x:v>1426.6009521484375</x:v>
      </x:c>
      <x:c r="S102" s="23" t="n">
        <x:v>594.3109537760416</x:v>
      </x:c>
      <x:c r="T102" s="23" t="n">
        <x:v>588.0028483072916</x:v>
      </x:c>
      <x:c r="U102" s="23" t="n">
        <x:v>596.3440755208333</x:v>
      </x:c>
      <x:c r="V102" s="23" t="n">
        <x:v>599.0936686197916</x:v>
      </x:c>
      <x:c r="W102" s="23" t="n">
        <x:v>1429.1164143880208</x:v>
      </x:c>
      <x:c r="X102" s="23" t="n">
        <x:v>1427.0643717447915</x:v>
      </x:c>
      <x:c r="Y102" s="23" t="n">
        <x:v>602.533935546875</x:v>
      </x:c>
      <x:c r="Z102" s="23" t="n">
        <x:v>601.1832275390625</x:v>
      </x:c>
      <x:c r="AA102" s="23" t="n">
        <x:v>599.5573323567708</x:v>
      </x:c>
      <x:c r="AB102" s="23" t="n">
        <x:v>601.0498860677083</x:v>
      </x:c>
      <x:c r="AC102" s="23" t="n">
        <x:v>601.2655029296875</x:v>
      </x:c>
      <x:c r="AD102" s="23" t="n">
        <x:v>593.1245112757456</x:v>
      </x:c>
      <x:c r="AE102" s="23" t="n">
        <x:v>604.5672200520833</x:v>
      </x:c>
      <x:c r="AF102" s="23" t="n">
        <x:v>604.164306640625</x:v>
      </x:c>
      <x:c r="AG102" s="23" t="n">
        <x:v>586.048827741301</x:v>
      </x:c>
      <x:c r="AH102" s="23" t="n">
        <x:v>553.5490083463798</x:v>
      </x:c>
      <x:c r="AI102" s="23" t="n">
        <x:v>1343.4067068737918</x:v>
      </x:c>
      <x:c r="AJ102" s="23" t="n">
        <x:v>531.0164947211788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0</x:v>
      </x:c>
      <x:c r="BV102" s="23" t="n">
        <x:v>0</x:v>
      </x:c>
      <x:c r="BW102" s="23" t="n">
        <x:v>0</x:v>
      </x:c>
      <x:c r="BX102" s="23" t="n">
        <x:v>0</x:v>
      </x:c>
      <x:c r="BY102" s="23" t="n">
        <x:v>47.02443353324004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19.71206632169742</x:v>
      </x:c>
      <x:c r="CN102" s="23" t="n">
        <x:v>65.13883428573475</x:v>
      </x:c>
      <x:c r="CO102" s="23" t="n">
        <x:v>106.4992575532004</x:v>
      </x:c>
      <x:c r="CP102" s="23" t="n">
        <x:v>151.75108770945963</x:v>
      </x:c>
      <x:c r="CQ102" s="23" t="n">
        <x:v>193.40365654620442</x:v>
      </x:c>
      <x:c r="CR102" s="23" t="n">
        <x:v>241.50815693977785</x:v>
      </x:c>
      <x:c r="CS102" s="23" t="n">
        <x:v>290.3825541343805</x:v>
      </x:c>
      <x:c r="CT102" s="23" t="n">
        <x:v>339.31251182109247</x:v>
      </x:c>
      <x:c r="CU102" s="23" t="n">
        <x:v>378.34648333626603</x:v>
      </x:c>
      <x:c r="CV102" s="23" t="n">
        <x:v>427.61815798865143</x:v>
      </x:c>
      <x:c r="CW102" s="23" t="n">
        <x:v>505.94007662304</x:v>
      </x:c>
      <x:c r="CX102" s="23" t="n">
        <x:v>553.9869940590457</x:v>
      </x:c>
      <x:c r="CY102" s="23" t="n">
        <x:v>586.5827239080795</x:v>
      </x:c>
      <x:c r="CZ102" s="23" t="n">
        <x:v>636.3550719005742</x:v>
      </x:c>
      <x:c r="DA102" s="23" t="n">
        <x:v>689.6306585006982</x:v>
      </x:c>
      <x:c r="DB102" s="23" t="n">
        <x:v>755.8491861928405</x:v>
      </x:c>
      <x:c r="DC102" s="23" t="n">
        <x:v>818.17230922255</x:v>
      </x:c>
      <x:c r="DD102" s="23" t="n">
        <x:v>796.1936056947509</x:v>
      </x:c>
      <x:c r="DE102" s="23" t="n">
        <x:v>557.522330346678</x:v>
      </x:c>
      <x:c r="DF102" s="23" t="n">
        <x:v>609.6257820423439</x:v>
      </x:c>
      <x:c r="DG102" s="23" t="n">
        <x:v>674.0366337459229</x:v>
      </x:c>
      <x:c r="DH102" s="23" t="n">
        <x:v>0</x:v>
      </x:c>
      <x:c r="DI102" s="23" t="n">
        <x:v>241.73273661821082</x:v>
      </x:c>
      <x:c r="DJ102" s="23" t="n">
        <x:v>0</x:v>
      </x:c>
      <x:c r="DK102" s="23" t="n">
        <x:v>0</x:v>
      </x:c>
      <x:c r="DL102" s="23" t="n">
        <x:v>0</x:v>
      </x:c>
      <x:c r="DM102" s="23" t="n">
        <x:v>734.9676920572916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751.8523763020833</x:v>
      </x:c>
      <x:c r="DS102" s="23" t="n">
        <x:v>0</x:v>
      </x:c>
      <x:c r="DT102" s="23" t="n">
        <x:v>0</x:v>
      </x:c>
      <x:c r="DU102" s="23" t="n">
        <x:v>0</x:v>
      </x:c>
      <x:c r="DV102" s="23" t="n">
        <x:v>753.4007161458333</x:v>
      </x:c>
      <x:c r="DW102" s="23" t="n">
        <x:v>759.7578938802083</x:v>
      </x:c>
      <x:c r="DX102" s="23" t="n">
        <x:v>759.20263671875</x:v>
      </x:c>
      <x:c r="DY102" s="23" t="n">
        <x:v>753.1059076003086</x:v>
      </x:c>
      <x:c r="DZ102" s="23" t="n">
        <x:v>760.901210415059</x:v>
      </x:c>
      <x:c r="EA102" s="23" t="n">
        <x:v>757.298095703125</x:v>
      </x:c>
      <x:c r="EB102" s="23" t="n">
        <x:v>696.752685546875</x:v>
      </x:c>
      <x:c r="EC102" s="23" t="n">
        <x:v>578.5634358723958</x:v>
      </x:c>
      <x:c r="ED102" s="23" t="n">
        <x:v>1403.9733479817708</x:v>
      </x:c>
      <x:c r="EE102" s="23" t="n">
        <x:v>584.5747884114583</x:v>
      </x:c>
      <x:c r="EF102" s="23" t="n">
        <x:v>1411.7965901692708</x:v>
      </x:c>
      <x:c r="EG102" s="23" t="n">
        <x:v>1410.268351236979</x:v>
      </x:c>
      <x:c r="EH102" s="23" t="n">
        <x:v>870.0343660984114</x:v>
      </x:c>
      <x:c r="EI102" s="23" t="n">
        <x:v>570.30859375</x:v>
      </x:c>
      <x:c r="EJ102" s="23" t="n">
        <x:v>1403.3534342447915</x:v>
      </x:c>
      <x:c r="EK102" s="23" t="n">
        <x:v>584.0954996744791</x:v>
      </x:c>
      <x:c r="EL102" s="23" t="n">
        <x:v>585.8776448567708</x:v>
      </x:c>
      <x:c r="EM102" s="23" t="n">
        <x:v>1403.9532063802083</x:v>
      </x:c>
      <x:c r="EN102" s="23" t="n">
        <x:v>1399.4916585286458</x:v>
      </x:c>
      <x:c r="EO102" s="23" t="n">
        <x:v>583.9328206380208</x:v>
      </x:c>
      <x:c r="EP102" s="23" t="n">
        <x:f>SUM(B102:EO102)</x:f>
        <x:v>55467.695295392026</x:v>
      </x:c>
      <x:c r="EQ102" s="23" t="n">
        <x:f>SUMPRODUCT(B102:EO102,{0.4192,0.4165,0.4552,0.4756,0.4712,0.456,0.4437,0.4268,0.4156,0.4314,0.443,0.4281,0.4014,0.4279,0.4781,0.459,0.4499,0.4763,0.4756,0.4288,0.3935,0.4438,0.4689,0.4353,0.4178,0.4277,0.4483,0.461,0.4821,0.4811,0.4176,0.4234,0.4395,0.3229,0.4992,0.893,0.9646,0.8923,0.8493,0.8161,0.7759,0.7402,0.7331,0.7267,0.675,0.5961,0.7664,1.076,1.1158,1.0743,1.0551,0.9758,0.9589,1.0054,0.9818,0.9173,0.8915,0.9377,0.8842,0.7646,0.7874,0.838,0.8458,0.8294,0.6647,0.4677,0.5039,0.5369,0.4954,0.5311,0.526,0.4728,0.4983,0.5438,0.5471,0.5329,0.6782,0.9026,0.9318,0.8878,0.8751,0.8772,0.8736,0.867,0.8728,0.8709,0.8936,0.9622,0.8234,0.5719,0.5761,0.6421,0.6664,0.7321,0.7326,0.7017,0.7883,0.848,0.8402,0.8718,0.9203,0.9481,0.9535,0.9989,1.0422,0.9959,1.0611,1.2262,1.2727,1.2924,1.3226,1.2977,1.2811,1.3017,1.3279,1.3588,1.3827,1.3708,1.3035,1.2599,1.3381,1.3408,1.2825,1.3418,1.2261,0.9718,0.9311,0.9303,0.92,0.9974,0.8271,0.4928,0.4396,0.4499,0.3972,0.3939,0.4532,0.5067,0.471,0.4204,0.4202,0.4664,0.4762,0.4279})</x:f>
        <x:v>33936.45127061789</x:v>
      </x:c>
    </x:row>
    <x:row r="103" ht="14" customHeight="1">
      <x:c r="A103" s="3">
        <x:v>45790</x:v>
      </x:c>
      <x:c r="B103" s="23" t="n">
        <x:v>578.06787109375</x:v>
      </x:c>
      <x:c r="C103" s="23" t="n">
        <x:v>570.4812825520833</x:v>
      </x:c>
      <x:c r="D103" s="23" t="n">
        <x:v>581.6794026692708</x:v>
      </x:c>
      <x:c r="E103" s="23" t="n">
        <x:v>588.8635660807291</x:v>
      </x:c>
      <x:c r="F103" s="23" t="n">
        <x:v>589.9971110026041</x:v>
      </x:c>
      <x:c r="G103" s="23" t="n">
        <x:v>1415.5745849609375</x:v>
      </x:c>
      <x:c r="H103" s="23" t="n">
        <x:v>585.0963541666666</x:v>
      </x:c>
      <x:c r="I103" s="23" t="n">
        <x:v>593.9502360026041</x:v>
      </x:c>
      <x:c r="J103" s="23" t="n">
        <x:v>586.4143880208333</x:v>
      </x:c>
      <x:c r="K103" s="23" t="n">
        <x:v>584.8166097005208</x:v>
      </x:c>
      <x:c r="L103" s="23" t="n">
        <x:v>593.5196533203125</x:v>
      </x:c>
      <x:c r="M103" s="23" t="n">
        <x:v>595.187255859375</x:v>
      </x:c>
      <x:c r="N103" s="23" t="n">
        <x:v>587.1584879557291</x:v>
      </x:c>
      <x:c r="O103" s="23" t="n">
        <x:v>1425.6275634765625</x:v>
      </x:c>
      <x:c r="P103" s="23" t="n">
        <x:v>595.25390625</x:v>
      </x:c>
      <x:c r="Q103" s="23" t="n">
        <x:v>598.5730794270833</x:v>
      </x:c>
      <x:c r="R103" s="23" t="n">
        <x:v>596.5515950520833</x:v>
      </x:c>
      <x:c r="S103" s="23" t="n">
        <x:v>593.0234375</x:v>
      </x:c>
      <x:c r="T103" s="23" t="n">
        <x:v>595.2303466796875</x:v>
      </x:c>
      <x:c r="U103" s="23" t="n">
        <x:v>596.9569498697916</x:v>
      </x:c>
      <x:c r="V103" s="23" t="n">
        <x:v>598.8817545572916</x:v>
      </x:c>
      <x:c r="W103" s="23" t="n">
        <x:v>1427.9661865234375</x:v>
      </x:c>
      <x:c r="X103" s="23" t="n">
        <x:v>1129.0735248303515</x:v>
      </x:c>
      <x:c r="Y103" s="23" t="n">
        <x:v>601.9515380859375</x:v>
      </x:c>
      <x:c r="Z103" s="23" t="n">
        <x:v>604.2195638020833</x:v>
      </x:c>
      <x:c r="AA103" s="23" t="n">
        <x:v>607.7704264322916</x:v>
      </x:c>
      <x:c r="AB103" s="23" t="n">
        <x:v>616.8553059895833</x:v>
      </x:c>
      <x:c r="AC103" s="23" t="n">
        <x:v>604.7851969401041</x:v>
      </x:c>
      <x:c r="AD103" s="23" t="n">
        <x:v>592.2118079201134</x:v>
      </x:c>
      <x:c r="AE103" s="23" t="n">
        <x:v>604.2244059244791</x:v>
      </x:c>
      <x:c r="AF103" s="23" t="n">
        <x:v>602.8278401692708</x:v>
      </x:c>
      <x:c r="AG103" s="23" t="n">
        <x:v>583.6796091844774</x:v>
      </x:c>
      <x:c r="AH103" s="23" t="n">
        <x:v>554.8403885914564</x:v>
      </x:c>
      <x:c r="AI103" s="23" t="n">
        <x:v>1342.5838861193245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0</x:v>
      </x:c>
      <x:c r="BV103" s="23" t="n">
        <x:v>446.7789768777375</x:v>
      </x:c>
      <x:c r="BW103" s="23" t="n">
        <x:v>449.4566681111285</x:v>
      </x:c>
      <x:c r="BX103" s="23" t="n">
        <x:v>0</x:v>
      </x:c>
      <x:c r="BY103" s="23" t="n">
        <x:v>459.4584405114007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2.2647904634694287</x:v>
      </x:c>
      <x:c r="CN103" s="23" t="n">
        <x:v>51.18086246519033</x:v>
      </x:c>
      <x:c r="CO103" s="23" t="n">
        <x:v>101.45740739395372</x:v>
      </x:c>
      <x:c r="CP103" s="23" t="n">
        <x:v>134.41566282097983</x:v>
      </x:c>
      <x:c r="CQ103" s="23" t="n">
        <x:v>190.15276744533577</x:v>
      </x:c>
      <x:c r="CR103" s="23" t="n">
        <x:v>248.430843825583</x:v>
      </x:c>
      <x:c r="CS103" s="23" t="n">
        <x:v>289.4965807613762</x:v>
      </x:c>
      <x:c r="CT103" s="23" t="n">
        <x:v>318.9761158476652</x:v>
      </x:c>
      <x:c r="CU103" s="23" t="n">
        <x:v>380.6027637820474</x:v>
      </x:c>
      <x:c r="CV103" s="23" t="n">
        <x:v>445.7822437073058</x:v>
      </x:c>
      <x:c r="CW103" s="23" t="n">
        <x:v>510.66439189715203</x:v>
      </x:c>
      <x:c r="CX103" s="23" t="n">
        <x:v>554.3317235791583</x:v>
      </x:c>
      <x:c r="CY103" s="23" t="n">
        <x:v>586.763258525828</x:v>
      </x:c>
      <x:c r="CZ103" s="23" t="n">
        <x:v>656.7537842320742</x:v>
      </x:c>
      <x:c r="DA103" s="23" t="n">
        <x:v>692.5960047401036</x:v>
      </x:c>
      <x:c r="DB103" s="23" t="n">
        <x:v>749.4961941486599</x:v>
      </x:c>
      <x:c r="DC103" s="23" t="n">
        <x:v>823.3963659784663</x:v>
      </x:c>
      <x:c r="DD103" s="23" t="n">
        <x:v>793.139299797501</x:v>
      </x:c>
      <x:c r="DE103" s="23" t="n">
        <x:v>573.1782795411747</x:v>
      </x:c>
      <x:c r="DF103" s="23" t="n">
        <x:v>603.7343953189877</x:v>
      </x:c>
      <x:c r="DG103" s="23" t="n">
        <x:v>668.0629297299897</x:v>
      </x:c>
      <x:c r="DH103" s="23" t="n">
        <x:v>0</x:v>
      </x:c>
      <x:c r="DI103" s="23" t="n">
        <x:v>0</x:v>
      </x:c>
      <x:c r="DJ103" s="23" t="n">
        <x:v>0</x:v>
      </x:c>
      <x:c r="DK103" s="23" t="n">
        <x:v>0</x:v>
      </x:c>
      <x:c r="DL103" s="23" t="n">
        <x:v>276.35529650709805</x:v>
      </x:c>
      <x:c r="DM103" s="23" t="n">
        <x:v>0</x:v>
      </x:c>
      <x:c r="DN103" s="23" t="n">
        <x:v>0</x:v>
      </x:c>
      <x:c r="DO103" s="23" t="n">
        <x:v>0</x:v>
      </x:c>
      <x:c r="DP103" s="23" t="n">
        <x:v>0</x:v>
      </x:c>
      <x:c r="DQ103" s="23" t="n">
        <x:v>744.752685546875</x:v>
      </x:c>
      <x:c r="DR103" s="23" t="n">
        <x:v>751.5896809895833</x:v>
      </x:c>
      <x:c r="DS103" s="23" t="n">
        <x:v>0</x:v>
      </x:c>
      <x:c r="DT103" s="23" t="n">
        <x:v>0</x:v>
      </x:c>
      <x:c r="DU103" s="23" t="n">
        <x:v>0</x:v>
      </x:c>
      <x:c r="DV103" s="23" t="n">
        <x:v>752.6182454427083</x:v>
      </x:c>
      <x:c r="DW103" s="23" t="n">
        <x:v>761.1255810345938</x:v>
      </x:c>
      <x:c r="DX103" s="23" t="n">
        <x:v>752.6709798177083</x:v>
      </x:c>
      <x:c r="DY103" s="23" t="n">
        <x:v>741.5880533854166</x:v>
      </x:c>
      <x:c r="DZ103" s="23" t="n">
        <x:v>758.7591956822271</x:v>
      </x:c>
      <x:c r="EA103" s="23" t="n">
        <x:v>757.1739908854166</x:v>
      </x:c>
      <x:c r="EB103" s="23" t="n">
        <x:v>709.6451822916666</x:v>
      </x:c>
      <x:c r="EC103" s="23" t="n">
        <x:v>610.0736083984375</x:v>
      </x:c>
      <x:c r="ED103" s="23" t="n">
        <x:v>1401.9569498697915</x:v>
      </x:c>
      <x:c r="EE103" s="23" t="n">
        <x:v>585.7566324869791</x:v>
      </x:c>
      <x:c r="EF103" s="23" t="n">
        <x:v>889.8799780373907</x:v>
      </x:c>
      <x:c r="EG103" s="23" t="n">
        <x:v>592.9232991536458</x:v>
      </x:c>
      <x:c r="EH103" s="23" t="n">
        <x:v>581.4644368489583</x:v>
      </x:c>
      <x:c r="EI103" s="23" t="n">
        <x:v>585.8026936848958</x:v>
      </x:c>
      <x:c r="EJ103" s="23" t="n">
        <x:v>1407.2186686197915</x:v>
      </x:c>
      <x:c r="EK103" s="23" t="n">
        <x:v>1398.2835286458333</x:v>
      </x:c>
      <x:c r="EL103" s="23" t="n">
        <x:v>1412.298380533854</x:v>
      </x:c>
      <x:c r="EM103" s="23" t="n">
        <x:v>573.6861979166666</x:v>
      </x:c>
      <x:c r="EN103" s="23" t="n">
        <x:v>1407.1566975911458</x:v>
      </x:c>
      <x:c r="EO103" s="23" t="n">
        <x:v>1417.1461181640625</x:v>
      </x:c>
      <x:c r="EP103" s="23" t="n">
        <x:f>SUM(B103:EO103)</x:f>
        <x:v>54524.39194974784</x:v>
      </x:c>
      <x:c r="EQ103" s="23" t="n">
        <x:f>SUMPRODUCT(B103:EO103,{0.3788,0.3794,0.4056,0.398,0.4342,0.4862,0.4424,0.4149,0.4252,0.3956,0.4349,0.5062,0.4533,0.4177,0.4655,0.5131,0.4852,0.4014,0.3598,0.4074,0.4793,0.4598,0.4197,0.4048,0.397,0.4129,0.4449,0.4598,0.4537,0.4572,0.4996,0.5016,0.4036,0.2841,0.5538,0.9774,0.8907,0.7998,0.8905,0.8363,0.7425,0.7222,0.765,0.795,0.7545,0.6749,0.7948,1.0429,1.1005,1.1003,1.1179,1.0853,1.0537,1.0394,1.0076,0.9861,0.9809,0.9703,0.972,0.9744,0.9408,0.8905,0.892,0.9614,0.7909,0.4921,0.5008,0.5579,0.5248,0.5264,0.5471,0.5301,0.4496,0.4089,0.3974,0.3471,0.5249,0.8313,0.8647,0.8119,0.8172,0.8395,0.8726,0.8848,0.8417,0.84,0.9185,0.9927,0.8604,0.6309,0.6272,0.6764,0.6862,0.7353,0.7584,0.7567,0.8054,0.8587,0.8872,0.9031,0.8984,0.8945,0.9273,0.9502,0.9531,0.9894,1.1314,1.2741,1.2379,1.2547,1.3488,1.3136,1.2626,1.2823,1.3357,1.339,1.2925,1.2782,1.3223,1.3607,1.308,1.2907,1.3441,1.3491,1.165,0.9579,1.0354,1.0509,0.9603,1.0184,0.8221,0.4332,0.37,0.4461,0.4772,0.4677,0.4375,0.4327,0.4831,0.4636,0.3893,0.4018,0.4375,0.4449})</x:f>
        <x:v>33255.34302277872</x:v>
      </x:c>
    </x:row>
    <x:row r="104" ht="14" customHeight="1">
      <x:c r="A104" s="3">
        <x:v>45791</x:v>
      </x:c>
      <x:c r="B104" s="23" t="n">
        <x:v>1412.17138671875</x:v>
      </x:c>
      <x:c r="C104" s="23" t="n">
        <x:v>576.4540201822916</x:v>
      </x:c>
      <x:c r="D104" s="23" t="n">
        <x:v>581.40478515625</x:v>
      </x:c>
      <x:c r="E104" s="23" t="n">
        <x:v>589.6353759765625</x:v>
      </x:c>
      <x:c r="F104" s="23" t="n">
        <x:v>590.3875732421875</x:v>
      </x:c>
      <x:c r="G104" s="23" t="n">
        <x:v>580.3412272135416</x:v>
      </x:c>
      <x:c r="H104" s="23" t="n">
        <x:v>586.5504150390625</x:v>
      </x:c>
      <x:c r="I104" s="23" t="n">
        <x:v>588.042724609375</x:v>
      </x:c>
      <x:c r="J104" s="23" t="n">
        <x:v>586.0940348307291</x:v>
      </x:c>
      <x:c r="K104" s="23" t="n">
        <x:v>595.30615234375</x:v>
      </x:c>
      <x:c r="L104" s="23" t="n">
        <x:v>596.0600179036458</x:v>
      </x:c>
      <x:c r="M104" s="23" t="n">
        <x:v>593.7437744140625</x:v>
      </x:c>
      <x:c r="N104" s="23" t="n">
        <x:v>585.9395751953125</x:v>
      </x:c>
      <x:c r="O104" s="23" t="n">
        <x:v>1425.2765706380208</x:v>
      </x:c>
      <x:c r="P104" s="23" t="n">
        <x:v>600.3419189453125</x:v>
      </x:c>
      <x:c r="Q104" s="23" t="n">
        <x:v>604.8631998697916</x:v>
      </x:c>
      <x:c r="R104" s="23" t="n">
        <x:v>599.68310546875</x:v>
      </x:c>
      <x:c r="S104" s="23" t="n">
        <x:v>591.0843098958333</x:v>
      </x:c>
      <x:c r="T104" s="23" t="n">
        <x:v>592.9283854166666</x:v>
      </x:c>
      <x:c r="U104" s="23" t="n">
        <x:v>593.791259765625</x:v>
      </x:c>
      <x:c r="V104" s="23" t="n">
        <x:v>1426.090861002604</x:v>
      </x:c>
      <x:c r="W104" s="23" t="n">
        <x:v>1431.87451171875</x:v>
      </x:c>
      <x:c r="X104" s="23" t="n">
        <x:v>599.6783040364583</x:v>
      </x:c>
      <x:c r="Y104" s="23" t="n">
        <x:v>597.1979573567708</x:v>
      </x:c>
      <x:c r="Z104" s="23" t="n">
        <x:v>1028.1196452610611</x:v>
      </x:c>
      <x:c r="AA104" s="23" t="n">
        <x:v>1430.7929280598958</x:v>
      </x:c>
      <x:c r="AB104" s="23" t="n">
        <x:v>606.5423583984375</x:v>
      </x:c>
      <x:c r="AC104" s="23" t="n">
        <x:v>600.0184733072916</x:v>
      </x:c>
      <x:c r="AD104" s="23" t="n">
        <x:v>591.8815728522326</x:v>
      </x:c>
      <x:c r="AE104" s="23" t="n">
        <x:v>602.694580078125</x:v>
      </x:c>
      <x:c r="AF104" s="23" t="n">
        <x:v>601.6678059895833</x:v>
      </x:c>
      <x:c r="AG104" s="23" t="n">
        <x:v>580.0011903788338</x:v>
      </x:c>
      <x:c r="AH104" s="23" t="n">
        <x:v>550.8414056987461</x:v>
      </x:c>
      <x:c r="AI104" s="23" t="n">
        <x:v>1343.3565572622633</x:v>
      </x:c>
      <x:c r="AJ104" s="23" t="n">
        <x:v>40.73151829694408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0</x:v>
      </x:c>
      <x:c r="BV104" s="23" t="n">
        <x:v>0</x:v>
      </x:c>
      <x:c r="BW104" s="23" t="n">
        <x:v>0</x:v>
      </x:c>
      <x:c r="BX104" s="23" t="n">
        <x:v>0</x:v>
      </x:c>
      <x:c r="BY104" s="23" t="n">
        <x:v>0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18.758858591556265</x:v>
      </x:c>
      <x:c r="CN104" s="23" t="n">
        <x:v>58.306234357336656</x:v>
      </x:c>
      <x:c r="CO104" s="23" t="n">
        <x:v>98.75475409986211</x:v>
      </x:c>
      <x:c r="CP104" s="23" t="n">
        <x:v>143.45056589650508</x:v>
      </x:c>
      <x:c r="CQ104" s="23" t="n">
        <x:v>183.38659769453807</x:v>
      </x:c>
      <x:c r="CR104" s="23" t="n">
        <x:v>233.54188042565323</x:v>
      </x:c>
      <x:c r="CS104" s="23" t="n">
        <x:v>285.58036072895686</x:v>
      </x:c>
      <x:c r="CT104" s="23" t="n">
        <x:v>331.1389245042984</x:v>
      </x:c>
      <x:c r="CU104" s="23" t="n">
        <x:v>389.00131434432876</x:v>
      </x:c>
      <x:c r="CV104" s="23" t="n">
        <x:v>449.525420278805</x:v>
      </x:c>
      <x:c r="CW104" s="23" t="n">
        <x:v>510.670233525661</x:v>
      </x:c>
      <x:c r="CX104" s="23" t="n">
        <x:v>551.488200782557</x:v>
      </x:c>
      <x:c r="CY104" s="23" t="n">
        <x:v>583.2330764139156</x:v>
      </x:c>
      <x:c r="CZ104" s="23" t="n">
        <x:v>643.7721034374513</x:v>
      </x:c>
      <x:c r="DA104" s="23" t="n">
        <x:v>698.8319786303142</x:v>
      </x:c>
      <x:c r="DB104" s="23" t="n">
        <x:v>751.3590506737315</x:v>
      </x:c>
      <x:c r="DC104" s="23" t="n">
        <x:v>823.4832118010133</x:v>
      </x:c>
      <x:c r="DD104" s="23" t="n">
        <x:v>797.7966117502776</x:v>
      </x:c>
      <x:c r="DE104" s="23" t="n">
        <x:v>575.349903962499</x:v>
      </x:c>
      <x:c r="DF104" s="23" t="n">
        <x:v>600.8502760042946</x:v>
      </x:c>
      <x:c r="DG104" s="23" t="n">
        <x:v>656.490123795411</x:v>
      </x:c>
      <x:c r="DH104" s="23" t="n">
        <x:v>681.0976088447519</x:v>
      </x:c>
      <x:c r="DI104" s="23" t="n">
        <x:v>712.6327782361759</x:v>
      </x:c>
      <x:c r="DJ104" s="23" t="n">
        <x:v>352.212911545985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0</x:v>
      </x:c>
      <x:c r="DT104" s="23" t="n">
        <x:v>0</x:v>
      </x:c>
      <x:c r="DU104" s="23" t="n">
        <x:v>0</x:v>
      </x:c>
      <x:c r="DV104" s="23" t="n">
        <x:v>751.6324869791666</x:v>
      </x:c>
      <x:c r="DW104" s="23" t="n">
        <x:v>765.9738733362269</x:v>
      </x:c>
      <x:c r="DX104" s="23" t="n">
        <x:v>778.6719958847735</x:v>
      </x:c>
      <x:c r="DY104" s="23" t="n">
        <x:v>761.454345703125</x:v>
      </x:c>
      <x:c r="DZ104" s="23" t="n">
        <x:v>754.1538899739583</x:v>
      </x:c>
      <x:c r="EA104" s="23" t="n">
        <x:v>755.047119140625</x:v>
      </x:c>
      <x:c r="EB104" s="23" t="n">
        <x:v>691.9986165364583</x:v>
      </x:c>
      <x:c r="EC104" s="23" t="n">
        <x:v>583.1728922526041</x:v>
      </x:c>
      <x:c r="ED104" s="23" t="n">
        <x:v>568.6973063151041</x:v>
      </x:c>
      <x:c r="EE104" s="23" t="n">
        <x:v>581.5660807291666</x:v>
      </x:c>
      <x:c r="EF104" s="23" t="n">
        <x:v>577.4189860026041</x:v>
      </x:c>
      <x:c r="EG104" s="23" t="n">
        <x:v>1404.661661783854</x:v>
      </x:c>
      <x:c r="EH104" s="23" t="n">
        <x:v>1410.749755859375</x:v>
      </x:c>
      <x:c r="EI104" s="23" t="n">
        <x:v>875.1924373472866</x:v>
      </x:c>
      <x:c r="EJ104" s="23" t="n">
        <x:v>1415.9278971354165</x:v>
      </x:c>
      <x:c r="EK104" s="23" t="n">
        <x:v>576.22802734375</x:v>
      </x:c>
      <x:c r="EL104" s="23" t="n">
        <x:v>1402.783243815104</x:v>
      </x:c>
      <x:c r="EM104" s="23" t="n">
        <x:v>1403.384562174479</x:v>
      </x:c>
      <x:c r="EN104" s="23" t="n">
        <x:v>1409.353312174479</x:v>
      </x:c>
      <x:c r="EO104" s="23" t="n">
        <x:v>587.9616292317708</x:v>
      </x:c>
      <x:c r="EP104" s="23" t="n">
        <x:f>SUM(B104:EO104)</x:f>
        <x:v>54688.3325825687</x:v>
      </x:c>
      <x:c r="EQ104" s="23" t="n">
        <x:f>SUMPRODUCT(B104:EO104,{0.4391,0.4398,0.4464,0.4444,0.4426,0.4485,0.4573,0.446,0.4152,0.3931,0.4057,0.4403,0.4537,0.4362,0.4082,0.4003,0.4006,0.4205,0.4799,0.499,0.468,0.4548,0.4575,0.4535,0.4281,0.4023,0.3894,0.3907,0.4273,0.4804,0.4998,0.4863,0.4045,0.2722,0.492,0.907,0.9271,0.839,0.8403,0.8301,0.7781,0.7261,0.7378,0.7597,0.7212,0.6386,0.8054,1.1225,1.1794,1.1543,1.1408,1.0465,0.9767,0.9675,0.9515,0.9318,0.915,0.8976,0.8962,0.905,0.8988,0.8876,0.8927,0.9046,0.7889,0.589,0.5035,0.5175,0.5398,0.4913,0.4232,0.3959,0.4247,0.4437,0.413,0.3762,0.5139,0.7572,0.8459,0.8838,0.9117,0.8641,0.8676,0.9167,0.8843,0.8772,0.9347,0.9581,0.8181,0.6257,0.635,0.6913,0.6843,0.6626,0.7061,0.7787,0.7761,0.8041,0.8653,0.8518,0.8367,0.8736,0.94,0.9739,0.9786,1.0218,1.1287,1.2431,1.2746,1.275,1.3008,1.3517,1.3356,1.2751,1.2801,1.2664,1.2326,1.269,1.3025,1.2971,1.2861,1.2676,1.2965,1.3983,1.2356,0.9258,0.9403,1.0025,0.9965,1.0409,0.8013,0.4105,0.381,0.4205,0.3855,0.4259,0.4444,0.4233,0.45,0.4567,0.4349,0.4494,0.4585,0.435})</x:f>
        <x:v>33232.732214888645</x:v>
      </x:c>
    </x:row>
    <x:row r="105" ht="14" customHeight="1">
      <x:c r="A105" s="3">
        <x:v>45792</x:v>
      </x:c>
      <x:c r="B105" s="23" t="n">
        <x:v>578.2930501302083</x:v>
      </x:c>
      <x:c r="C105" s="23" t="n">
        <x:v>575.7589111328125</x:v>
      </x:c>
      <x:c r="D105" s="23" t="n">
        <x:v>584.8697916666666</x:v>
      </x:c>
      <x:c r="E105" s="23" t="n">
        <x:v>590.4627685546875</x:v>
      </x:c>
      <x:c r="F105" s="23" t="n">
        <x:v>1415.5185546875</x:v>
      </x:c>
      <x:c r="G105" s="23" t="n">
        <x:v>588.4664713541666</x:v>
      </x:c>
      <x:c r="H105" s="23" t="n">
        <x:v>1418.1735026041665</x:v>
      </x:c>
      <x:c r="I105" s="23" t="n">
        <x:v>1416.237345377604</x:v>
      </x:c>
      <x:c r="J105" s="23" t="n">
        <x:v>1410.3253987630208</x:v>
      </x:c>
      <x:c r="K105" s="23" t="n">
        <x:v>1424.1324869791665</x:v>
      </x:c>
      <x:c r="L105" s="23" t="n">
        <x:v>588.8687337239583</x:v>
      </x:c>
      <x:c r="M105" s="23" t="n">
        <x:v>587.9810791015625</x:v>
      </x:c>
      <x:c r="N105" s="23" t="n">
        <x:v>588.3977457682291</x:v>
      </x:c>
      <x:c r="O105" s="23" t="n">
        <x:v>595.28515625</x:v>
      </x:c>
      <x:c r="P105" s="23" t="n">
        <x:v>597.5811767578125</x:v>
      </x:c>
      <x:c r="Q105" s="23" t="n">
        <x:v>597.9989013671875</x:v>
      </x:c>
      <x:c r="R105" s="23" t="n">
        <x:v>594.763671875</x:v>
      </x:c>
      <x:c r="S105" s="23" t="n">
        <x:v>588.5206298828125</x:v>
      </x:c>
      <x:c r="T105" s="23" t="n">
        <x:v>1230.4650025270062</x:v>
      </x:c>
      <x:c r="U105" s="23" t="n">
        <x:v>603.91845703125</x:v>
      </x:c>
      <x:c r="V105" s="23" t="n">
        <x:v>599.2175699869791</x:v>
      </x:c>
      <x:c r="W105" s="23" t="n">
        <x:v>602.5421142578125</x:v>
      </x:c>
      <x:c r="X105" s="23" t="n">
        <x:v>608.1527913411458</x:v>
      </x:c>
      <x:c r="Y105" s="23" t="n">
        <x:v>608.9833984375</x:v>
      </x:c>
      <x:c r="Z105" s="23" t="n">
        <x:v>598.1007893880208</x:v>
      </x:c>
      <x:c r="AA105" s="23" t="n">
        <x:v>591.9281412760416</x:v>
      </x:c>
      <x:c r="AB105" s="23" t="n">
        <x:v>597.6149495442708</x:v>
      </x:c>
      <x:c r="AC105" s="23" t="n">
        <x:v>598.9310302734375</x:v>
      </x:c>
      <x:c r="AD105" s="23" t="n">
        <x:v>591.5884826993929</x:v>
      </x:c>
      <x:c r="AE105" s="23" t="n">
        <x:v>601.7374674479166</x:v>
      </x:c>
      <x:c r="AF105" s="23" t="n">
        <x:v>609.723876953125</x:v>
      </x:c>
      <x:c r="AG105" s="23" t="n">
        <x:v>586.2544250904953</x:v>
      </x:c>
      <x:c r="AH105" s="23" t="n">
        <x:v>549.7572118816986</x:v>
      </x:c>
      <x:c r="AI105" s="23" t="n">
        <x:v>1328.9381979727586</x:v>
      </x:c>
      <x:c r="AJ105" s="23" t="n">
        <x:v>93.4606388445937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0</x:v>
      </x:c>
      <x:c r="BV105" s="23" t="n">
        <x:v>0</x:v>
      </x:c>
      <x:c r="BW105" s="23" t="n">
        <x:v>0</x:v>
      </x:c>
      <x:c r="BX105" s="23" t="n">
        <x:v>0</x:v>
      </x:c>
      <x:c r="BY105" s="23" t="n">
        <x:v>0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9.512943291130188</x:v>
      </x:c>
      <x:c r="CN105" s="23" t="n">
        <x:v>42.44261535716547</x:v>
      </x:c>
      <x:c r="CO105" s="23" t="n">
        <x:v>77.260618803135</x:v>
      </x:c>
      <x:c r="CP105" s="23" t="n">
        <x:v>127.62266458633226</x:v>
      </x:c>
      <x:c r="CQ105" s="23" t="n">
        <x:v>177.24913546705812</x:v>
      </x:c>
      <x:c r="CR105" s="23" t="n">
        <x:v>232.52992573294551</x:v>
      </x:c>
      <x:c r="CS105" s="23" t="n">
        <x:v>288.9856806014542</x:v>
      </x:c>
      <x:c r="CT105" s="23" t="n">
        <x:v>338.35158001152166</x:v>
      </x:c>
      <x:c r="CU105" s="23" t="n">
        <x:v>382.91135886449297</x:v>
      </x:c>
      <x:c r="CV105" s="23" t="n">
        <x:v>433.9772878425267</x:v>
      </x:c>
      <x:c r="CW105" s="23" t="n">
        <x:v>492.3557846192466</x:v>
      </x:c>
      <x:c r="CX105" s="23" t="n">
        <x:v>532.0285067131915</x:v>
      </x:c>
      <x:c r="CY105" s="23" t="n">
        <x:v>578.4547971839972</x:v>
      </x:c>
      <x:c r="CZ105" s="23" t="n">
        <x:v>648.1507415167971</x:v>
      </x:c>
      <x:c r="DA105" s="23" t="n">
        <x:v>696.3481421267057</x:v>
      </x:c>
      <x:c r="DB105" s="23" t="n">
        <x:v>733.1761800494226</x:v>
      </x:c>
      <x:c r="DC105" s="23" t="n">
        <x:v>822.4822504557842</x:v>
      </x:c>
      <x:c r="DD105" s="23" t="n">
        <x:v>805.7900786148099</x:v>
      </x:c>
      <x:c r="DE105" s="23" t="n">
        <x:v>630.8443824748222</x:v>
      </x:c>
      <x:c r="DF105" s="23" t="n">
        <x:v>636.9984172249278</x:v>
      </x:c>
      <x:c r="DG105" s="23" t="n">
        <x:v>672.7572236643052</x:v>
      </x:c>
      <x:c r="DH105" s="23" t="n">
        <x:v>0</x:v>
      </x:c>
      <x:c r="DI105" s="23" t="n">
        <x:v>0</x:v>
      </x:c>
      <x:c r="DJ105" s="23" t="n">
        <x:v>0</x:v>
      </x:c>
      <x:c r="DK105" s="23" t="n">
        <x:v>0</x:v>
      </x:c>
      <x:c r="DL105" s="23" t="n">
        <x:v>765.2803135188999</x:v>
      </x:c>
      <x:c r="DM105" s="23" t="n">
        <x:v>558.5851766827183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0</x:v>
      </x:c>
      <x:c r="DS105" s="23" t="n">
        <x:v>788.2945963541666</x:v>
      </x:c>
      <x:c r="DT105" s="23" t="n">
        <x:v>0</x:v>
      </x:c>
      <x:c r="DU105" s="23" t="n">
        <x:v>0</x:v>
      </x:c>
      <x:c r="DV105" s="23" t="n">
        <x:v>795.6092936197916</x:v>
      </x:c>
      <x:c r="DW105" s="23" t="n">
        <x:v>797.9758264612269</x:v>
      </x:c>
      <x:c r="DX105" s="23" t="n">
        <x:v>775.0945935812111</x:v>
      </x:c>
      <x:c r="DY105" s="23" t="n">
        <x:v>783.0336629131303</x:v>
      </x:c>
      <x:c r="DZ105" s="23" t="n">
        <x:v>778.1556803385416</x:v>
      </x:c>
      <x:c r="EA105" s="23" t="n">
        <x:v>795.3710123697916</x:v>
      </x:c>
      <x:c r="EB105" s="23" t="n">
        <x:v>737.5342610677083</x:v>
      </x:c>
      <x:c r="EC105" s="23" t="n">
        <x:v>1433.175333658854</x:v>
      </x:c>
      <x:c r="ED105" s="23" t="n">
        <x:v>1409.3793131510415</x:v>
      </x:c>
      <x:c r="EE105" s="23" t="n">
        <x:v>1424.7224934895833</x:v>
      </x:c>
      <x:c r="EF105" s="23" t="n">
        <x:v>1426.85302734375</x:v>
      </x:c>
      <x:c r="EG105" s="23" t="n">
        <x:v>599.3813883463541</x:v>
      </x:c>
      <x:c r="EH105" s="23" t="n">
        <x:v>606.0218505859375</x:v>
      </x:c>
      <x:c r="EI105" s="23" t="n">
        <x:v>596.4545084635416</x:v>
      </x:c>
      <x:c r="EJ105" s="23" t="n">
        <x:v>587.5961100260416</x:v>
      </x:c>
      <x:c r="EK105" s="23" t="n">
        <x:v>581.6352945963541</x:v>
      </x:c>
      <x:c r="EL105" s="23" t="n">
        <x:v>587.57373046875</x:v>
      </x:c>
      <x:c r="EM105" s="23" t="n">
        <x:v>872.679129211677</x:v>
      </x:c>
      <x:c r="EN105" s="23" t="n">
        <x:v>1395.5091959635415</x:v>
      </x:c>
      <x:c r="EO105" s="23" t="n">
        <x:v>1256.8533528645833</x:v>
      </x:c>
      <x:c r="EP105" s="23" t="n">
        <x:f>SUM(B105:EO105)</x:f>
        <x:v>55455.94938120896</x:v>
      </x:c>
      <x:c r="EQ105" s="23" t="n">
        <x:f>SUMPRODUCT(B105:EO105,{0.4043,0.4319,0.4743,0.4267,0.4058,0.4434,0.4531,0.4417,0.4194,0.3904,0.4147,0.4601,0.4296,0.3906,0.3876,0.3987,0.3977,0.3964,0.4279,0.4578,0.4548,0.4232,0.4257,0.4723,0.5111,0.5133,0.4917,0.481,0.4656,0.4329,0.3987,0.4255,0.436,0.3356,0.5362,0.9438,1.0101,0.8998,0.8143,0.7861,0.7669,0.7438,0.7467,0.7616,0.7438,0.6954,0.8629,1.1438,1.1613,1.0784,1.0581,1.0871,1.0169,0.8987,0.9296,0.9666,0.9311,0.8848,0.8477,0.8464,0.8947,0.8897,0.8541,0.8823,0.7471,0.5039,0.4614,0.4895,0.4712,0.4244,0.3961,0.3973,0.4085,0.4536,0.4848,0.4492,0.5917,0.8414,0.8661,0.8411,0.8686,0.8688,0.8545,0.8435,0.8406,0.8794,0.9712,1.0525,0.8942,0.632,0.6561,0.7621,0.7735,0.7213,0.7367,0.8219,0.8686,0.9306,0.9786,0.9173,0.8816,0.9071,0.9109,0.9627,1.0303,1.0132,1.0912,1.2399,1.2434,1.2168,1.2448,1.2935,1.3209,1.3242,1.3271,1.3008,1.2682,1.2849,1.2839,1.2599,1.2719,1.2684,1.2656,1.308,1.1818,0.9629,0.9576,0.9805,0.9807,1.0492,0.8284,0.4425,0.4148,0.4869,0.4701,0.4411,0.4467,0.4578,0.4171,0.4112,0.4687,0.52,0.4831,0.3781})</x:f>
        <x:v>34329.046240456046</x:v>
      </x:c>
    </x:row>
    <x:row r="106" ht="14" customHeight="1">
      <x:c r="A106" s="3">
        <x:v>45793</x:v>
      </x:c>
      <x:c r="B106" s="23" t="n">
        <x:v>413.6206868489583</x:v>
      </x:c>
      <x:c r="C106" s="23" t="n">
        <x:v>0</x:v>
      </x:c>
      <x:c r="D106" s="23" t="n">
        <x:v>0</x:v>
      </x:c>
      <x:c r="E106" s="23" t="n">
        <x:v>417.00321451822913</x:v>
      </x:c>
      <x:c r="F106" s="23" t="n">
        <x:v>428.0244140625</x:v>
      </x:c>
      <x:c r="G106" s="23" t="n">
        <x:v>0</x:v>
      </x:c>
      <x:c r="H106" s="23" t="n">
        <x:v>195.45552942748606</x:v>
      </x:c>
      <x:c r="I106" s="23" t="n">
        <x:v>417.00321451822913</x:v>
      </x:c>
      <x:c r="J106" s="23" t="n">
        <x:v>420.8456624348958</x:v>
      </x:c>
      <x:c r="K106" s="23" t="n">
        <x:v>430.6994222005208</x:v>
      </x:c>
      <x:c r="L106" s="23" t="n">
        <x:v>438.2427571614583</x:v>
      </x:c>
      <x:c r="M106" s="23" t="n">
        <x:v>439.52469889322913</x:v>
      </x:c>
      <x:c r="N106" s="23" t="n">
        <x:v>1263.7184244791665</x:v>
      </x:c>
      <x:c r="O106" s="23" t="n">
        <x:v>422.6282552083333</x:v>
      </x:c>
      <x:c r="P106" s="23" t="n">
        <x:v>0</x:v>
      </x:c>
      <x:c r="Q106" s="23" t="n">
        <x:v>0</x:v>
      </x:c>
      <x:c r="R106" s="23" t="n">
        <x:v>443.00101725260413</x:v>
      </x:c>
      <x:c r="S106" s="23" t="n">
        <x:v>434.38090006510413</x:v>
      </x:c>
      <x:c r="T106" s="23" t="n">
        <x:v>439.83756510416663</x:v>
      </x:c>
      <x:c r="U106" s="23" t="n">
        <x:v>439.63444010416663</x:v>
      </x:c>
      <x:c r="V106" s="23" t="n">
        <x:v>438.33585611979163</x:v>
      </x:c>
      <x:c r="W106" s="23" t="n">
        <x:v>442.46451822916663</x:v>
      </x:c>
      <x:c r="X106" s="23" t="n">
        <x:v>447.30533854166663</x:v>
      </x:c>
      <x:c r="Y106" s="23" t="n">
        <x:v>457.4180501302083</x:v>
      </x:c>
      <x:c r="Z106" s="23" t="n">
        <x:v>445.5605061848958</x:v>
      </x:c>
      <x:c r="AA106" s="23" t="n">
        <x:v>445.7902425130208</x:v>
      </x:c>
      <x:c r="AB106" s="23" t="n">
        <x:v>452.2954915364583</x:v>
      </x:c>
      <x:c r="AC106" s="23" t="n">
        <x:v>445.69999186197913</x:v>
      </x:c>
      <x:c r="AD106" s="23" t="n">
        <x:v>441.92543730580337</x:v>
      </x:c>
      <x:c r="AE106" s="23" t="n">
        <x:v>0</x:v>
      </x:c>
      <x:c r="AF106" s="23" t="n">
        <x:v>0</x:v>
      </x:c>
      <x:c r="AG106" s="23" t="n">
        <x:v>0</x:v>
      </x:c>
      <x:c r="AH106" s="23" t="n">
        <x:v>0</x:v>
      </x:c>
      <x:c r="AI106" s="23" t="n">
        <x:v>1180.7228099456465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0</x:v>
      </x:c>
      <x:c r="CW106" s="23" t="n">
        <x:v>75.83302391169703</x:v>
      </x:c>
      <x:c r="CX106" s="23" t="n">
        <x:v>80.5744952852881</x:v>
      </x:c>
      <x:c r="CY106" s="23" t="n">
        <x:v>60.20426147521318</x:v>
      </x:c>
      <x:c r="CZ106" s="23" t="n">
        <x:v>110.76422897162979</x:v>
      </x:c>
      <x:c r="DA106" s="23" t="n">
        <x:v>175.1951276064039</x:v>
      </x:c>
      <x:c r="DB106" s="23" t="n">
        <x:v>190.25807852013418</x:v>
      </x:c>
      <x:c r="DC106" s="23" t="n">
        <x:v>199.78475702478733</x:v>
      </x:c>
      <x:c r="DD106" s="23" t="n">
        <x:v>241.40703612079147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0</x:v>
      </x:c>
      <x:c r="DW106" s="23" t="n">
        <x:v>551.0405680338541</x:v>
      </x:c>
      <x:c r="DX106" s="23" t="n">
        <x:v>538.3798014322916</x:v>
      </x:c>
      <x:c r="DY106" s="23" t="n">
        <x:v>496.5206298828125</x:v>
      </x:c>
      <x:c r="DZ106" s="23" t="n">
        <x:v>506.34757486979163</x:v>
      </x:c>
      <x:c r="EA106" s="23" t="n">
        <x:v>485.5684656891807</x:v>
      </x:c>
      <x:c r="EB106" s="23" t="n">
        <x:v>496.64835611979163</x:v>
      </x:c>
      <x:c r="EC106" s="23" t="n">
        <x:v>1267.9908447265625</x:v>
      </x:c>
      <x:c r="ED106" s="23" t="n">
        <x:v>1248.8975830078125</x:v>
      </x:c>
      <x:c r="EE106" s="23" t="n">
        <x:v>718.6955273236563</x:v>
      </x:c>
      <x:c r="EF106" s="23" t="n">
        <x:v>434.1122639973958</x:v>
      </x:c>
      <x:c r="EG106" s="23" t="n">
        <x:v>1271.1629231770833</x:v>
      </x:c>
      <x:c r="EH106" s="23" t="n">
        <x:v>1260.0954182942708</x:v>
      </x:c>
      <x:c r="EI106" s="23" t="n">
        <x:v>427.01078287760413</x:v>
      </x:c>
      <x:c r="EJ106" s="23" t="n">
        <x:v>436.2032063802083</x:v>
      </x:c>
      <x:c r="EK106" s="23" t="n">
        <x:v>435.0325927734375</x:v>
      </x:c>
      <x:c r="EL106" s="23" t="n">
        <x:v>1265.438232421875</x:v>
      </x:c>
      <x:c r="EM106" s="23" t="n">
        <x:v>421.60791015625</x:v>
      </x:c>
      <x:c r="EN106" s="23" t="n">
        <x:v>421.58935546875</x:v>
      </x:c>
      <x:c r="EO106" s="23" t="n">
        <x:v>1249.7479248046875</x:v>
      </x:c>
      <x:c r="EP106" s="23" t="n">
        <x:f>SUM(B106:EO106)</x:f>
        <x:v>27307.249415000944</x:v>
      </x:c>
      <x:c r="EQ106" s="23" t="n">
        <x:f>SUMPRODUCT(B106:EO106,{0.31,0.3037,0.3269,0.3293,0.3294,0.342,0.3554,0.3426,0.3221,0.3395,0.3552,0.3477,0.3356,0.3369,0.3564,0.3753,0.3356,0.2877,0.3374,0.3444,0.2925,0.3132,0.3792,0.4135,0.367,0.3293,0.3336,0.3335,0.3289,0.3371,0.3634,0.3491,0.2821,0.2405,0.3984,0.6538,0.7073,0.662,0.6176,0.5717,0.5411,0.5432,0.5726,0.555,0.4853,0.4563,0.5962,0.7916,0.7851,0.7331,0.709,0.6464,0.6668,0.7446,0.7187,0.6673,0.6347,0.5912,0.5887,0.615,0.5964,0.5533,0.5462,0.5827,0.4159,0.1397,0.1148,0.1581,0.1609,0.1933,0.1846,0.1274,0.0992,0.1126,0.1295,0.1305,0.2898,0.5431,0.6233,0.6007,0.5743,0.5742,0.5913,0.5993,0.5824,0.595,0.6447,0.6572,0.5024,0.2991,0.3213,0.4176,0.4438,0.4048,0.4302,0.5172,0.5401,0.5312,0.5429,0.5839,0.577,0.5503,0.6073,0.6522,0.632,0.6184,0.7903,1.0553,1.1244,1.1069,1.1162,1.1506,1.1496,1.1198,1.1255,1.138,1.1524,1.1825,1.1342,1.0747,1.1687,1.2252,1.1887,1.1675,1.0306,0.8352,0.8079,0.8528,0.9054,0.9478,0.7132,0.3414,0.2796,0.3324,0.3338,0.3173,0.3336,0.3634,0.3454,0.335,0.3488,0.3465,0.3347,0.3394})</x:f>
        <x:v>10939.193459682507</x:v>
      </x:c>
    </x:row>
    <x:row r="107" ht="14" customHeight="1">
      <x:c r="A107" s="3">
        <x:v>45794</x:v>
      </x:c>
      <x:c r="B107" s="23" t="n">
        <x:v>410.2810872395833</x:v>
      </x:c>
      <x:c r="C107" s="23" t="n">
        <x:v>406.90140787760413</x:v>
      </x:c>
      <x:c r="D107" s="23" t="n">
        <x:v>423.689697265625</x:v>
      </x:c>
      <x:c r="E107" s="23" t="n">
        <x:v>0</x:v>
      </x:c>
      <x:c r="F107" s="23" t="n">
        <x:v>430.1359456380208</x:v>
      </x:c>
      <x:c r="G107" s="23" t="n">
        <x:v>423.08866373697913</x:v>
      </x:c>
      <x:c r="H107" s="23" t="n">
        <x:v>419.36962890625</x:v>
      </x:c>
      <x:c r="I107" s="23" t="n">
        <x:v>427.940185546875</x:v>
      </x:c>
      <x:c r="J107" s="23" t="n">
        <x:v>443.4273274739583</x:v>
      </x:c>
      <x:c r="K107" s="23" t="n">
        <x:v>433.93839518229163</x:v>
      </x:c>
      <x:c r="L107" s="23" t="n">
        <x:v>433.9645589192708</x:v>
      </x:c>
      <x:c r="M107" s="23" t="n">
        <x:v>0</x:v>
      </x:c>
      <x:c r="N107" s="23" t="n">
        <x:v>429.8601888020833</x:v>
      </x:c>
      <x:c r="O107" s="23" t="n">
        <x:v>421.13895670572913</x:v>
      </x:c>
      <x:c r="P107" s="23" t="n">
        <x:v>0</x:v>
      </x:c>
      <x:c r="Q107" s="23" t="n">
        <x:v>0</x:v>
      </x:c>
      <x:c r="R107" s="23" t="n">
        <x:v>157.70728772191086</x:v>
      </x:c>
      <x:c r="S107" s="23" t="n">
        <x:v>424.673095703125</x:v>
      </x:c>
      <x:c r="T107" s="23" t="n">
        <x:v>435.3858642578125</x:v>
      </x:c>
      <x:c r="U107" s="23" t="n">
        <x:v>0</x:v>
      </x:c>
      <x:c r="V107" s="23" t="n">
        <x:v>0</x:v>
      </x:c>
      <x:c r="W107" s="23" t="n">
        <x:v>437.07621256510413</x:v>
      </x:c>
      <x:c r="X107" s="23" t="n">
        <x:v>435.75244140625</x:v>
      </x:c>
      <x:c r="Y107" s="23" t="n">
        <x:v>445.79007975260413</x:v>
      </x:c>
      <x:c r="Z107" s="23" t="n">
        <x:v>444.1285400390625</x:v>
      </x:c>
      <x:c r="AA107" s="23" t="n">
        <x:v>440.4818115234375</x:v>
      </x:c>
      <x:c r="AB107" s="23" t="n">
        <x:v>446.56803385416663</x:v>
      </x:c>
      <x:c r="AC107" s="23" t="n">
        <x:v>445.1324055989583</x:v>
      </x:c>
      <x:c r="AD107" s="23" t="n">
        <x:v>442.1891460495449</x:v>
      </x:c>
      <x:c r="AE107" s="23" t="n">
        <x:v>448.6165364583333</x:v>
      </x:c>
      <x:c r="AF107" s="23" t="n">
        <x:v>436.46577021419535</x:v>
      </x:c>
      <x:c r="AG107" s="23" t="n">
        <x:v>421.45284489000403</x:v>
      </x:c>
      <x:c r="AH107" s="23" t="n">
        <x:v>0</x:v>
      </x:c>
      <x:c r="AI107" s="23" t="n">
        <x:v>1182.524815818988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0</x:v>
      </x:c>
      <x:c r="CW107" s="23" t="n">
        <x:v>71.29389806771715</x:v>
      </x:c>
      <x:c r="CX107" s="23" t="n">
        <x:v>51.49707484414337</x:v>
      </x:c>
      <x:c r="CY107" s="23" t="n">
        <x:v>16.41682521062269</x:v>
      </x:c>
      <x:c r="CZ107" s="23" t="n">
        <x:v>64.09354633287504</x:v>
      </x:c>
      <x:c r="DA107" s="23" t="n">
        <x:v>117.4180158780739</x:v>
      </x:c>
      <x:c r="DB107" s="23" t="n">
        <x:v>183.95500589324777</x:v>
      </x:c>
      <x:c r="DC107" s="23" t="n">
        <x:v>224.45655362771254</x:v>
      </x:c>
      <x:c r="DD107" s="23" t="n">
        <x:v>252.70870664645648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88.40354382323176</x:v>
      </x:c>
      <x:c r="DW107" s="23" t="n">
        <x:v>547.3085123697916</x:v>
      </x:c>
      <x:c r="DX107" s="23" t="n">
        <x:v>534.752197265625</x:v>
      </x:c>
      <x:c r="DY107" s="23" t="n">
        <x:v>532.3470052083333</x:v>
      </x:c>
      <x:c r="DZ107" s="23" t="n">
        <x:v>568.4813639322916</x:v>
      </x:c>
      <x:c r="EA107" s="23" t="n">
        <x:v>552.3507482421875</x:v>
      </x:c>
      <x:c r="EB107" s="23" t="n">
        <x:v>532.9682522344393</x:v>
      </x:c>
      <x:c r="EC107" s="23" t="n">
        <x:v>447.794677734375</x:v>
      </x:c>
      <x:c r="ED107" s="23" t="n">
        <x:v>1258.2243245442708</x:v>
      </x:c>
      <x:c r="EE107" s="23" t="n">
        <x:v>1268.3473714192708</x:v>
      </x:c>
      <x:c r="EF107" s="23" t="n">
        <x:v>753.3158938560957</x:v>
      </x:c>
      <x:c r="EG107" s="23" t="n">
        <x:v>1265.9957682291665</x:v>
      </x:c>
      <x:c r="EH107" s="23" t="n">
        <x:v>1261.776896158854</x:v>
      </x:c>
      <x:c r="EI107" s="23" t="n">
        <x:v>1258.482177734375</x:v>
      </x:c>
      <x:c r="EJ107" s="23" t="n">
        <x:v>1275.0639241536458</x:v>
      </x:c>
      <x:c r="EK107" s="23" t="n">
        <x:v>438.9035237630208</x:v>
      </x:c>
      <x:c r="EL107" s="23" t="n">
        <x:v>430.399169921875</x:v>
      </x:c>
      <x:c r="EM107" s="23" t="n">
        <x:v>426.13444010416663</x:v>
      </x:c>
      <x:c r="EN107" s="23" t="n">
        <x:v>439.87723795572913</x:v>
      </x:c>
      <x:c r="EO107" s="23" t="n">
        <x:v>589.0381673177083</x:v>
      </x:c>
      <x:c r="EP107" s="23" t="n">
        <x:f>SUM(B107:EO107)</x:f>
        <x:v>27599.485751617074</x:v>
      </x:c>
      <x:c r="EQ107" s="23" t="n">
        <x:f>SUMPRODUCT(B107:EO107,{0.3718,0.3608,0.3046,0.2778,0.2956,0.3292,0.3375,0.3431,0.357,0.3675,0.3835,0.3946,0.3789,0.3673,0.3577,0.3197,0.2937,0.3026,0.3306,0.3517,0.3614,0.3684,0.3451,0.3235,0.3619,0.3551,0.3118,0.3433,0.3555,0.3214,0.3156,0.3337,0.3086,0.2269,0.4308,0.7532,0.6631,0.5483,0.5893,0.5843,0.572,0.563,0.5067,0.4755,0.473,0.4582,0.5973,0.7958,0.7666,0.699,0.6942,0.6725,0.6709,0.7019,0.7292,0.7412,0.7187,0.6562,0.6583,0.6971,0.642,0.5867,0.5897,0.5889,0.4265,0.2134,0.2336,0.3075,0.3073,0.2812,0.2941,0.3276,0.308,0.2806,0.2552,0.2204,0.3354,0.5526,0.6472,0.6799,0.702,0.697,0.7108,0.7348,0.7125,0.6812,0.6963,0.754,0.6513,0.4354,0.377,0.4401,0.4949,0.4537,0.442,0.4897,0.5109,0.5523,0.6149,0.6389,0.6407,0.6447,0.658,0.6659,0.6486,0.6282,0.783,1.0422,1.1356,1.1454,1.1501,1.1435,1.1561,1.1652,1.1223,1.1237,1.1924,1.2422,1.195,1.113,1.1399,1.1994,1.2239,1.1926,1.0175,0.821,0.8356,0.8369,0.7783,0.8043,0.6641,0.3945,0.317,0.3382,0.3541,0.3605,0.3617,0.3588,0.353,0.3581,0.3602,0.3401,0.3766,0.4486})</x:f>
        <x:v>11329.259962908667</x:v>
      </x:c>
    </x:row>
    <x:row r="108" ht="14" customHeight="1">
      <x:c r="A108" s="3">
        <x:v>45795</x:v>
      </x:c>
      <x:c r="B108" s="23" t="n">
        <x:v>1426.0784505208333</x:v>
      </x:c>
      <x:c r="C108" s="23" t="n">
        <x:v>573.8992513020833</x:v>
      </x:c>
      <x:c r="D108" s="23" t="n">
        <x:v>582.4546305338541</x:v>
      </x:c>
      <x:c r="E108" s="23" t="n">
        <x:v>582.7888590494791</x:v>
      </x:c>
      <x:c r="F108" s="23" t="n">
        <x:v>583.0155843098958</x:v>
      </x:c>
      <x:c r="G108" s="23" t="n">
        <x:v>586.9735514322916</x:v>
      </x:c>
      <x:c r="H108" s="23" t="n">
        <x:v>589.8748779296875</x:v>
      </x:c>
      <x:c r="I108" s="23" t="n">
        <x:v>592.0701090494791</x:v>
      </x:c>
      <x:c r="J108" s="23" t="n">
        <x:v>1425.3033447265625</x:v>
      </x:c>
      <x:c r="K108" s="23" t="n">
        <x:v>593.0917154947916</x:v>
      </x:c>
      <x:c r="L108" s="23" t="n">
        <x:v>589.3606363932291</x:v>
      </x:c>
      <x:c r="M108" s="23" t="n">
        <x:v>591.4016927083333</x:v>
      </x:c>
      <x:c r="N108" s="23" t="n">
        <x:v>1427.9305826822915</x:v>
      </x:c>
      <x:c r="O108" s="23" t="n">
        <x:v>1425.605224609375</x:v>
      </x:c>
      <x:c r="P108" s="23" t="n">
        <x:v>591.2405598958333</x:v>
      </x:c>
      <x:c r="Q108" s="23" t="n">
        <x:v>597.9046223958333</x:v>
      </x:c>
      <x:c r="R108" s="23" t="n">
        <x:v>593.274658203125</x:v>
      </x:c>
      <x:c r="S108" s="23" t="n">
        <x:v>582.6195475260416</x:v>
      </x:c>
      <x:c r="T108" s="23" t="n">
        <x:v>594.9983723958333</x:v>
      </x:c>
      <x:c r="U108" s="23" t="n">
        <x:v>599.7654215494791</x:v>
      </x:c>
      <x:c r="V108" s="23" t="n">
        <x:v>599.3979899088541</x:v>
      </x:c>
      <x:c r="W108" s="23" t="n">
        <x:v>1319.5382518077026</x:v>
      </x:c>
      <x:c r="X108" s="23" t="n">
        <x:v>601.6925048828125</x:v>
      </x:c>
      <x:c r="Y108" s="23" t="n">
        <x:v>605.2689615885416</x:v>
      </x:c>
      <x:c r="Z108" s="23" t="n">
        <x:v>602.7081705729166</x:v>
      </x:c>
      <x:c r="AA108" s="23" t="n">
        <x:v>604.6721598307291</x:v>
      </x:c>
      <x:c r="AB108" s="23" t="n">
        <x:v>601.1605631510416</x:v>
      </x:c>
      <x:c r="AC108" s="23" t="n">
        <x:v>602.9760335286458</x:v>
      </x:c>
      <x:c r="AD108" s="23" t="n">
        <x:v>591.7322377006199</x:v>
      </x:c>
      <x:c r="AE108" s="23" t="n">
        <x:v>597.7422281901041</x:v>
      </x:c>
      <x:c r="AF108" s="23" t="n">
        <x:v>605.4231348071005</x:v>
      </x:c>
      <x:c r="AG108" s="23" t="n">
        <x:v>589.9108844195962</x:v>
      </x:c>
      <x:c r="AH108" s="23" t="n">
        <x:v>537.1068208477557</x:v>
      </x:c>
      <x:c r="AI108" s="23" t="n">
        <x:v>1325.8851490764519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0</x:v>
      </x:c>
      <x:c r="BV108" s="23" t="n">
        <x:v>0</x:v>
      </x:c>
      <x:c r="BW108" s="23" t="n">
        <x:v>0</x:v>
      </x:c>
      <x:c r="BX108" s="23" t="n">
        <x:v>0</x:v>
      </x:c>
      <x:c r="BY108" s="23" t="n">
        <x:v>0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23.98087152616972</x:v>
      </x:c>
      <x:c r="CN108" s="23" t="n">
        <x:v>62.436675692682</x:v>
      </x:c>
      <x:c r="CO108" s="23" t="n">
        <x:v>100.81614624787228</x:v>
      </x:c>
      <x:c r="CP108" s="23" t="n">
        <x:v>134.647815315353</x:v>
      </x:c>
      <x:c r="CQ108" s="23" t="n">
        <x:v>169.81280296791556</x:v>
      </x:c>
      <x:c r="CR108" s="23" t="n">
        <x:v>220.39020497795929</x:v>
      </x:c>
      <x:c r="CS108" s="23" t="n">
        <x:v>286.5101621430531</x:v>
      </x:c>
      <x:c r="CT108" s="23" t="n">
        <x:v>320.9440749478179</x:v>
      </x:c>
      <x:c r="CU108" s="23" t="n">
        <x:v>378.9816460790938</x:v>
      </x:c>
      <x:c r="CV108" s="23" t="n">
        <x:v>449.4846316212559</x:v>
      </x:c>
      <x:c r="CW108" s="23" t="n">
        <x:v>501.1431635434613</x:v>
      </x:c>
      <x:c r="CX108" s="23" t="n">
        <x:v>535.4706063280469</x:v>
      </x:c>
      <x:c r="CY108" s="23" t="n">
        <x:v>561.7364483868296</x:v>
      </x:c>
      <x:c r="CZ108" s="23" t="n">
        <x:v>633.1540423077806</x:v>
      </x:c>
      <x:c r="DA108" s="23" t="n">
        <x:v>689.9099868731694</x:v>
      </x:c>
      <x:c r="DB108" s="23" t="n">
        <x:v>743.7735338505091</x:v>
      </x:c>
      <x:c r="DC108" s="23" t="n">
        <x:v>812.3960121393462</x:v>
      </x:c>
      <x:c r="DD108" s="23" t="n">
        <x:v>744.4914577668778</x:v>
      </x:c>
      <x:c r="DE108" s="23" t="n">
        <x:v>617.140482572156</x:v>
      </x:c>
      <x:c r="DF108" s="23" t="n">
        <x:v>606.4070978551916</x:v>
      </x:c>
      <x:c r="DG108" s="23" t="n">
        <x:v>678.2849533188903</x:v>
      </x:c>
      <x:c r="DH108" s="23" t="n">
        <x:v>0</x:v>
      </x:c>
      <x:c r="DI108" s="23" t="n">
        <x:v>4.287762470432881</x:v>
      </x:c>
      <x:c r="DJ108" s="23" t="n">
        <x:v>7.404735105536929</x:v>
      </x:c>
      <x:c r="DK108" s="23" t="n">
        <x:v>0</x:v>
      </x:c>
      <x:c r="DL108" s="23" t="n">
        <x:v>0</x:v>
      </x:c>
      <x:c r="DM108" s="23" t="n">
        <x:v>799.9305826822916</x:v>
      </x:c>
      <x:c r="DN108" s="23" t="n">
        <x:v>0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767.74267578125</x:v>
      </x:c>
      <x:c r="DT108" s="23" t="n">
        <x:v>720.9247241002072</x:v>
      </x:c>
      <x:c r="DU108" s="23" t="n">
        <x:v>0</x:v>
      </x:c>
      <x:c r="DV108" s="23" t="n">
        <x:v>794.0160319010416</x:v>
      </x:c>
      <x:c r="DW108" s="23" t="n">
        <x:v>792.8292643229166</x:v>
      </x:c>
      <x:c r="DX108" s="23" t="n">
        <x:v>788.724853515625</x:v>
      </x:c>
      <x:c r="DY108" s="23" t="n">
        <x:v>787.0607096354166</x:v>
      </x:c>
      <x:c r="DZ108" s="23" t="n">
        <x:v>803.8986002604166</x:v>
      </x:c>
      <x:c r="EA108" s="23" t="n">
        <x:v>779.6494949869791</x:v>
      </x:c>
      <x:c r="EB108" s="23" t="n">
        <x:v>716.8334866094392</x:v>
      </x:c>
      <x:c r="EC108" s="23" t="n">
        <x:v>612.2583898976014</x:v>
      </x:c>
      <x:c r="ED108" s="23" t="n">
        <x:v>1414.4447835286458</x:v>
      </x:c>
      <x:c r="EE108" s="23" t="n">
        <x:v>591.0721842447916</x:v>
      </x:c>
      <x:c r="EF108" s="23" t="n">
        <x:v>1431.7376708984375</x:v>
      </x:c>
      <x:c r="EG108" s="23" t="n">
        <x:v>1419.628702799479</x:v>
      </x:c>
      <x:c r="EH108" s="23" t="n">
        <x:v>1418.5908203125</x:v>
      </x:c>
      <x:c r="EI108" s="23" t="n">
        <x:v>591.1714680989583</x:v>
      </x:c>
      <x:c r="EJ108" s="23" t="n">
        <x:v>597.7197672526041</x:v>
      </x:c>
      <x:c r="EK108" s="23" t="n">
        <x:v>898.0559577345359</x:v>
      </x:c>
      <x:c r="EL108" s="23" t="n">
        <x:v>1422.1295166015625</x:v>
      </x:c>
      <x:c r="EM108" s="23" t="n">
        <x:v>588.39453125</x:v>
      </x:c>
      <x:c r="EN108" s="23" t="n">
        <x:v>594.0142008463541</x:v>
      </x:c>
      <x:c r="EO108" s="23" t="n">
        <x:v>1428.704345703125</x:v>
      </x:c>
      <x:c r="EP108" s="23" t="n">
        <x:f>SUM(B108:EO108)</x:f>
        <x:v>54958.004860022775</x:v>
      </x:c>
      <x:c r="EQ108" s="23" t="n">
        <x:f>SUMPRODUCT(B108:EO108,{0.4494,0.4269,0.4276,0.4444,0.4273,0.3986,0.4275,0.4411,0.4256,0.4394,0.4462,0.4348,0.4313,0.415,0.4028,0.4352,0.4516,0.449,0.4804,0.491,0.4501,0.3896,0.3805,0.4215,0.4496,0.4791,0.4933,0.4559,0.4507,0.4717,0.434,0.4143,0.4102,0.377,0.5656,0.8613,0.8676,0.8123,0.8282,0.8178,0.7853,0.7666,0.7778,0.7458,0.6546,0.6092,0.8614,1.2115,1.179,1.0951,1.1218,1.0884,1.0043,0.9315,0.9187,0.9469,0.9572,0.9052,0.8892,0.9067,0.8627,0.8356,0.8607,0.867,0.7248,0.5302,0.5199,0.5414,0.5044,0.4753,0.495,0.5341,0.5379,0.5865,0.6056,0.4704,0.5868,0.8925,0.9015,0.8305,0.8209,0.796,0.8326,0.9185,0.9436,0.9311,0.945,0.9961,0.8684,0.6399,0.6162,0.6239,0.6096,0.6951,0.7374,0.7066,0.7177,0.7375,0.7555,0.8055,0.8557,0.8843,0.903,0.9471,1.0018,1.0275,1.1037,1.2123,1.2486,1.2714,1.2875,1.2503,1.2674,1.3212,1.2885,1.2774,1.3144,1.3142,1.3086,1.3233,1.3418,1.3271,1.3149,1.3468,1.1956,0.9689,1.0097,1.0105,0.9374,1.0217,0.8262,0.4261,0.3823,0.4694,0.4774,0.4307,0.4088,0.4259,0.431,0.4188,0.4092,0.4241,0.4449,0.4492})</x:f>
        <x:v>33685.60339705914</x:v>
      </x:c>
    </x:row>
    <x:row r="109" ht="14" customHeight="1">
      <x:c r="A109" s="3">
        <x:v>45796</x:v>
      </x:c>
      <x:c r="B109" s="23" t="n">
        <x:v>581.2681070963541</x:v>
      </x:c>
      <x:c r="C109" s="23" t="n">
        <x:v>583.5254720052083</x:v>
      </x:c>
      <x:c r="D109" s="23" t="n">
        <x:v>591.4384765625</x:v>
      </x:c>
      <x:c r="E109" s="23" t="n">
        <x:v>583.2517496744791</x:v>
      </x:c>
      <x:c r="F109" s="23" t="n">
        <x:v>584.9989827473958</x:v>
      </x:c>
      <x:c r="G109" s="23" t="n">
        <x:v>591.3645833333333</x:v>
      </x:c>
      <x:c r="H109" s="23" t="n">
        <x:v>1415.248291015625</x:v>
      </x:c>
      <x:c r="I109" s="23" t="n">
        <x:v>1402.2486979166665</x:v>
      </x:c>
      <x:c r="J109" s="23" t="n">
        <x:v>584.9493815104166</x:v>
      </x:c>
      <x:c r="K109" s="23" t="n">
        <x:v>599.3587646484375</x:v>
      </x:c>
      <x:c r="L109" s="23" t="n">
        <x:v>591.955078125</x:v>
      </x:c>
      <x:c r="M109" s="23" t="n">
        <x:v>589.0438639322916</x:v>
      </x:c>
      <x:c r="N109" s="23" t="n">
        <x:v>1421.727091471354</x:v>
      </x:c>
      <x:c r="O109" s="23" t="n">
        <x:v>602.6080322265625</x:v>
      </x:c>
      <x:c r="P109" s="23" t="n">
        <x:v>598.4986165364583</x:v>
      </x:c>
      <x:c r="Q109" s="23" t="n">
        <x:v>593.3804931640625</x:v>
      </x:c>
      <x:c r="R109" s="23" t="n">
        <x:v>1426.7967122395833</x:v>
      </x:c>
      <x:c r="S109" s="23" t="n">
        <x:v>1200.6741668473778</x:v>
      </x:c>
      <x:c r="T109" s="23" t="n">
        <x:v>593.1864827473958</x:v>
      </x:c>
      <x:c r="U109" s="23" t="n">
        <x:v>594.4838460286458</x:v>
      </x:c>
      <x:c r="V109" s="23" t="n">
        <x:v>596.3321126302083</x:v>
      </x:c>
      <x:c r="W109" s="23" t="n">
        <x:v>593.8397623697916</x:v>
      </x:c>
      <x:c r="X109" s="23" t="n">
        <x:v>602.1350504557291</x:v>
      </x:c>
      <x:c r="Y109" s="23" t="n">
        <x:v>608.4122314453125</x:v>
      </x:c>
      <x:c r="Z109" s="23" t="n">
        <x:v>603.5845947265625</x:v>
      </x:c>
      <x:c r="AA109" s="23" t="n">
        <x:v>601.2189534505208</x:v>
      </x:c>
      <x:c r="AB109" s="23" t="n">
        <x:v>598.9365234375</x:v>
      </x:c>
      <x:c r="AC109" s="23" t="n">
        <x:v>598.8961588541666</x:v>
      </x:c>
      <x:c r="AD109" s="23" t="n">
        <x:v>595.2212173094485</x:v>
      </x:c>
      <x:c r="AE109" s="23" t="n">
        <x:v>613.8321940104166</x:v>
      </x:c>
      <x:c r="AF109" s="23" t="n">
        <x:v>593.0736928612894</x:v>
      </x:c>
      <x:c r="AG109" s="23" t="n">
        <x:v>574.8404402183867</x:v>
      </x:c>
      <x:c r="AH109" s="23" t="n">
        <x:v>545.7748839750726</x:v>
      </x:c>
      <x:c r="AI109" s="23" t="n">
        <x:v>1323.0968319334565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0</x:v>
      </x:c>
      <x:c r="BV109" s="23" t="n">
        <x:v>0</x:v>
      </x:c>
      <x:c r="BW109" s="23" t="n">
        <x:v>0</x:v>
      </x:c>
      <x:c r="BX109" s="23" t="n">
        <x:v>0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5.205118609373433</x:v>
      </x:c>
      <x:c r="CN109" s="23" t="n">
        <x:v>37.05812856549119</x:v>
      </x:c>
      <x:c r="CO109" s="23" t="n">
        <x:v>69.79475883101925</x:v>
      </x:c>
      <x:c r="CP109" s="23" t="n">
        <x:v>122.42318718326335</x:v>
      </x:c>
      <x:c r="CQ109" s="23" t="n">
        <x:v>160.28446013716467</x:v>
      </x:c>
      <x:c r="CR109" s="23" t="n">
        <x:v>193.23771961631942</x:v>
      </x:c>
      <x:c r="CS109" s="23" t="n">
        <x:v>233.11154457667558</x:v>
      </x:c>
      <x:c r="CT109" s="23" t="n">
        <x:v>292.1221039426873</x:v>
      </x:c>
      <x:c r="CU109" s="23" t="n">
        <x:v>351.35027174568614</x:v>
      </x:c>
      <x:c r="CV109" s="23" t="n">
        <x:v>407.982938552329</x:v>
      </x:c>
      <x:c r="CW109" s="23" t="n">
        <x:v>483.95417015460646</x:v>
      </x:c>
      <x:c r="CX109" s="23" t="n">
        <x:v>541.3038141389098</x:v>
      </x:c>
      <x:c r="CY109" s="23" t="n">
        <x:v>578.3546589023332</x:v>
      </x:c>
      <x:c r="CZ109" s="23" t="n">
        <x:v>628.2637931692827</x:v>
      </x:c>
      <x:c r="DA109" s="23" t="n">
        <x:v>685.1719493513356</x:v>
      </x:c>
      <x:c r="DB109" s="23" t="n">
        <x:v>729.2962645463829</x:v>
      </x:c>
      <x:c r="DC109" s="23" t="n">
        <x:v>806.6122164247987</x:v>
      </x:c>
      <x:c r="DD109" s="23" t="n">
        <x:v>795.2253627267429</x:v>
      </x:c>
      <x:c r="DE109" s="23" t="n">
        <x:v>562.1448258612857</x:v>
      </x:c>
      <x:c r="DF109" s="23" t="n">
        <x:v>595.6368399673579</x:v>
      </x:c>
      <x:c r="DG109" s="23" t="n">
        <x:v>681.4956832671768</x:v>
      </x:c>
      <x:c r="DH109" s="23" t="n">
        <x:v>0</x:v>
      </x:c>
      <x:c r="DI109" s="23" t="n">
        <x:v>0</x:v>
      </x:c>
      <x:c r="DJ109" s="23" t="n">
        <x:v>408.260957605392</x:v>
      </x:c>
      <x:c r="DK109" s="23" t="n">
        <x:v>0</x:v>
      </x:c>
      <x:c r="DL109" s="23" t="n">
        <x:v>762.8243265151389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735.7360026041666</x:v>
      </x:c>
      <x:c r="DR109" s="23" t="n">
        <x:v>0</x:v>
      </x:c>
      <x:c r="DS109" s="23" t="n">
        <x:v>0</x:v>
      </x:c>
      <x:c r="DT109" s="23" t="n">
        <x:v>0</x:v>
      </x:c>
      <x:c r="DU109" s="23" t="n">
        <x:v>0</x:v>
      </x:c>
      <x:c r="DV109" s="23" t="n">
        <x:v>766.8435872395833</x:v>
      </x:c>
      <x:c r="DW109" s="23" t="n">
        <x:v>798.6087900671939</x:v>
      </x:c>
      <x:c r="DX109" s="23" t="n">
        <x:v>793.8591958027905</x:v>
      </x:c>
      <x:c r="DY109" s="23" t="n">
        <x:v>760.04248046875</x:v>
      </x:c>
      <x:c r="DZ109" s="23" t="n">
        <x:v>752.5088704427083</x:v>
      </x:c>
      <x:c r="EA109" s="23" t="n">
        <x:v>771.2334279296877</x:v>
      </x:c>
      <x:c r="EB109" s="23" t="n">
        <x:v>720.75927734375</x:v>
      </x:c>
      <x:c r="EC109" s="23" t="n">
        <x:v>589.9506429036458</x:v>
      </x:c>
      <x:c r="ED109" s="23" t="n">
        <x:v>1417.2914225260415</x:v>
      </x:c>
      <x:c r="EE109" s="23" t="n">
        <x:v>1431.3746744791665</x:v>
      </x:c>
      <x:c r="EF109" s="23" t="n">
        <x:v>1423.0332845052083</x:v>
      </x:c>
      <x:c r="EG109" s="23" t="n">
        <x:v>1412.1564127604165</x:v>
      </x:c>
      <x:c r="EH109" s="23" t="n">
        <x:v>576.2905680338541</x:v>
      </x:c>
      <x:c r="EI109" s="23" t="n">
        <x:v>583.7076416015625</x:v>
      </x:c>
      <x:c r="EJ109" s="23" t="n">
        <x:v>583.2906494140625</x:v>
      </x:c>
      <x:c r="EK109" s="23" t="n">
        <x:v>873.2920035606354</x:v>
      </x:c>
      <x:c r="EL109" s="23" t="n">
        <x:v>1428.2736409505208</x:v>
      </x:c>
      <x:c r="EM109" s="23" t="n">
        <x:v>579.7836100260416</x:v>
      </x:c>
      <x:c r="EN109" s="23" t="n">
        <x:v>577.9104817708333</x:v>
      </x:c>
      <x:c r="EO109" s="23" t="n">
        <x:v>1405.176798502604</x:v>
      </x:c>
      <x:c r="EP109" s="23" t="n">
        <x:f>SUM(B109:EO109)</x:f>
        <x:v>53891.44009483099</x:v>
      </x:c>
      <x:c r="EQ109" s="23" t="n">
        <x:f>SUMPRODUCT(B109:EO109,{0.4314,0.4223,0.4274,0.4238,0.4132,0.4242,0.4779,0.4894,0.4464,0.4175,0.3969,0.3973,0.4449,0.4702,0.4489,0.4261,0.4425,0.474,0.4592,0.4365,0.4394,0.4634,0.4776,0.4598,0.4154,0.3976,0.4059,0.3995,0.4334,0.479,0.4426,0.3996,0.3838,0.3913,0.5964,0.8745,0.8895,0.8259,0.8039,0.7695,0.7606,0.7721,0.7527,0.7313,0.6791,0.5825,0.7807,1.1426,1.1606,1.0515,1.0219,1.052,1.016,0.9374,0.9526,0.9625,0.9279,0.9092,0.8887,0.849,0.8007,0.7833,0.8425,0.9438,0.7553,0.4125,0.4031,0.4701,0.4515,0.4387,0.3883,0.305,0.2653,0.2916,0.3396,0.3589,0.4783,0.6762,0.7793,0.7894,0.766,0.7703,0.8221,0.8634,0.8205,0.8222,0.9014,0.9363,0.7862,0.5686,0.5611,0.6415,0.6745,0.6524,0.7087,0.8217,0.8383,0.8344,0.8325,0.7871,0.8186,0.9155,0.9421,0.9638,1.0031,1.0209,1.1066,1.2322,1.2645,1.2514,1.2545,1.2873,1.3063,1.31,1.3317,1.3258,1.3033,1.3216,1.318,1.2922,1.3142,1.361,1.3957,1.3767,1.2124,1.0009,0.9575,0.9612,0.9691,1.0179,0.8233,0.4847,0.4169,0.4412,0.4287,0.4266,0.3814,0.3425,0.4216,0.4681,0.4363,0.4288,0.4482,0.4576})</x:f>
        <x:v>33048.14833239363</x:v>
      </x:c>
    </x:row>
    <x:row r="110" ht="14" customHeight="1">
      <x:c r="A110" s="3">
        <x:v>45797</x:v>
      </x:c>
      <x:c r="B110" s="23" t="n">
        <x:v>1404.1141764322915</x:v>
      </x:c>
      <x:c r="C110" s="23" t="n">
        <x:v>574.3245442708333</x:v>
      </x:c>
      <x:c r="D110" s="23" t="n">
        <x:v>579.1868489583333</x:v>
      </x:c>
      <x:c r="E110" s="23" t="n">
        <x:v>584.8289794921875</x:v>
      </x:c>
      <x:c r="F110" s="23" t="n">
        <x:v>595.4550374348958</x:v>
      </x:c>
      <x:c r="G110" s="23" t="n">
        <x:v>582.65234375</x:v>
      </x:c>
      <x:c r="H110" s="23" t="n">
        <x:v>580.8074951171875</x:v>
      </x:c>
      <x:c r="I110" s="23" t="n">
        <x:v>579.2129720052083</x:v>
      </x:c>
      <x:c r="J110" s="23" t="n">
        <x:v>578.8378499348958</x:v>
      </x:c>
      <x:c r="K110" s="23" t="n">
        <x:v>953.942343087826</x:v>
      </x:c>
      <x:c r="L110" s="23" t="n">
        <x:v>591.2589518229166</x:v>
      </x:c>
      <x:c r="M110" s="23" t="n">
        <x:v>595.9159749348958</x:v>
      </x:c>
      <x:c r="N110" s="23" t="n">
        <x:v>594.1943359375</x:v>
      </x:c>
      <x:c r="O110" s="23" t="n">
        <x:v>589.6678873697916</x:v>
      </x:c>
      <x:c r="P110" s="23" t="n">
        <x:v>594.886474609375</x:v>
      </x:c>
      <x:c r="Q110" s="23" t="n">
        <x:v>598.1064046223958</x:v>
      </x:c>
      <x:c r="R110" s="23" t="n">
        <x:v>596.5682373046875</x:v>
      </x:c>
      <x:c r="S110" s="23" t="n">
        <x:v>1421.8358154296875</x:v>
      </x:c>
      <x:c r="T110" s="23" t="n">
        <x:v>1431.8888346354165</x:v>
      </x:c>
      <x:c r="U110" s="23" t="n">
        <x:v>599.7718098958333</x:v>
      </x:c>
      <x:c r="V110" s="23" t="n">
        <x:v>598.9332682291666</x:v>
      </x:c>
      <x:c r="W110" s="23" t="n">
        <x:v>596.32421875</x:v>
      </x:c>
      <x:c r="X110" s="23" t="n">
        <x:v>1430.44287109375</x:v>
      </x:c>
      <x:c r="Y110" s="23" t="n">
        <x:v>597.4495442708333</x:v>
      </x:c>
      <x:c r="Z110" s="23" t="n">
        <x:v>606.352783203125</x:v>
      </x:c>
      <x:c r="AA110" s="23" t="n">
        <x:v>610.4213053385416</x:v>
      </x:c>
      <x:c r="AB110" s="23" t="n">
        <x:v>609.4232584635416</x:v>
      </x:c>
      <x:c r="AC110" s="23" t="n">
        <x:v>605.6808675130208</x:v>
      </x:c>
      <x:c r="AD110" s="23" t="n">
        <x:v>592.5651045893485</x:v>
      </x:c>
      <x:c r="AE110" s="23" t="n">
        <x:v>602.1553141276041</x:v>
      </x:c>
      <x:c r="AF110" s="23" t="n">
        <x:v>587.6004317979001</x:v>
      </x:c>
      <x:c r="AG110" s="23" t="n">
        <x:v>572.7744026713217</x:v>
      </x:c>
      <x:c r="AH110" s="23" t="n">
        <x:v>543.4874028537308</x:v>
      </x:c>
      <x:c r="AI110" s="23" t="n">
        <x:v>1328.1100333545653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0</x:v>
      </x:c>
      <x:c r="BW110" s="23" t="n">
        <x:v>0</x:v>
      </x:c>
      <x:c r="BX110" s="23" t="n">
        <x:v>0</x:v>
      </x:c>
      <x:c r="BY110" s="23" t="n">
        <x:v>0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35.71779061341658</x:v>
      </x:c>
      <x:c r="CO110" s="23" t="n">
        <x:v>67.8229925792378</x:v>
      </x:c>
      <x:c r="CP110" s="23" t="n">
        <x:v>107.36242391470842</x:v>
      </x:c>
      <x:c r="CQ110" s="23" t="n">
        <x:v>154.12310522599864</x:v>
      </x:c>
      <x:c r="CR110" s="23" t="n">
        <x:v>200.67503385277848</x:v>
      </x:c>
      <x:c r="CS110" s="23" t="n">
        <x:v>248.9235499601303</x:v>
      </x:c>
      <x:c r="CT110" s="23" t="n">
        <x:v>300.27403016525875</x:v>
      </x:c>
      <x:c r="CU110" s="23" t="n">
        <x:v>355.5389429968154</x:v>
      </x:c>
      <x:c r="CV110" s="23" t="n">
        <x:v>416.8035061981812</x:v>
      </x:c>
      <x:c r="CW110" s="23" t="n">
        <x:v>469.8972576722168</x:v>
      </x:c>
      <x:c r="CX110" s="23" t="n">
        <x:v>518.0389365522532</x:v>
      </x:c>
      <x:c r="CY110" s="23" t="n">
        <x:v>570.5149621651923</x:v>
      </x:c>
      <x:c r="CZ110" s="23" t="n">
        <x:v>613.7132163097498</x:v>
      </x:c>
      <x:c r="DA110" s="23" t="n">
        <x:v>662.5153450478765</x:v>
      </x:c>
      <x:c r="DB110" s="23" t="n">
        <x:v>718.3483704770961</x:v>
      </x:c>
      <x:c r="DC110" s="23" t="n">
        <x:v>798.4432046045151</x:v>
      </x:c>
      <x:c r="DD110" s="23" t="n">
        <x:v>789.5273183643714</x:v>
      </x:c>
      <x:c r="DE110" s="23" t="n">
        <x:v>562.7350135767764</x:v>
      </x:c>
      <x:c r="DF110" s="23" t="n">
        <x:v>580.1171032930442</x:v>
      </x:c>
      <x:c r="DG110" s="23" t="n">
        <x:v>649.7422988841724</x:v>
      </x:c>
      <x:c r="DH110" s="23" t="n">
        <x:v>0</x:v>
      </x:c>
      <x:c r="DI110" s="23" t="n">
        <x:v>0</x:v>
      </x:c>
      <x:c r="DJ110" s="23" t="n">
        <x:v>751.1451407388911</x:v>
      </x:c>
      <x:c r="DK110" s="23" t="n">
        <x:v>0</x:v>
      </x:c>
      <x:c r="DL110" s="23" t="n">
        <x:v>0</x:v>
      </x:c>
      <x:c r="DM110" s="23" t="n">
        <x:v>0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770.044677734375</x:v>
      </x:c>
      <x:c r="DS110" s="23" t="n">
        <x:v>440.62202755468707</x:v>
      </x:c>
      <x:c r="DT110" s="23" t="n">
        <x:v>0</x:v>
      </x:c>
      <x:c r="DU110" s="23" t="n">
        <x:v>0</x:v>
      </x:c>
      <x:c r="DV110" s="23" t="n">
        <x:v>775.6886393229166</x:v>
      </x:c>
      <x:c r="DW110" s="23" t="n">
        <x:v>797.8260587866512</x:v>
      </x:c>
      <x:c r="DX110" s="23" t="n">
        <x:v>776.5026041666666</x:v>
      </x:c>
      <x:c r="DY110" s="23" t="n">
        <x:v>774.9945475260416</x:v>
      </x:c>
      <x:c r="DZ110" s="23" t="n">
        <x:v>783.7109375</x:v>
      </x:c>
      <x:c r="EA110" s="23" t="n">
        <x:v>774.8412567057294</x:v>
      </x:c>
      <x:c r="EB110" s="23" t="n">
        <x:v>709.6676432291666</x:v>
      </x:c>
      <x:c r="EC110" s="23" t="n">
        <x:v>608.3319498697916</x:v>
      </x:c>
      <x:c r="ED110" s="23" t="n">
        <x:v>1402.55517578125</x:v>
      </x:c>
      <x:c r="EE110" s="23" t="n">
        <x:v>1415.4851888020833</x:v>
      </x:c>
      <x:c r="EF110" s="23" t="n">
        <x:v>885.6260693158434</x:v>
      </x:c>
      <x:c r="EG110" s="23" t="n">
        <x:v>599.1514078776041</x:v>
      </x:c>
      <x:c r="EH110" s="23" t="n">
        <x:v>594.3782552083333</x:v>
      </x:c>
      <x:c r="EI110" s="23" t="n">
        <x:v>586.3631184895833</x:v>
      </x:c>
      <x:c r="EJ110" s="23" t="n">
        <x:v>1411.2227783203125</x:v>
      </x:c>
      <x:c r="EK110" s="23" t="n">
        <x:v>583.10546875</x:v>
      </x:c>
      <x:c r="EL110" s="23" t="n">
        <x:v>1423.263956705729</x:v>
      </x:c>
      <x:c r="EM110" s="23" t="n">
        <x:v>1410.5226236979165</x:v>
      </x:c>
      <x:c r="EN110" s="23" t="n">
        <x:v>1403.0717366536458</x:v>
      </x:c>
      <x:c r="EO110" s="23" t="n">
        <x:v>577.9166666666666</x:v>
      </x:c>
      <x:c r="EP110" s="23" t="n">
        <x:f>SUM(B110:EO110)</x:f>
        <x:v>53586.05045516027</x:v>
      </x:c>
      <x:c r="EQ110" s="23" t="n">
        <x:f>SUMPRODUCT(B110:EO110,{0.4327,0.4445,0.4785,0.4482,0.4165,0.428,0.466,0.4951,0.472,0.383,0.3409,0.3632,0.3679,0.3781,0.419,0.4761,0.4841,0.4418,0.415,0.4282,0.4559,0.4494,0.4238,0.4254,0.4817,0.4929,0.4536,0.4528,0.4534,0.4443,0.4553,0.4448,0.3784,0.3146,0.5554,0.9287,0.9238,0.8043,0.7965,0.8574,0.8249,0.7241,0.7254,0.7289,0.6752,0.6449,0.8227,1.0887,1.1127,1.0361,1.0135,1.0587,1.0597,1.0028,0.974,0.9466,0.9103,0.8903,0.8749,0.8731,0.8969,0.8544,0.8098,0.8959,0.8075,0.5594,0.4895,0.5107,0.5163,0.4998,0.4847,0.4809,0.481,0.4922,0.5074,0.5302,0.668,0.8557,0.9028,0.908,0.9427,0.975,0.9696,0.9451,0.951,0.9469,0.9644,1.0463,0.9212,0.6796,0.6949,0.7223,0.6837,0.7476,0.7738,0.7278,0.7323,0.7911,0.859,0.8879,0.8885,0.8847,0.8966,0.9341,0.983,1.0232,1.0951,1.2012,1.2868,1.2897,1.2434,1.251,1.3073,1.3589,1.353,1.3179,1.2922,1.2968,1.3232,1.3553,1.373,1.3486,1.322,1.3372,1.1872,0.9407,0.8953,0.9175,0.9507,1.0268,0.8044,0.4322,0.4294,0.4703,0.418,0.4605,0.4668,0.4148,0.4236,0.413,0.386,0.4301,0.4375,0.4083})</x:f>
        <x:v>32506.498495093907</x:v>
      </x:c>
    </x:row>
    <x:row r="111" ht="14" customHeight="1">
      <x:c r="A111" s="3">
        <x:v>45798</x:v>
      </x:c>
      <x:c r="B111" s="23" t="n">
        <x:v>571.8822835286458</x:v>
      </x:c>
      <x:c r="C111" s="23" t="n">
        <x:v>573.7257080078125</x:v>
      </x:c>
      <x:c r="D111" s="23" t="n">
        <x:v>585.1064453125</x:v>
      </x:c>
      <x:c r="E111" s="23" t="n">
        <x:v>588.4328206380208</x:v>
      </x:c>
      <x:c r="F111" s="23" t="n">
        <x:v>587.5365397135416</x:v>
      </x:c>
      <x:c r="G111" s="23" t="n">
        <x:v>582.5003662109375</x:v>
      </x:c>
      <x:c r="H111" s="23" t="n">
        <x:v>580.3604736328125</x:v>
      </x:c>
      <x:c r="I111" s="23" t="n">
        <x:v>580.4847412109375</x:v>
      </x:c>
      <x:c r="J111" s="23" t="n">
        <x:v>582.8351643880208</x:v>
      </x:c>
      <x:c r="K111" s="23" t="n">
        <x:v>1005.1100254844253</x:v>
      </x:c>
      <x:c r="L111" s="23" t="n">
        <x:v>597.2693684895833</x:v>
      </x:c>
      <x:c r="M111" s="23" t="n">
        <x:v>596.0526123046875</x:v>
      </x:c>
      <x:c r="N111" s="23" t="n">
        <x:v>591.0275472005208</x:v>
      </x:c>
      <x:c r="O111" s="23" t="n">
        <x:v>592.1456705729166</x:v>
      </x:c>
      <x:c r="P111" s="23" t="n">
        <x:v>598.9291178385416</x:v>
      </x:c>
      <x:c r="Q111" s="23" t="n">
        <x:v>598.7864583333333</x:v>
      </x:c>
      <x:c r="R111" s="23" t="n">
        <x:v>596.0172119140625</x:v>
      </x:c>
      <x:c r="S111" s="23" t="n">
        <x:v>596.365234375</x:v>
      </x:c>
      <x:c r="T111" s="23" t="n">
        <x:v>597.7058512369791</x:v>
      </x:c>
      <x:c r="U111" s="23" t="n">
        <x:v>597.8321940104166</x:v>
      </x:c>
      <x:c r="V111" s="23" t="n">
        <x:v>599.2450764973958</x:v>
      </x:c>
      <x:c r="W111" s="23" t="n">
        <x:v>600.2386881510416</x:v>
      </x:c>
      <x:c r="X111" s="23" t="n">
        <x:v>607.8225504557291</x:v>
      </x:c>
      <x:c r="Y111" s="23" t="n">
        <x:v>609.8699137369791</x:v>
      </x:c>
      <x:c r="Z111" s="23" t="n">
        <x:v>1432.6197509765625</x:v>
      </x:c>
      <x:c r="AA111" s="23" t="n">
        <x:v>1434.0530598958333</x:v>
      </x:c>
      <x:c r="AB111" s="23" t="n">
        <x:v>1431.8843587239583</x:v>
      </x:c>
      <x:c r="AC111" s="23" t="n">
        <x:v>1431.613810221354</x:v>
      </x:c>
      <x:c r="AD111" s="23" t="n">
        <x:v>590.2088712025613</x:v>
      </x:c>
      <x:c r="AE111" s="23" t="n">
        <x:v>602.3084309895833</x:v>
      </x:c>
      <x:c r="AF111" s="23" t="n">
        <x:v>589.3871017366748</x:v>
      </x:c>
      <x:c r="AG111" s="23" t="n">
        <x:v>576.1341967603229</x:v>
      </x:c>
      <x:c r="AH111" s="23" t="n">
        <x:v>538.5429896643998</x:v>
      </x:c>
      <x:c r="AI111" s="23" t="n">
        <x:v>1328.5059387899064</x:v>
      </x:c>
      <x:c r="AJ111" s="23" t="n">
        <x:v>517.3110854425547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0</x:v>
      </x:c>
      <x:c r="BV111" s="23" t="n">
        <x:v>0</x:v>
      </x:c>
      <x:c r="BW111" s="23" t="n">
        <x:v>0</x:v>
      </x:c>
      <x:c r="BX111" s="23" t="n">
        <x:v>0</x:v>
      </x:c>
      <x:c r="BY111" s="23" t="n">
        <x:v>0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0</x:v>
      </x:c>
      <x:c r="CN111" s="23" t="n">
        <x:v>28.117906754976197</x:v>
      </x:c>
      <x:c r="CO111" s="23" t="n">
        <x:v>67.25459112853969</x:v>
      </x:c>
      <x:c r="CP111" s="23" t="n">
        <x:v>118.40190312181508</x:v>
      </x:c>
      <x:c r="CQ111" s="23" t="n">
        <x:v>164.96841834376727</x:v>
      </x:c>
      <x:c r="CR111" s="23" t="n">
        <x:v>217.18550616898418</x:v>
      </x:c>
      <x:c r="CS111" s="23" t="n">
        <x:v>254.46372514725255</x:v>
      </x:c>
      <x:c r="CT111" s="23" t="n">
        <x:v>301.7717645301539</x:v>
      </x:c>
      <x:c r="CU111" s="23" t="n">
        <x:v>352.4885875991725</x:v>
      </x:c>
      <x:c r="CV111" s="23" t="n">
        <x:v>411.4171805236315</x:v>
      </x:c>
      <x:c r="CW111" s="23" t="n">
        <x:v>460.66988756693337</x:v>
      </x:c>
      <x:c r="CX111" s="23" t="n">
        <x:v>502.453086680918</x:v>
      </x:c>
      <x:c r="CY111" s="23" t="n">
        <x:v>546.3447835634929</x:v>
      </x:c>
      <x:c r="CZ111" s="23" t="n">
        <x:v>620.8576234106011</x:v>
      </x:c>
      <x:c r="DA111" s="23" t="n">
        <x:v>678.2574909216265</x:v>
      </x:c>
      <x:c r="DB111" s="23" t="n">
        <x:v>719.2672951277946</x:v>
      </x:c>
      <x:c r="DC111" s="23" t="n">
        <x:v>796.7081062001723</x:v>
      </x:c>
      <x:c r="DD111" s="23" t="n">
        <x:v>789.5793651126766</x:v>
      </x:c>
      <x:c r="DE111" s="23" t="n">
        <x:v>574.3730455073356</x:v>
      </x:c>
      <x:c r="DF111" s="23" t="n">
        <x:v>615.1598400040727</x:v>
      </x:c>
      <x:c r="DG111" s="23" t="n">
        <x:v>672.6258030725226</x:v>
      </x:c>
      <x:c r="DH111" s="23" t="n">
        <x:v>498.38454842121246</x:v>
      </x:c>
      <x:c r="DI111" s="23" t="n">
        <x:v>0</x:v>
      </x:c>
      <x:c r="DJ111" s="23" t="n">
        <x:v>0</x:v>
      </x:c>
      <x:c r="DK111" s="23" t="n">
        <x:v>0</x:v>
      </x:c>
      <x:c r="DL111" s="23" t="n">
        <x:v>763.6119596635679</x:v>
      </x:c>
      <x:c r="DM111" s="23" t="n">
        <x:v>770.7901204427083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0</x:v>
      </x:c>
      <x:c r="DS111" s="23" t="n">
        <x:v>0</x:v>
      </x:c>
      <x:c r="DT111" s="23" t="n">
        <x:v>0</x:v>
      </x:c>
      <x:c r="DU111" s="23" t="n">
        <x:v>0</x:v>
      </x:c>
      <x:c r="DV111" s="23" t="n">
        <x:v>773.4313151041666</x:v>
      </x:c>
      <x:c r="DW111" s="23" t="n">
        <x:v>796.9860241448042</x:v>
      </x:c>
      <x:c r="DX111" s="23" t="n">
        <x:v>761.7420247395833</x:v>
      </x:c>
      <x:c r="DY111" s="23" t="n">
        <x:v>765.2205403645833</x:v>
      </x:c>
      <x:c r="DZ111" s="23" t="n">
        <x:v>781.213134765625</x:v>
      </x:c>
      <x:c r="EA111" s="23" t="n">
        <x:v>772.017109375</x:v>
      </x:c>
      <x:c r="EB111" s="23" t="n">
        <x:v>711.3008626302083</x:v>
      </x:c>
      <x:c r="EC111" s="23" t="n">
        <x:v>596.3578694661458</x:v>
      </x:c>
      <x:c r="ED111" s="23" t="n">
        <x:v>1421.2822265625</x:v>
      </x:c>
      <x:c r="EE111" s="23" t="n">
        <x:v>1429.4809163411458</x:v>
      </x:c>
      <x:c r="EF111" s="23" t="n">
        <x:v>1414.6576334635415</x:v>
      </x:c>
      <x:c r="EG111" s="23" t="n">
        <x:v>1426.3377685546875</x:v>
      </x:c>
      <x:c r="EH111" s="23" t="n">
        <x:v>594.5260823567708</x:v>
      </x:c>
      <x:c r="EI111" s="23" t="n">
        <x:v>593.3166910807291</x:v>
      </x:c>
      <x:c r="EJ111" s="23" t="n">
        <x:v>598.2602132161458</x:v>
      </x:c>
      <x:c r="EK111" s="23" t="n">
        <x:v>590.8247477213541</x:v>
      </x:c>
      <x:c r="EL111" s="23" t="n">
        <x:v>1402.9376220703125</x:v>
      </x:c>
      <x:c r="EM111" s="23" t="n">
        <x:v>580.7733154296875</x:v>
      </x:c>
      <x:c r="EN111" s="23" t="n">
        <x:v>1425.9452311197915</x:v>
      </x:c>
      <x:c r="EO111" s="23" t="n">
        <x:v>878.9716767336997</x:v>
      </x:c>
      <x:c r="EP111" s="23" t="n">
        <x:f>SUM(B111:EO111)</x:f>
        <x:v>54330.58720190296</x:v>
      </x:c>
      <x:c r="EQ111" s="23" t="n">
        <x:f>SUMPRODUCT(B111:EO111,{0.4481,0.4585,0.4298,0.4488,0.4301,0.3803,0.4037,0.4508,0.4585,0.416,0.4103,0.4529,0.4727,0.4664,0.4557,0.4626,0.4844,0.4979,0.4785,0.4485,0.4305,0.4329,0.454,0.4727,0.4653,0.4644,0.4667,0.4394,0.4306,0.4354,0.4065,0.41,0.4001,0.311,0.5334,0.9087,0.8609,0.7815,0.8476,0.8332,0.7566,0.6828,0.6514,0.6729,0.6716,0.5957,0.7837,1.1258,1.1456,1.0753,1.0673,1.0422,1.0455,1.066,1.0331,0.9978,0.9835,0.9672,0.9714,0.9639,0.8885,0.8556,0.9095,0.9529,0.7733,0.4848,0.4345,0.4907,0.5051,0.4592,0.42,0.398,0.3567,0.3714,0.4006,0.3512,0.492,0.7597,0.7986,0.7735,0.7815,0.7516,0.7454,0.7855,0.8342,0.9105,0.9953,1.0122,0.876,0.686,0.6545,0.7037,0.7541,0.7885,0.7521,0.708,0.7803,0.8346,0.8223,0.8289,0.8659,0.931,1.0101,1.0217,0.9753,0.9778,1.0915,1.2429,1.2878,1.2868,1.2996,1.3171,1.2754,1.2193,1.2619,1.3079,1.3098,1.3122,1.3188,1.3108,1.2753,1.2666,1.3124,1.3612,1.2338,1.0075,0.9466,0.9218,0.9211,1.0272,0.8492,0.4601,0.3574,0.4035,0.4428,0.4638,0.4484,0.4276,0.4563,0.4724,0.4604,0.463,0.4533,0.4238})</x:f>
        <x:v>33488.5063442728</x:v>
      </x:c>
    </x:row>
    <x:row r="112" ht="14" customHeight="1">
      <x:c r="A112" s="3">
        <x:v>45799</x:v>
      </x:c>
      <x:c r="B112" s="23" t="n">
        <x:v>573.0686442057291</x:v>
      </x:c>
      <x:c r="C112" s="23" t="n">
        <x:v>574.9901529947916</x:v>
      </x:c>
      <x:c r="D112" s="23" t="n">
        <x:v>588.9488525390625</x:v>
      </x:c>
      <x:c r="E112" s="23" t="n">
        <x:v>582.0501708984375</x:v>
      </x:c>
      <x:c r="F112" s="23" t="n">
        <x:v>1412.6349283854165</x:v>
      </x:c>
      <x:c r="G112" s="23" t="n">
        <x:v>577.489013671875</x:v>
      </x:c>
      <x:c r="H112" s="23" t="n">
        <x:v>578.5464274088541</x:v>
      </x:c>
      <x:c r="I112" s="23" t="n">
        <x:v>1413.3555908203125</x:v>
      </x:c>
      <x:c r="J112" s="23" t="n">
        <x:v>1416.1298421223958</x:v>
      </x:c>
      <x:c r="K112" s="23" t="n">
        <x:v>1415.3519694010415</x:v>
      </x:c>
      <x:c r="L112" s="23" t="n">
        <x:v>592.4053548177083</x:v>
      </x:c>
      <x:c r="M112" s="23" t="n">
        <x:v>594.0495198567708</x:v>
      </x:c>
      <x:c r="N112" s="23" t="n">
        <x:v>597.7620849609375</x:v>
      </x:c>
      <x:c r="O112" s="23" t="n">
        <x:v>593.8538004557291</x:v>
      </x:c>
      <x:c r="P112" s="23" t="n">
        <x:v>594.8297526041666</x:v>
      </x:c>
      <x:c r="Q112" s="23" t="n">
        <x:v>600.0262044270833</x:v>
      </x:c>
      <x:c r="R112" s="23" t="n">
        <x:v>600.6864013671875</x:v>
      </x:c>
      <x:c r="S112" s="23" t="n">
        <x:v>596.7204996744791</x:v>
      </x:c>
      <x:c r="T112" s="23" t="n">
        <x:v>844.7493788342808</x:v>
      </x:c>
      <x:c r="U112" s="23" t="n">
        <x:v>596.4534912109375</x:v>
      </x:c>
      <x:c r="V112" s="23" t="n">
        <x:v>597.9921468098958</x:v>
      </x:c>
      <x:c r="W112" s="23" t="n">
        <x:v>598.3409423828125</x:v>
      </x:c>
      <x:c r="X112" s="23" t="n">
        <x:v>598.1384684244791</x:v>
      </x:c>
      <x:c r="Y112" s="23" t="n">
        <x:v>599.5515950520833</x:v>
      </x:c>
      <x:c r="Z112" s="23" t="n">
        <x:v>594.5478515625</x:v>
      </x:c>
      <x:c r="AA112" s="23" t="n">
        <x:v>591.6292317708333</x:v>
      </x:c>
      <x:c r="AB112" s="23" t="n">
        <x:v>594.9383138020833</x:v>
      </x:c>
      <x:c r="AC112" s="23" t="n">
        <x:v>593.2180582682291</x:v>
      </x:c>
      <x:c r="AD112" s="23" t="n">
        <x:v>593.11523089104</x:v>
      </x:c>
      <x:c r="AE112" s="23" t="n">
        <x:v>607.9351399739583</x:v>
      </x:c>
      <x:c r="AF112" s="23" t="n">
        <x:v>589.7426857643778</x:v>
      </x:c>
      <x:c r="AG112" s="23" t="n">
        <x:v>575.3272628375325</x:v>
      </x:c>
      <x:c r="AH112" s="23" t="n">
        <x:v>539.8975643612464</x:v>
      </x:c>
      <x:c r="AI112" s="23" t="n">
        <x:v>1306.9569448752518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16.15803378791467</x:v>
      </x:c>
      <x:c r="CN112" s="23" t="n">
        <x:v>52.277178078827696</x:v>
      </x:c>
      <x:c r="CO112" s="23" t="n">
        <x:v>98.4906713303491</x:v>
      </x:c>
      <x:c r="CP112" s="23" t="n">
        <x:v>147.5930219273173</x:v>
      </x:c>
      <x:c r="CQ112" s="23" t="n">
        <x:v>193.95351663447218</x:v>
      </x:c>
      <x:c r="CR112" s="23" t="n">
        <x:v>240.21171168094952</x:v>
      </x:c>
      <x:c r="CS112" s="23" t="n">
        <x:v>279.6593788301634</x:v>
      </x:c>
      <x:c r="CT112" s="23" t="n">
        <x:v>315.9578082315823</x:v>
      </x:c>
      <x:c r="CU112" s="23" t="n">
        <x:v>372.51630438839913</x:v>
      </x:c>
      <x:c r="CV112" s="23" t="n">
        <x:v>422.94303346322477</x:v>
      </x:c>
      <x:c r="CW112" s="23" t="n">
        <x:v>472.0401880523703</x:v>
      </x:c>
      <x:c r="CX112" s="23" t="n">
        <x:v>511.0788311610595</x:v>
      </x:c>
      <x:c r="CY112" s="23" t="n">
        <x:v>561.1674627333642</x:v>
      </x:c>
      <x:c r="CZ112" s="23" t="n">
        <x:v>617.2499597899364</x:v>
      </x:c>
      <x:c r="DA112" s="23" t="n">
        <x:v>667.0548431662482</x:v>
      </x:c>
      <x:c r="DB112" s="23" t="n">
        <x:v>709.9295499049961</x:v>
      </x:c>
      <x:c r="DC112" s="23" t="n">
        <x:v>793.2170637445074</x:v>
      </x:c>
      <x:c r="DD112" s="23" t="n">
        <x:v>732.3310980597037</x:v>
      </x:c>
      <x:c r="DE112" s="23" t="n">
        <x:v>594.5442345756129</x:v>
      </x:c>
      <x:c r="DF112" s="23" t="n">
        <x:v>586.3491592769725</x:v>
      </x:c>
      <x:c r="DG112" s="23" t="n">
        <x:v>634.248518764766</x:v>
      </x:c>
      <x:c r="DH112" s="23" t="n">
        <x:v>667.289203926787</x:v>
      </x:c>
      <x:c r="DI112" s="23" t="n">
        <x:v>0</x:v>
      </x:c>
      <x:c r="DJ112" s="23" t="n">
        <x:v>0</x:v>
      </x:c>
      <x:c r="DK112" s="23" t="n">
        <x:v>0</x:v>
      </x:c>
      <x:c r="DL112" s="23" t="n">
        <x:v>0</x:v>
      </x:c>
      <x:c r="DM112" s="23" t="n">
        <x:v>754.7151692708333</x:v>
      </x:c>
      <x:c r="DN112" s="23" t="n">
        <x:v>0</x:v>
      </x:c>
      <x:c r="DO112" s="23" t="n">
        <x:v>0</x:v>
      </x:c>
      <x:c r="DP112" s="23" t="n">
        <x:v>536.6223477047874</x:v>
      </x:c>
      <x:c r="DQ112" s="23" t="n">
        <x:v>0</x:v>
      </x:c>
      <x:c r="DR112" s="23" t="n">
        <x:v>0</x:v>
      </x:c>
      <x:c r="DS112" s="23" t="n">
        <x:v>1.6586861979167224</x:v>
      </x:c>
      <x:c r="DT112" s="23" t="n">
        <x:v>0</x:v>
      </x:c>
      <x:c r="DU112" s="23" t="n">
        <x:v>0</x:v>
      </x:c>
      <x:c r="DV112" s="23" t="n">
        <x:v>773.9549967447916</x:v>
      </x:c>
      <x:c r="DW112" s="23" t="n">
        <x:v>776.3802144820602</x:v>
      </x:c>
      <x:c r="DX112" s="23" t="n">
        <x:v>792.7732680282277</x:v>
      </x:c>
      <x:c r="DY112" s="23" t="n">
        <x:v>779.717041015625</x:v>
      </x:c>
      <x:c r="DZ112" s="23" t="n">
        <x:v>774.4419759114583</x:v>
      </x:c>
      <x:c r="EA112" s="23" t="n">
        <x:v>798.172138671875</x:v>
      </x:c>
      <x:c r="EB112" s="23" t="n">
        <x:v>742.2342936197916</x:v>
      </x:c>
      <x:c r="EC112" s="23" t="n">
        <x:v>605.53271484375</x:v>
      </x:c>
      <x:c r="ED112" s="23" t="n">
        <x:v>1407.943400065104</x:v>
      </x:c>
      <x:c r="EE112" s="23" t="n">
        <x:v>1419.0977783203125</x:v>
      </x:c>
      <x:c r="EF112" s="23" t="n">
        <x:v>598.6502278645833</x:v>
      </x:c>
      <x:c r="EG112" s="23" t="n">
        <x:v>882.858680314429</x:v>
      </x:c>
      <x:c r="EH112" s="23" t="n">
        <x:v>580.4418538411458</x:v>
      </x:c>
      <x:c r="EI112" s="23" t="n">
        <x:v>569.5125732421875</x:v>
      </x:c>
      <x:c r="EJ112" s="23" t="n">
        <x:v>1410.822509765625</x:v>
      </x:c>
      <x:c r="EK112" s="23" t="n">
        <x:v>1419.4361165364583</x:v>
      </x:c>
      <x:c r="EL112" s="23" t="n">
        <x:v>1422.1881510416665</x:v>
      </x:c>
      <x:c r="EM112" s="23" t="n">
        <x:v>598.6638997395833</x:v>
      </x:c>
      <x:c r="EN112" s="23" t="n">
        <x:v>563.0164388020833</x:v>
      </x:c>
      <x:c r="EO112" s="23" t="n">
        <x:v>1276.1241455078125</x:v>
      </x:c>
      <x:c r="EP112" s="23" t="n">
        <x:f>SUM(B112:EO112)</x:f>
        <x:v>53496.65291047516</x:v>
      </x:c>
      <x:c r="EQ112" s="23" t="n">
        <x:f>SUMPRODUCT(B112:EO112,{0.3986,0.382,0.3896,0.4339,0.4523,0.4417,0.4556,0.4602,0.4362,0.4068,0.4119,0.4403,0.4452,0.4528,0.4604,0.4358,0.4208,0.4441,0.4871,0.4774,0.4242,0.4099,0.4303,0.4515,0.445,0.4318,0.4437,0.4869,0.4748,0.4137,0.402,0.4383,0.4286,0.3239,0.4958,0.8546,0.914,0.858,0.8333,0.7973,0.7894,0.7871,0.7284,0.7241,0.7206,0.6003,0.7952,1.1835,1.1748,1.0635,1.0522,1.0429,1.016,0.9847,0.963,0.9316,0.8887,0.8639,0.9031,0.9637,0.9492,0.9121,0.9041,0.8951,0.701,0.4607,0.5067,0.519,0.4278,0.4718,0.4674,0.4079,0.4778,0.4858,0.3945,0.3985,0.6053,0.847,0.8357,0.7997,0.8385,0.8346,0.8374,0.8893,0.9618,0.9596,0.9244,0.9625,0.8417,0.6198,0.6105,0.6562,0.6678,0.7147,0.7395,0.7292,0.7389,0.7803,0.8384,0.8873,0.9203,0.9273,0.9118,0.9587,1.0098,0.9454,1.0369,1.2648,1.3196,1.2893,1.2767,1.2898,1.3135,1.3196,1.2956,1.318,1.3576,1.3092,1.2702,1.2751,1.2668,1.2773,1.3124,1.3153,1.1882,0.9922,0.9041,0.8881,0.9248,0.995,0.8162,0.5022,0.4693,0.5024,0.4738,0.4745,0.4729,0.4535,0.4457,0.4594,0.4605,0.4033,0.3477,0.3305})</x:f>
        <x:v>32737.597680598457</x:v>
      </x:c>
    </x:row>
    <x:row r="113" ht="14" customHeight="1">
      <x:c r="A113" s="3">
        <x:v>45800</x:v>
      </x:c>
      <x:c r="B113" s="23" t="n">
        <x:v>420.36210123697913</x:v>
      </x:c>
      <x:c r="C113" s="23" t="n">
        <x:v>405.1745198567708</x:v>
      </x:c>
      <x:c r="D113" s="23" t="n">
        <x:v>0</x:v>
      </x:c>
      <x:c r="E113" s="23" t="n">
        <x:v>0</x:v>
      </x:c>
      <x:c r="F113" s="23" t="n">
        <x:v>423.7111409505208</x:v>
      </x:c>
      <x:c r="G113" s="23" t="n">
        <x:v>0</x:v>
      </x:c>
      <x:c r="H113" s="23" t="n">
        <x:v>47.91839110669548</x:v>
      </x:c>
      <x:c r="I113" s="23" t="n">
        <x:v>419.73588053385413</x:v>
      </x:c>
      <x:c r="J113" s="23" t="n">
        <x:v>425.4093017578125</x:v>
      </x:c>
      <x:c r="K113" s="23" t="n">
        <x:v>432.0223388671875</x:v>
      </x:c>
      <x:c r="L113" s="23" t="n">
        <x:v>435.83866373697913</x:v>
      </x:c>
      <x:c r="M113" s="23" t="n">
        <x:v>432.2667236328125</x:v>
      </x:c>
      <x:c r="N113" s="23" t="n">
        <x:v>432.5050862630208</x:v>
      </x:c>
      <x:c r="O113" s="23" t="n">
        <x:v>435.73929850260413</x:v>
      </x:c>
      <x:c r="P113" s="23" t="n">
        <x:v>438.8441975911458</x:v>
      </x:c>
      <x:c r="Q113" s="23" t="n">
        <x:v>0</x:v>
      </x:c>
      <x:c r="R113" s="23" t="n">
        <x:v>442.4818115234375</x:v>
      </x:c>
      <x:c r="S113" s="23" t="n">
        <x:v>449.2069091796875</x:v>
      </x:c>
      <x:c r="T113" s="23" t="n">
        <x:v>442.17631022135413</x:v>
      </x:c>
      <x:c r="U113" s="23" t="n">
        <x:v>434.8755696614583</x:v>
      </x:c>
      <x:c r="V113" s="23" t="n">
        <x:v>436.932373046875</x:v>
      </x:c>
      <x:c r="W113" s="23" t="n">
        <x:v>441.5844319661458</x:v>
      </x:c>
      <x:c r="X113" s="23" t="n">
        <x:v>0</x:v>
      </x:c>
      <x:c r="Y113" s="23" t="n">
        <x:v>0</x:v>
      </x:c>
      <x:c r="Z113" s="23" t="n">
        <x:v>444.3326416015625</x:v>
      </x:c>
      <x:c r="AA113" s="23" t="n">
        <x:v>441.1415608723958</x:v>
      </x:c>
      <x:c r="AB113" s="23" t="n">
        <x:v>443.8577880859375</x:v>
      </x:c>
      <x:c r="AC113" s="23" t="n">
        <x:v>442.7223908482498</x:v>
      </x:c>
      <x:c r="AD113" s="23" t="n">
        <x:v>442.4538533396222</x:v>
      </x:c>
      <x:c r="AE113" s="23" t="n">
        <x:v>441.83133951822913</x:v>
      </x:c>
      <x:c r="AF113" s="23" t="n">
        <x:v>0</x:v>
      </x:c>
      <x:c r="AG113" s="23" t="n">
        <x:v>0</x:v>
      </x:c>
      <x:c r="AH113" s="23" t="n">
        <x:v>387.5311930686601</x:v>
      </x:c>
      <x:c r="AI113" s="23" t="n">
        <x:v>1172.5153835463097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0</x:v>
      </x:c>
      <x:c r="CW113" s="23" t="n">
        <x:v>16.470306836337233</x:v>
      </x:c>
      <x:c r="CX113" s="23" t="n">
        <x:v>28.388056395597307</x:v>
      </x:c>
      <x:c r="CY113" s="23" t="n">
        <x:v>18.43868863557524</x:v>
      </x:c>
      <x:c r="CZ113" s="23" t="n">
        <x:v>72.26587358089583</x:v>
      </x:c>
      <x:c r="DA113" s="23" t="n">
        <x:v>134.05844647247287</x:v>
      </x:c>
      <x:c r="DB113" s="23" t="n">
        <x:v>152.969008570776</x:v>
      </x:c>
      <x:c r="DC113" s="23" t="n">
        <x:v>230.58495226953238</x:v>
      </x:c>
      <x:c r="DD113" s="23" t="n">
        <x:v>236.24775964240146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0</x:v>
      </x:c>
      <x:c r="DW113" s="23" t="n">
        <x:v>514.8609619140625</x:v>
      </x:c>
      <x:c r="DX113" s="23" t="n">
        <x:v>547.7867024739583</x:v>
      </x:c>
      <x:c r="DY113" s="23" t="n">
        <x:v>560.54052734375</x:v>
      </x:c>
      <x:c r="DZ113" s="23" t="n">
        <x:v>543.8804117838541</x:v>
      </x:c>
      <x:c r="EA113" s="23" t="n">
        <x:v>345.7666660110908</x:v>
      </x:c>
      <x:c r="EB113" s="23" t="n">
        <x:v>506.7368977864583</x:v>
      </x:c>
      <x:c r="EC113" s="23" t="n">
        <x:v>431.0181477864583</x:v>
      </x:c>
      <x:c r="ED113" s="23" t="n">
        <x:v>1258.81884765625</x:v>
      </x:c>
      <x:c r="EE113" s="23" t="n">
        <x:v>1272.5281575520833</x:v>
      </x:c>
      <x:c r="EF113" s="23" t="n">
        <x:v>444.5688069661458</x:v>
      </x:c>
      <x:c r="EG113" s="23" t="n">
        <x:v>1269.9677734375</x:v>
      </x:c>
      <x:c r="EH113" s="23" t="n">
        <x:v>1270.1544596354165</x:v>
      </x:c>
      <x:c r="EI113" s="23" t="n">
        <x:v>443.400146484375</x:v>
      </x:c>
      <x:c r="EJ113" s="23" t="n">
        <x:v>440.0944417317708</x:v>
      </x:c>
      <x:c r="EK113" s="23" t="n">
        <x:v>435.6296793619797</x:v>
      </x:c>
      <x:c r="EL113" s="23" t="n">
        <x:v>730.7338167116766</x:v>
      </x:c>
      <x:c r="EM113" s="23" t="n">
        <x:v>451.45853678385413</x:v>
      </x:c>
      <x:c r="EN113" s="23" t="n">
        <x:v>1287.8043212890625</x:v>
      </x:c>
      <x:c r="EO113" s="23" t="n">
        <x:v>1265.2821044921875</x:v>
      </x:c>
      <x:c r="EP113" s="23" t="n">
        <x:f>SUM(B113:EO113)</x:f>
        <x:v>26523.62570012183</x:v>
      </x:c>
      <x:c r="EQ113" s="23" t="n">
        <x:f>SUMPRODUCT(B113:EO113,{0.3369,0.3425,0.3371,0.3271,0.325,0.3585,0.4292,0.3876,0.2821,0.3139,0.3614,0.3618,0.3771,0.4,0.407,0.3861,0.362,0.3423,0.32,0.3316,0.3678,0.3787,0.3827,0.3925,0.3937,0.36,0.3224,0.3429,0.3707,0.3513,0.286,0.2884,0.3108,0.2345,0.3936,0.6934,0.6745,0.585,0.5924,0.6145,0.6217,0.5859,0.499,0.4826,0.5023,0.4345,0.5332,0.7539,0.7728,0.7246,0.7022,0.6634,0.6662,0.7087,0.7176,0.6849,0.6604,0.6948,0.6848,0.6158,0.5785,0.5765,0.5894,0.5723,0.3986,0.1863,0.2013,0.2478,0.2077,0.1593,0.1804,0.2255,0.1868,0.1842,0.2136,0.1864,0.3827,0.705,0.7386,0.6768,0.6497,0.5987,0.5867,0.6189,0.6276,0.6152,0.6502,0.7565,0.6126,0.3415,0.3977,0.4536,0.4063,0.4829,0.5346,0.5142,0.5348,0.5533,0.5622,0.6005,0.5909,0.5579,0.6051,0.6278,0.5853,0.5743,0.7589,1.0287,1.0913,1.0823,1.1218,1.1837,1.1688,1.1142,1.1529,1.188,1.1655,1.1313,1.1253,1.1429,1.1461,1.1319,1.1373,1.171,1.0245,0.802,0.8207,0.7987,0.7276,0.8414,0.6682,0.2945,0.3062,0.3487,0.292,0.3655,0.3792,0.3089,0.3334,0.3496,0.3204,0.3241,0.3417,0.3441})</x:f>
        <x:v>10582.887376243221</x:v>
      </x:c>
    </x:row>
    <x:row r="114" ht="14" customHeight="1">
      <x:c r="A114" s="3">
        <x:v>45801</x:v>
      </x:c>
      <x:c r="B114" s="23" t="n">
        <x:v>414.06644694010413</x:v>
      </x:c>
      <x:c r="C114" s="23" t="n">
        <x:v>412.30008951822913</x:v>
      </x:c>
      <x:c r="D114" s="23" t="n">
        <x:v>0</x:v>
      </x:c>
      <x:c r="E114" s="23" t="n">
        <x:v>432.0091145833333</x:v>
      </x:c>
      <x:c r="F114" s="23" t="n">
        <x:v>430.512939453125</x:v>
      </x:c>
      <x:c r="G114" s="23" t="n">
        <x:v>417.50040690104163</x:v>
      </x:c>
      <x:c r="H114" s="23" t="n">
        <x:v>425.60660807291663</x:v>
      </x:c>
      <x:c r="I114" s="23" t="n">
        <x:v>431.55143229166663</x:v>
      </x:c>
      <x:c r="J114" s="23" t="n">
        <x:v>424.72049967447913</x:v>
      </x:c>
      <x:c r="K114" s="23" t="n">
        <x:v>426.08500162760413</x:v>
      </x:c>
      <x:c r="L114" s="23" t="n">
        <x:v>0</x:v>
      </x:c>
      <x:c r="M114" s="23" t="n">
        <x:v>0</x:v>
      </x:c>
      <x:c r="N114" s="23" t="n">
        <x:v>0</x:v>
      </x:c>
      <x:c r="O114" s="23" t="n">
        <x:v>3.0064552194260914</x:v>
      </x:c>
      <x:c r="P114" s="23" t="n">
        <x:v>0</x:v>
      </x:c>
      <x:c r="Q114" s="23" t="n">
        <x:v>436.85245768229163</x:v>
      </x:c>
      <x:c r="R114" s="23" t="n">
        <x:v>433.4997151692708</x:v>
      </x:c>
      <x:c r="S114" s="23" t="n">
        <x:v>440.7591145833333</x:v>
      </x:c>
      <x:c r="T114" s="23" t="n">
        <x:v>444.3377278645833</x:v>
      </x:c>
      <x:c r="U114" s="23" t="n">
        <x:v>443.071044921875</x:v>
      </x:c>
      <x:c r="V114" s="23" t="n">
        <x:v>0</x:v>
      </x:c>
      <x:c r="W114" s="23" t="n">
        <x:v>447.8492431640625</x:v>
      </x:c>
      <x:c r="X114" s="23" t="n">
        <x:v>443.553955078125</x:v>
      </x:c>
      <x:c r="Y114" s="23" t="n">
        <x:v>446.10380045572913</x:v>
      </x:c>
      <x:c r="Z114" s="23" t="n">
        <x:v>446.8261311848958</x:v>
      </x:c>
      <x:c r="AA114" s="23" t="n">
        <x:v>442.84611002604163</x:v>
      </x:c>
      <x:c r="AB114" s="23" t="n">
        <x:v>437.42142740885413</x:v>
      </x:c>
      <x:c r="AC114" s="23" t="n">
        <x:v>439.383617958187</x:v>
      </x:c>
      <x:c r="AD114" s="23" t="n">
        <x:v>0</x:v>
      </x:c>
      <x:c r="AE114" s="23" t="n">
        <x:v>443.0762532552083</x:v>
      </x:c>
      <x:c r="AF114" s="23" t="n">
        <x:v>420.9668501627591</x:v>
      </x:c>
      <x:c r="AG114" s="23" t="n">
        <x:v>410.1861486455068</x:v>
      </x:c>
      <x:c r="AH114" s="23" t="n">
        <x:v>0</x:v>
      </x:c>
      <x:c r="AI114" s="23" t="n">
        <x:v>1174.016677748893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0</x:v>
      </x:c>
      <x:c r="CW114" s="23" t="n">
        <x:v>83.31027018483451</x:v>
      </x:c>
      <x:c r="CX114" s="23" t="n">
        <x:v>86.62904218671929</x:v>
      </x:c>
      <x:c r="CY114" s="23" t="n">
        <x:v>37.88324064778226</x:v>
      </x:c>
      <x:c r="CZ114" s="23" t="n">
        <x:v>33.2334538208692</x:v>
      </x:c>
      <x:c r="DA114" s="23" t="n">
        <x:v>81.10082692335595</x:v>
      </x:c>
      <x:c r="DB114" s="23" t="n">
        <x:v>136.34332585440873</x:v>
      </x:c>
      <x:c r="DC114" s="23" t="n">
        <x:v>205.13227178579874</x:v>
      </x:c>
      <x:c r="DD114" s="23" t="n">
        <x:v>233.78977817624016</x:v>
      </x:c>
      <x:c r="DE114" s="23" t="n">
        <x:v>0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121.96728945736739</x:v>
      </x:c>
      <x:c r="DW114" s="23" t="n">
        <x:v>546.0476888020833</x:v>
      </x:c>
      <x:c r="DX114" s="23" t="n">
        <x:v>526.7046305338541</x:v>
      </x:c>
      <x:c r="DY114" s="23" t="n">
        <x:v>526.9927978515625</x:v>
      </x:c>
      <x:c r="DZ114" s="23" t="n">
        <x:v>551.3944498697916</x:v>
      </x:c>
      <x:c r="EA114" s="23" t="n">
        <x:v>517.078175455729</x:v>
      </x:c>
      <x:c r="EB114" s="23" t="n">
        <x:v>484.93729654947913</x:v>
      </x:c>
      <x:c r="EC114" s="23" t="n">
        <x:v>442.88553879726084</x:v>
      </x:c>
      <x:c r="ED114" s="23" t="n">
        <x:v>1254.2793782552083</x:v>
      </x:c>
      <x:c r="EE114" s="23" t="n">
        <x:v>1278.195353190104</x:v>
      </x:c>
      <x:c r="EF114" s="23" t="n">
        <x:v>1285.8460286458333</x:v>
      </x:c>
      <x:c r="EG114" s="23" t="n">
        <x:v>1275.5438639322915</x:v>
      </x:c>
      <x:c r="EH114" s="23" t="n">
        <x:v>448.8409423828125</x:v>
      </x:c>
      <x:c r="EI114" s="23" t="n">
        <x:v>447.13578287760413</x:v>
      </x:c>
      <x:c r="EJ114" s="23" t="n">
        <x:v>1268.2786865234375</x:v>
      </x:c>
      <x:c r="EK114" s="23" t="n">
        <x:v>738.4562555660046</x:v>
      </x:c>
      <x:c r="EL114" s="23" t="n">
        <x:v>429.19816080729163</x:v>
      </x:c>
      <x:c r="EM114" s="23" t="n">
        <x:v>1253.6551920572915</x:v>
      </x:c>
      <x:c r="EN114" s="23" t="n">
        <x:v>441.07279459635413</x:v>
      </x:c>
      <x:c r="EO114" s="23" t="n">
        <x:v>582.3084309895833</x:v>
      </x:c>
      <x:c r="EP114" s="23" t="n">
        <x:f>SUM(B114:EO114)</x:f>
        <x:v>26886.350216312498</x:v>
      </x:c>
      <x:c r="EQ114" s="23" t="n">
        <x:f>SUMPRODUCT(B114:EO114,{0.331,0.3491,0.3771,0.3509,0.3501,0.375,0.3507,0.36,0.3951,0.3669,0.378,0.4202,0.3772,0.3387,0.3565,0.3887,0.3852,0.3622,0.3728,0.3534,0.3179,0.3462,0.359,0.3428,0.3579,0.3353,0.2933,0.3271,0.3613,0.3552,0.3435,0.3463,0.3167,0.2293,0.3734,0.6628,0.6942,0.6104,0.5624,0.5662,0.6244,0.6486,0.5391,0.496,0.5168,0.4433,0.5876,0.86,0.8226,0.7241,0.7145,0.7069,0.7607,0.8221,0.755,0.6985,0.7037,0.6867,0.6573,0.6359,0.6199,0.5756,0.5562,0.6171,0.465,0.1809,0.1577,0.1963,0.1795,0.1898,0.1719,0.1275,0.1324,0.1786,0.1923,0.1396,0.3012,0.5675,0.54,0.5258,0.5927,0.504,0.478,0.5682,0.5984,0.6053,0.6645,0.7647,0.6347,0.3701,0.3547,0.4083,0.3938,0.3697,0.4163,0.4912,0.4817,0.4914,0.5466,0.5646,0.5557,0.5393,0.5336,0.6066,0.6818,0.6382,0.7835,1.0582,1.0791,1.0592,1.1151,1.1357,1.1072,1.0864,1.136,1.1722,1.1632,1.1557,1.1561,1.1527,1.1364,1.1354,1.1618,1.1755,1.0402,0.8457,0.8299,0.8344,0.8293,0.8994,0.6915,0.3203,0.2896,0.3532,0.3494,0.3652,0.3727,0.3505,0.3195,0.3143,0.3194,0.2983,0.3347,0.4219})</x:f>
        <x:v>10999.241263677819</x:v>
      </x:c>
    </x:row>
    <x:row r="115" ht="14" customHeight="1">
      <x:c r="A115" s="3">
        <x:v>45802</x:v>
      </x:c>
      <x:c r="B115" s="23" t="n">
        <x:v>593.2978108723958</x:v>
      </x:c>
      <x:c r="C115" s="23" t="n">
        <x:v>563.497314453125</x:v>
      </x:c>
      <x:c r="D115" s="23" t="n">
        <x:v>588.5710856119791</x:v>
      </x:c>
      <x:c r="E115" s="23" t="n">
        <x:v>590.7744954427083</x:v>
      </x:c>
      <x:c r="F115" s="23" t="n">
        <x:v>1228.504137267376</x:v>
      </x:c>
      <x:c r="G115" s="23" t="n">
        <x:v>588.345458984375</x:v>
      </x:c>
      <x:c r="H115" s="23" t="n">
        <x:v>585.9479573567708</x:v>
      </x:c>
      <x:c r="I115" s="23" t="n">
        <x:v>581.4800618489583</x:v>
      </x:c>
      <x:c r="J115" s="23" t="n">
        <x:v>1422.2041015625</x:v>
      </x:c>
      <x:c r="K115" s="23" t="n">
        <x:v>598.5265706380208</x:v>
      </x:c>
      <x:c r="L115" s="23" t="n">
        <x:v>596.3841552734375</x:v>
      </x:c>
      <x:c r="M115" s="23" t="n">
        <x:v>594.969970703125</x:v>
      </x:c>
      <x:c r="N115" s="23" t="n">
        <x:v>594.4781087239583</x:v>
      </x:c>
      <x:c r="O115" s="23" t="n">
        <x:v>602.3306884765625</x:v>
      </x:c>
      <x:c r="P115" s="23" t="n">
        <x:v>1438.582275390625</x:v>
      </x:c>
      <x:c r="Q115" s="23" t="n">
        <x:v>604.55224609375</x:v>
      </x:c>
      <x:c r="R115" s="23" t="n">
        <x:v>594.7220458984375</x:v>
      </x:c>
      <x:c r="S115" s="23" t="n">
        <x:v>594.397705078125</x:v>
      </x:c>
      <x:c r="T115" s="23" t="n">
        <x:v>600.2762044270833</x:v>
      </x:c>
      <x:c r="U115" s="23" t="n">
        <x:v>596.2955322265625</x:v>
      </x:c>
      <x:c r="V115" s="23" t="n">
        <x:v>591.6606038411458</x:v>
      </x:c>
      <x:c r="W115" s="23" t="n">
        <x:v>600.0791829427083</x:v>
      </x:c>
      <x:c r="X115" s="23" t="n">
        <x:v>604.389404296875</x:v>
      </x:c>
      <x:c r="Y115" s="23" t="n">
        <x:v>610.9324544270833</x:v>
      </x:c>
      <x:c r="Z115" s="23" t="n">
        <x:v>607.32275390625</x:v>
      </x:c>
      <x:c r="AA115" s="23" t="n">
        <x:v>607.0295817057291</x:v>
      </x:c>
      <x:c r="AB115" s="23" t="n">
        <x:v>608.6927897135416</x:v>
      </x:c>
      <x:c r="AC115" s="23" t="n">
        <x:v>596.1382560138702</x:v>
      </x:c>
      <x:c r="AD115" s="23" t="n">
        <x:v>594.8115467712763</x:v>
      </x:c>
      <x:c r="AE115" s="23" t="n">
        <x:v>611.4177652994791</x:v>
      </x:c>
      <x:c r="AF115" s="23" t="n">
        <x:v>595.837177197957</x:v>
      </x:c>
      <x:c r="AG115" s="23" t="n">
        <x:v>569.7223655951202</x:v>
      </x:c>
      <x:c r="AH115" s="23" t="n">
        <x:v>526.6679601134448</x:v>
      </x:c>
      <x:c r="AI115" s="23" t="n">
        <x:v>1317.2711028183312</x:v>
      </x:c>
      <x:c r="AJ115" s="23" t="n">
        <x:v>498.15635224135656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25.460252533691346</x:v>
      </x:c>
      <x:c r="CN115" s="23" t="n">
        <x:v>48.46759229507552</x:v>
      </x:c>
      <x:c r="CO115" s="23" t="n">
        <x:v>77.4934151558</x:v>
      </x:c>
      <x:c r="CP115" s="23" t="n">
        <x:v>133.7498621411743</x:v>
      </x:c>
      <x:c r="CQ115" s="23" t="n">
        <x:v>175.09683529028143</x:v>
      </x:c>
      <x:c r="CR115" s="23" t="n">
        <x:v>214.23525163013602</x:v>
      </x:c>
      <x:c r="CS115" s="23" t="n">
        <x:v>252.346244868632</x:v>
      </x:c>
      <x:c r="CT115" s="23" t="n">
        <x:v>292.34905851926663</x:v>
      </x:c>
      <x:c r="CU115" s="23" t="n">
        <x:v>342.2219425964975</x:v>
      </x:c>
      <x:c r="CV115" s="23" t="n">
        <x:v>404.3184293099385</x:v>
      </x:c>
      <x:c r="CW115" s="23" t="n">
        <x:v>446.2849822093267</x:v>
      </x:c>
      <x:c r="CX115" s="23" t="n">
        <x:v>480.19398170665</x:v>
      </x:c>
      <x:c r="CY115" s="23" t="n">
        <x:v>542.0527983507948</x:v>
      </x:c>
      <x:c r="CZ115" s="23" t="n">
        <x:v>590.7865922223551</x:v>
      </x:c>
      <x:c r="DA115" s="23" t="n">
        <x:v>639.9246965263826</x:v>
      </x:c>
      <x:c r="DB115" s="23" t="n">
        <x:v>692.4865995564189</x:v>
      </x:c>
      <x:c r="DC115" s="23" t="n">
        <x:v>779.9845227240974</x:v>
      </x:c>
      <x:c r="DD115" s="23" t="n">
        <x:v>725.5580420917024</x:v>
      </x:c>
      <x:c r="DE115" s="23" t="n">
        <x:v>554.03848484158</x:v>
      </x:c>
      <x:c r="DF115" s="23" t="n">
        <x:v>598.9339091696793</x:v>
      </x:c>
      <x:c r="DG115" s="23" t="n">
        <x:v>711.5612187081399</x:v>
      </x:c>
      <x:c r="DH115" s="23" t="n">
        <x:v>0</x:v>
      </x:c>
      <x:c r="DI115" s="23" t="n">
        <x:v>0</x:v>
      </x:c>
      <x:c r="DJ115" s="23" t="n">
        <x:v>547.3927684787059</x:v>
      </x:c>
      <x:c r="DK115" s="23" t="n">
        <x:v>0</x:v>
      </x:c>
      <x:c r="DL115" s="23" t="n">
        <x:v>757.2703531109952</x:v>
      </x:c>
      <x:c r="DM115" s="23" t="n">
        <x:v>784.9273936940665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38.31576822916668</x:v>
      </x:c>
      <x:c r="DU115" s="23" t="n">
        <x:v>5.540252343749974</x:v>
      </x:c>
      <x:c r="DV115" s="23" t="n">
        <x:v>765.4524218098957</x:v>
      </x:c>
      <x:c r="DW115" s="23" t="n">
        <x:v>790.972900390625</x:v>
      </x:c>
      <x:c r="DX115" s="23" t="n">
        <x:v>782.94580078125</x:v>
      </x:c>
      <x:c r="DY115" s="23" t="n">
        <x:v>780.1050618489583</x:v>
      </x:c>
      <x:c r="DZ115" s="23" t="n">
        <x:v>793.1100260416666</x:v>
      </x:c>
      <x:c r="EA115" s="23" t="n">
        <x:v>781.6329100911457</x:v>
      </x:c>
      <x:c r="EB115" s="23" t="n">
        <x:v>703.5235938151042</x:v>
      </x:c>
      <x:c r="EC115" s="23" t="n">
        <x:v>594.0297852165316</x:v>
      </x:c>
      <x:c r="ED115" s="23" t="n">
        <x:v>1403.3057454427083</x:v>
      </x:c>
      <x:c r="EE115" s="23" t="n">
        <x:v>604.5770670572916</x:v>
      </x:c>
      <x:c r="EF115" s="23" t="n">
        <x:v>599.7760823567708</x:v>
      </x:c>
      <x:c r="EG115" s="23" t="n">
        <x:v>1415.9413655598958</x:v>
      </x:c>
      <x:c r="EH115" s="23" t="n">
        <x:v>1404.0386962890625</x:v>
      </x:c>
      <x:c r="EI115" s="23" t="n">
        <x:v>586.6344807942708</x:v>
      </x:c>
      <x:c r="EJ115" s="23" t="n">
        <x:v>1432.514404296875</x:v>
      </x:c>
      <x:c r="EK115" s="23" t="n">
        <x:v>1434.369669596354</x:v>
      </x:c>
      <x:c r="EL115" s="23" t="n">
        <x:v>1421.426554361979</x:v>
      </x:c>
      <x:c r="EM115" s="23" t="n">
        <x:v>585.518310546875</x:v>
      </x:c>
      <x:c r="EN115" s="23" t="n">
        <x:v>592.4375</x:v>
      </x:c>
      <x:c r="EO115" s="23" t="n">
        <x:v>906.1793187170463</x:v>
      </x:c>
      <x:c r="EP115" s="23" t="n">
        <x:f>SUM(B115:EO115)</x:f>
        <x:v>52937.75016653267</x:v>
      </x:c>
      <x:c r="EQ115" s="23" t="n">
        <x:f>SUMPRODUCT(B115:EO115,{0.4598,0.4579,0.4337,0.3956,0.3957,0.4372,0.4733,0.4982,0.4947,0.4501,0.4542,0.4776,0.4064,0.3634,0.388,0.403,0.4336,0.4537,0.4025,0.3873,0.4285,0.4406,0.4361,0.4478,0.4822,0.4678,0.4179,0.4245,0.4729,0.4829,0.3958,0.3808,0.4291,0.4069,0.6007,0.9222,0.948,0.8389,0.7849,0.8164,0.8159,0.7431,0.6673,0.6419,0.6115,0.5241,0.7295,1.0951,1.1035,1.019,1.0226,1.0278,1.0207,1.0197,1.0341,0.9953,0.9167,0.8867,0.886,0.8779,0.8457,0.8114,0.8275,0.8936,0.7354,0.4469,0.4117,0.4316,0.4065,0.4356,0.4255,0.3677,0.3634,0.4093,0.4477,0.4505,0.6013,0.8193,0.8246,0.8031,0.843,0.8493,0.86,0.8811,0.8748,0.8962,0.9503,0.9504,0.7525,0.5226,0.5907,0.665,0.6454,0.7103,0.7561,0.7509,0.7784,0.8005,0.7974,0.7997,0.8409,0.8963,0.9123,0.9474,1.014,1.0672,1.1311,1.1984,1.2294,1.253,1.2845,1.3097,1.3208,1.3049,1.2571,1.2293,1.2426,1.275,1.3124,1.3296,1.3062,1.2972,1.3436,1.4094,1.2974,1.0735,1.005,0.9604,0.9425,1.0463,0.8221,0.3992,0.3916,0.495,0.5034,0.5115,0.4786,0.4311,0.4514,0.4331,0.3674,0.3608,0.3984,0.4234})</x:f>
        <x:v>32748.067947635893</x:v>
      </x:c>
    </x:row>
    <x:row r="116" ht="14" customHeight="1">
      <x:c r="A116" s="3">
        <x:v>45803</x:v>
      </x:c>
      <x:c r="B116" s="23" t="n">
        <x:v>575.35302734375</x:v>
      </x:c>
      <x:c r="C116" s="23" t="n">
        <x:v>578.0985921223958</x:v>
      </x:c>
      <x:c r="D116" s="23" t="n">
        <x:v>583.9945475260416</x:v>
      </x:c>
      <x:c r="E116" s="23" t="n">
        <x:v>584.1230875651041</x:v>
      </x:c>
      <x:c r="F116" s="23" t="n">
        <x:v>580.5878092447916</x:v>
      </x:c>
      <x:c r="G116" s="23" t="n">
        <x:v>577.2241617838541</x:v>
      </x:c>
      <x:c r="H116" s="23" t="n">
        <x:v>580.6951497395833</x:v>
      </x:c>
      <x:c r="I116" s="23" t="n">
        <x:v>574.8514811197916</x:v>
      </x:c>
      <x:c r="J116" s="23" t="n">
        <x:v>578.1144612630208</x:v>
      </x:c>
      <x:c r="K116" s="23" t="n">
        <x:v>1300.7982230266412</x:v>
      </x:c>
      <x:c r="L116" s="23" t="n">
        <x:v>599.7415771484375</x:v>
      </x:c>
      <x:c r="M116" s="23" t="n">
        <x:v>596.3876953125</x:v>
      </x:c>
      <x:c r="N116" s="23" t="n">
        <x:v>591.1794840494791</x:v>
      </x:c>
      <x:c r="O116" s="23" t="n">
        <x:v>592.703125</x:v>
      </x:c>
      <x:c r="P116" s="23" t="n">
        <x:v>598.424072265625</x:v>
      </x:c>
      <x:c r="Q116" s="23" t="n">
        <x:v>596.7412109375</x:v>
      </x:c>
      <x:c r="R116" s="23" t="n">
        <x:v>593.060791015625</x:v>
      </x:c>
      <x:c r="S116" s="23" t="n">
        <x:v>600.5796712239583</x:v>
      </x:c>
      <x:c r="T116" s="23" t="n">
        <x:v>603.2350260416666</x:v>
      </x:c>
      <x:c r="U116" s="23" t="n">
        <x:v>599.5176188151041</x:v>
      </x:c>
      <x:c r="V116" s="23" t="n">
        <x:v>593.9423421223958</x:v>
      </x:c>
      <x:c r="W116" s="23" t="n">
        <x:v>594.0229085286458</x:v>
      </x:c>
      <x:c r="X116" s="23" t="n">
        <x:v>593.3818359375</x:v>
      </x:c>
      <x:c r="Y116" s="23" t="n">
        <x:v>601.4346923828125</x:v>
      </x:c>
      <x:c r="Z116" s="23" t="n">
        <x:v>608.1625569661458</x:v>
      </x:c>
      <x:c r="AA116" s="23" t="n">
        <x:v>1435.4047037760415</x:v>
      </x:c>
      <x:c r="AB116" s="23" t="n">
        <x:v>598.1755777994791</x:v>
      </x:c>
      <x:c r="AC116" s="23" t="n">
        <x:v>591.7442279861705</x:v>
      </x:c>
      <x:c r="AD116" s="23" t="n">
        <x:v>593.8902238799593</x:v>
      </x:c>
      <x:c r="AE116" s="23" t="n">
        <x:v>600.7334391276041</x:v>
      </x:c>
      <x:c r="AF116" s="23" t="n">
        <x:v>581.9559052901287</x:v>
      </x:c>
      <x:c r="AG116" s="23" t="n">
        <x:v>560.5007933405238</x:v>
      </x:c>
      <x:c r="AH116" s="23" t="n">
        <x:v>523.5130255029209</x:v>
      </x:c>
      <x:c r="AI116" s="23" t="n">
        <x:v>1311.2618660594903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0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0</x:v>
      </x:c>
      <x:c r="CN116" s="23" t="n">
        <x:v>23.166472762527974</x:v>
      </x:c>
      <x:c r="CO116" s="23" t="n">
        <x:v>57.88991123056894</x:v>
      </x:c>
      <x:c r="CP116" s="23" t="n">
        <x:v>116.08694648416363</x:v>
      </x:c>
      <x:c r="CQ116" s="23" t="n">
        <x:v>156.3423509011818</x:v>
      </x:c>
      <x:c r="CR116" s="23" t="n">
        <x:v>201.95203069442863</x:v>
      </x:c>
      <x:c r="CS116" s="23" t="n">
        <x:v>251.2201756886423</x:v>
      </x:c>
      <x:c r="CT116" s="23" t="n">
        <x:v>305.7527421070825</x:v>
      </x:c>
      <x:c r="CU116" s="23" t="n">
        <x:v>359.8495734927451</x:v>
      </x:c>
      <x:c r="CV116" s="23" t="n">
        <x:v>412.94066210281835</x:v>
      </x:c>
      <x:c r="CW116" s="23" t="n">
        <x:v>460.68133924889867</x:v>
      </x:c>
      <x:c r="CX116" s="23" t="n">
        <x:v>495.749042524052</x:v>
      </x:c>
      <x:c r="CY116" s="23" t="n">
        <x:v>552.6868350260359</x:v>
      </x:c>
      <x:c r="CZ116" s="23" t="n">
        <x:v>603.6800212268358</x:v>
      </x:c>
      <x:c r="DA116" s="23" t="n">
        <x:v>652.9070550024132</x:v>
      </x:c>
      <x:c r="DB116" s="23" t="n">
        <x:v>705.8231317092055</x:v>
      </x:c>
      <x:c r="DC116" s="23" t="n">
        <x:v>773.1064144790358</x:v>
      </x:c>
      <x:c r="DD116" s="23" t="n">
        <x:v>771.2306801782745</x:v>
      </x:c>
      <x:c r="DE116" s="23" t="n">
        <x:v>563.5705427473902</x:v>
      </x:c>
      <x:c r="DF116" s="23" t="n">
        <x:v>581.6311226812237</x:v>
      </x:c>
      <x:c r="DG116" s="23" t="n">
        <x:v>649.4003499634434</x:v>
      </x:c>
      <x:c r="DH116" s="23" t="n">
        <x:v>0</x:v>
      </x:c>
      <x:c r="DI116" s="23" t="n">
        <x:v>0</x:v>
      </x:c>
      <x:c r="DJ116" s="23" t="n">
        <x:v>734.7500930735555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457.9870844417338</x:v>
      </x:c>
      <x:c r="DQ116" s="23" t="n">
        <x:v>733.5663248697916</x:v>
      </x:c>
      <x:c r="DR116" s="23" t="n">
        <x:v>0</x:v>
      </x:c>
      <x:c r="DS116" s="23" t="n">
        <x:v>0</x:v>
      </x:c>
      <x:c r="DT116" s="23" t="n">
        <x:v>6.624098307291661</x:v>
      </x:c>
      <x:c r="DU116" s="23" t="n">
        <x:v>0</x:v>
      </x:c>
      <x:c r="DV116" s="23" t="n">
        <x:v>773.6778157552083</x:v>
      </x:c>
      <x:c r="DW116" s="23" t="n">
        <x:v>807.2418619791666</x:v>
      </x:c>
      <x:c r="DX116" s="23" t="n">
        <x:v>771.2357584635416</x:v>
      </x:c>
      <x:c r="DY116" s="23" t="n">
        <x:v>746.0428059895833</x:v>
      </x:c>
      <x:c r="DZ116" s="23" t="n">
        <x:v>766.3445638020833</x:v>
      </x:c>
      <x:c r="EA116" s="23" t="n">
        <x:v>778.5139776041667</x:v>
      </x:c>
      <x:c r="EB116" s="23" t="n">
        <x:v>700.181640625</x:v>
      </x:c>
      <x:c r="EC116" s="23" t="n">
        <x:v>583.6081949869791</x:v>
      </x:c>
      <x:c r="ED116" s="23" t="n">
        <x:v>1411.1986490885415</x:v>
      </x:c>
      <x:c r="EE116" s="23" t="n">
        <x:v>1425.11962890625</x:v>
      </x:c>
      <x:c r="EF116" s="23" t="n">
        <x:v>1421.1521809895833</x:v>
      </x:c>
      <x:c r="EG116" s="23" t="n">
        <x:v>1415.956827799479</x:v>
      </x:c>
      <x:c r="EH116" s="23" t="n">
        <x:v>1408.5113932291665</x:v>
      </x:c>
      <x:c r="EI116" s="23" t="n">
        <x:v>571.2056884765625</x:v>
      </x:c>
      <x:c r="EJ116" s="23" t="n">
        <x:v>576.2742513020833</x:v>
      </x:c>
      <x:c r="EK116" s="23" t="n">
        <x:v>584.9026692708333</x:v>
      </x:c>
      <x:c r="EL116" s="23" t="n">
        <x:v>1418.1263834635415</x:v>
      </x:c>
      <x:c r="EM116" s="23" t="n">
        <x:v>577.5394694010416</x:v>
      </x:c>
      <x:c r="EN116" s="23" t="n">
        <x:v>578.32666015625</x:v>
      </x:c>
      <x:c r="EO116" s="23" t="n">
        <x:v>864.012137024177</x:v>
      </x:c>
      <x:c r="EP116" s="23" t="n">
        <x:f>SUM(B116:EO116)</x:f>
        <x:v>51081.30247050127</x:v>
      </x:c>
      <x:c r="EQ116" s="23" t="n">
        <x:f>SUMPRODUCT(B116:EO116,{0.4043,0.4407,0.4799,0.3801,0.3687,0.4532,0.4214,0.4333,0.5062,0.4837,0.4656,0.4742,0.4299,0.4189,0.4382,0.3985,0.3899,0.425,0.4271,0.4531,0.4844,0.4417,0.4348,0.4757,0.4635,0.4303,0.4369,0.4996,0.4872,0.426,0.4667,0.4851,0.4064,0.3289,0.5407,0.8768,0.8646,0.7834,0.793,0.7763,0.7594,0.7547,0.7372,0.7411,0.7266,0.6523,0.8082,1.1294,1.2293,1.182,1.1063,1.0456,1.0416,1.0494,0.9842,0.9465,0.9503,0.9171,0.9266,0.9864,1.0061,0.9574,0.9264,0.9951,0.8626,0.5964,0.5723,0.5551,0.4806,0.5268,0.5312,0.4705,0.4902,0.5045,0.4596,0.4312,0.626,0.8902,0.8499,0.8028,0.8646,0.8564,0.8345,0.8412,0.8505,0.872,0.9054,0.9118,0.786,0.6155,0.6111,0.649,0.6469,0.6482,0.6853,0.7499,0.8026,0.8294,0.8391,0.8559,0.898,0.9321,0.9088,0.9057,0.9441,0.9816,1.0709,1.1807,1.2065,1.1864,1.1999,1.2902,1.3452,1.3486,1.3799,1.364,1.3065,1.298,1.2891,1.2725,1.2921,1.2878,1.2798,1.3187,1.1657,0.9173,0.9268,0.9511,0.9295,1.0069,0.8327,0.4829,0.4214,0.4573,0.4454,0.4434,0.456,0.4449,0.3774,0.3492,0.3911,0.4446,0.4836,0.4834})</x:f>
        <x:v>31355.961192270708</x:v>
      </x:c>
    </x:row>
    <x:row r="117" ht="14" customHeight="1">
      <x:c r="A117" s="3">
        <x:v>45804</x:v>
      </x:c>
      <x:c r="B117" s="23" t="n">
        <x:v>1401.9498697916665</x:v>
      </x:c>
      <x:c r="C117" s="23" t="n">
        <x:v>568.0202229817708</x:v>
      </x:c>
      <x:c r="D117" s="23" t="n">
        <x:v>581.6249186197916</x:v>
      </x:c>
      <x:c r="E117" s="23" t="n">
        <x:v>578.1996663411458</x:v>
      </x:c>
      <x:c r="F117" s="23" t="n">
        <x:v>571.59619140625</x:v>
      </x:c>
      <x:c r="G117" s="23" t="n">
        <x:v>573.1507161458333</x:v>
      </x:c>
      <x:c r="H117" s="23" t="n">
        <x:v>576.8704833984375</x:v>
      </x:c>
      <x:c r="I117" s="23" t="n">
        <x:v>578.0562744140625</x:v>
      </x:c>
      <x:c r="J117" s="23" t="n">
        <x:v>583.5160725911458</x:v>
      </x:c>
      <x:c r="K117" s="23" t="n">
        <x:v>1415.661417643229</x:v>
      </x:c>
      <x:c r="L117" s="23" t="n">
        <x:v>1427.4979248046875</x:v>
      </x:c>
      <x:c r="M117" s="23" t="n">
        <x:v>594.9777425130208</x:v>
      </x:c>
      <x:c r="N117" s="23" t="n">
        <x:v>591.4707438151041</x:v>
      </x:c>
      <x:c r="O117" s="23" t="n">
        <x:v>592.122314453125</x:v>
      </x:c>
      <x:c r="P117" s="23" t="n">
        <x:v>592.9765625</x:v>
      </x:c>
      <x:c r="Q117" s="23" t="n">
        <x:v>0</x:v>
      </x:c>
      <x:c r="R117" s="23" t="n">
        <x:v>508.2613565056709</x:v>
      </x:c>
      <x:c r="S117" s="23" t="n">
        <x:v>594.7450358072916</x:v>
      </x:c>
      <x:c r="T117" s="23" t="n">
        <x:v>1425.3934326171875</x:v>
      </x:c>
      <x:c r="U117" s="23" t="n">
        <x:v>596.6412760416666</x:v>
      </x:c>
      <x:c r="V117" s="23" t="n">
        <x:v>597.3806966145833</x:v>
      </x:c>
      <x:c r="W117" s="23" t="n">
        <x:v>598.05224609375</x:v>
      </x:c>
      <x:c r="X117" s="23" t="n">
        <x:v>596.201171875</x:v>
      </x:c>
      <x:c r="Y117" s="23" t="n">
        <x:v>595.4004720052083</x:v>
      </x:c>
      <x:c r="Z117" s="23" t="n">
        <x:v>601.2703450520833</x:v>
      </x:c>
      <x:c r="AA117" s="23" t="n">
        <x:v>606.8173828125</x:v>
      </x:c>
      <x:c r="AB117" s="23" t="n">
        <x:v>606.1361490885416</x:v>
      </x:c>
      <x:c r="AC117" s="23" t="n">
        <x:v>591.4878446453432</x:v>
      </x:c>
      <x:c r="AD117" s="23" t="n">
        <x:v>592.6467620474726</x:v>
      </x:c>
      <x:c r="AE117" s="23" t="n">
        <x:v>605.8062744140625</x:v>
      </x:c>
      <x:c r="AF117" s="23" t="n">
        <x:v>583.0611438269115</x:v>
      </x:c>
      <x:c r="AG117" s="23" t="n">
        <x:v>557.4703776555517</x:v>
      </x:c>
      <x:c r="AH117" s="23" t="n">
        <x:v>1353.3509972979791</x:v>
      </x:c>
      <x:c r="AI117" s="23" t="n">
        <x:v>1313.5000211225229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0</x:v>
      </x:c>
      <x:c r="BW117" s="23" t="n">
        <x:v>0</x:v>
      </x:c>
      <x:c r="BX117" s="23" t="n">
        <x:v>0</x:v>
      </x:c>
      <x:c r="BY117" s="23" t="n">
        <x:v>0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15.412521868545506</x:v>
      </x:c>
      <x:c r="CN117" s="23" t="n">
        <x:v>44.61052511855526</x:v>
      </x:c>
      <x:c r="CO117" s="23" t="n">
        <x:v>79.70575110048821</x:v>
      </x:c>
      <x:c r="CP117" s="23" t="n">
        <x:v>120.60547184726298</x:v>
      </x:c>
      <x:c r="CQ117" s="23" t="n">
        <x:v>168.31966884044655</x:v>
      </x:c>
      <x:c r="CR117" s="23" t="n">
        <x:v>208.43234408177915</x:v>
      </x:c>
      <x:c r="CS117" s="23" t="n">
        <x:v>247.372445194466</x:v>
      </x:c>
      <x:c r="CT117" s="23" t="n">
        <x:v>305.72703303105675</x:v>
      </x:c>
      <x:c r="CU117" s="23" t="n">
        <x:v>359.495931686208</x:v>
      </x:c>
      <x:c r="CV117" s="23" t="n">
        <x:v>408.30164158251256</x:v>
      </x:c>
      <x:c r="CW117" s="23" t="n">
        <x:v>456.50773067869915</x:v>
      </x:c>
      <x:c r="CX117" s="23" t="n">
        <x:v>494.6896414439892</x:v>
      </x:c>
      <x:c r="CY117" s="23" t="n">
        <x:v>542.9986910758662</x:v>
      </x:c>
      <x:c r="CZ117" s="23" t="n">
        <x:v>595.7121068804265</x:v>
      </x:c>
      <x:c r="DA117" s="23" t="n">
        <x:v>651.0287019086276</x:v>
      </x:c>
      <x:c r="DB117" s="23" t="n">
        <x:v>702.6757774282821</x:v>
      </x:c>
      <x:c r="DC117" s="23" t="n">
        <x:v>782.035037964418</x:v>
      </x:c>
      <x:c r="DD117" s="23" t="n">
        <x:v>751.9702247298262</x:v>
      </x:c>
      <x:c r="DE117" s="23" t="n">
        <x:v>565.1772865040309</x:v>
      </x:c>
      <x:c r="DF117" s="23" t="n">
        <x:v>579.5997006504336</x:v>
      </x:c>
      <x:c r="DG117" s="23" t="n">
        <x:v>637.2569402666456</x:v>
      </x:c>
      <x:c r="DH117" s="23" t="n">
        <x:v>0</x:v>
      </x:c>
      <x:c r="DI117" s="23" t="n">
        <x:v>712.279749353087</x:v>
      </x:c>
      <x:c r="DJ117" s="23" t="n">
        <x:v>740.8647559965594</x:v>
      </x:c>
      <x:c r="DK117" s="23" t="n">
        <x:v>0</x:v>
      </x:c>
      <x:c r="DL117" s="23" t="n">
        <x:v>0</x:v>
      </x:c>
      <x:c r="DM117" s="23" t="n">
        <x:v>0</x:v>
      </x:c>
      <x:c r="DN117" s="23" t="n">
        <x:v>0</x:v>
      </x:c>
      <x:c r="DO117" s="23" t="n">
        <x:v>576.3765509671321</x:v>
      </x:c>
      <x:c r="DP117" s="23" t="n">
        <x:v>0</x:v>
      </x:c>
      <x:c r="DQ117" s="23" t="n">
        <x:v>0</x:v>
      </x:c>
      <x:c r="DR117" s="23" t="n">
        <x:v>0</x:v>
      </x:c>
      <x:c r="DS117" s="23" t="n">
        <x:v>0</x:v>
      </x:c>
      <x:c r="DT117" s="23" t="n">
        <x:v>0</x:v>
      </x:c>
      <x:c r="DU117" s="23" t="n">
        <x:v>0</x:v>
      </x:c>
      <x:c r="DV117" s="23" t="n">
        <x:v>771.336669921875</x:v>
      </x:c>
      <x:c r="DW117" s="23" t="n">
        <x:v>777.9198404947916</x:v>
      </x:c>
      <x:c r="DX117" s="23" t="n">
        <x:v>770.1402084940842</x:v>
      </x:c>
      <x:c r="DY117" s="23" t="n">
        <x:v>756.7132975260416</x:v>
      </x:c>
      <x:c r="DZ117" s="23" t="n">
        <x:v>777.692626953125</x:v>
      </x:c>
      <x:c r="EA117" s="23" t="n">
        <x:v>783.69630859375</x:v>
      </x:c>
      <x:c r="EB117" s="23" t="n">
        <x:v>718.7158203125</x:v>
      </x:c>
      <x:c r="EC117" s="23" t="n">
        <x:v>579.103271484375</x:v>
      </x:c>
      <x:c r="ED117" s="23" t="n">
        <x:v>1398.9244384765625</x:v>
      </x:c>
      <x:c r="EE117" s="23" t="n">
        <x:v>1418.043986002604</x:v>
      </x:c>
      <x:c r="EF117" s="23" t="n">
        <x:v>579.1722819010416</x:v>
      </x:c>
      <x:c r="EG117" s="23" t="n">
        <x:v>592.1332194010416</x:v>
      </x:c>
      <x:c r="EH117" s="23" t="n">
        <x:v>599.8271077473958</x:v>
      </x:c>
      <x:c r="EI117" s="23" t="n">
        <x:v>1422.943359375</x:v>
      </x:c>
      <x:c r="EJ117" s="23" t="n">
        <x:v>585.4934895833333</x:v>
      </x:c>
      <x:c r="EK117" s="23" t="n">
        <x:v>864.4811168378665</x:v>
      </x:c>
      <x:c r="EL117" s="23" t="n">
        <x:v>1420.3391927083333</x:v>
      </x:c>
      <x:c r="EM117" s="23" t="n">
        <x:v>1416.948771158854</x:v>
      </x:c>
      <x:c r="EN117" s="23" t="n">
        <x:v>578.62890625</x:v>
      </x:c>
      <x:c r="EO117" s="23" t="n">
        <x:v>1408.43359375</x:v>
      </x:c>
      <x:c r="EP117" s="23" t="n">
        <x:f>SUM(B117:EO117)</x:f>
        <x:v>53119.15784411452</x:v>
      </x:c>
      <x:c r="EQ117" s="23" t="n">
        <x:f>SUMPRODUCT(B117:EO117,{0.4302,0.3823,0.3801,0.4117,0.4007,0.3658,0.3937,0.4036,0.3889,0.422,0.4273,0.4033,0.4248,0.4245,0.3965,0.4145,0.4745,0.5056,0.4435,0.429,0.4731,0.459,0.4777,0.5224,0.4843,0.4518,0.4762,0.5128,0.4888,0.4223,0.4082,0.4561,0.4651,0.3678,0.5544,0.9189,0.9409,0.8771,0.8665,0.7865,0.734,0.7347,0.7173,0.7359,0.7317,0.6246,0.8071,1.1658,1.1671,1.0829,1.0693,1.0106,0.9943,1.0196,0.9852,0.9543,0.9457,0.9113,0.886,0.8985,0.9385,0.9526,0.952,0.9611,0.7688,0.4813,0.4355,0.4013,0.3339,0.4167,0.4357,0.3589,0.3747,0.4152,0.3899,0.3312,0.56,0.8908,0.8069,0.7552,0.8752,0.86,0.8304,0.8599,0.8736,0.8461,0.8431,0.9243,0.8348,0.6133,0.5684,0.6037,0.6386,0.7001,0.7628,0.8036,0.8197,0.8183,0.8168,0.8334,0.8593,0.8799,0.8913,0.9254,0.9615,0.9643,1.0719,1.2361,1.2587,1.2592,1.2868,1.2736,1.2874,1.3322,1.3372,1.3318,1.3276,1.3045,1.2908,1.3028,1.3291,1.3455,1.3497,1.3347,1.1848,0.9733,0.9175,0.9466,1.0148,1.0881,0.813,0.3869,0.4017,0.5143,0.4873,0.4287,0.4388,0.4778,0.4305,0.4116,0.449,0.4499,0.4234,0.4068})</x:f>
        <x:v>32506.600694787132</x:v>
      </x:c>
    </x:row>
    <x:row r="118" ht="14" customHeight="1">
      <x:c r="A118" s="3">
        <x:v>45805</x:v>
      </x:c>
      <x:c r="B118" s="23" t="n">
        <x:v>574.2461344401041</x:v>
      </x:c>
      <x:c r="C118" s="23" t="n">
        <x:v>570.265869140625</x:v>
      </x:c>
      <x:c r="D118" s="23" t="n">
        <x:v>568.9608561197916</x:v>
      </x:c>
      <x:c r="E118" s="23" t="n">
        <x:v>580.68212890625</x:v>
      </x:c>
      <x:c r="F118" s="23" t="n">
        <x:v>575.1043294270833</x:v>
      </x:c>
      <x:c r="G118" s="23" t="n">
        <x:v>572.3450520833333</x:v>
      </x:c>
      <x:c r="H118" s="23" t="n">
        <x:v>576.9700520833333</x:v>
      </x:c>
      <x:c r="I118" s="23" t="n">
        <x:v>583.9962565104166</x:v>
      </x:c>
      <x:c r="J118" s="23" t="n">
        <x:v>584.1842041015625</x:v>
      </x:c>
      <x:c r="K118" s="23" t="n">
        <x:v>1418.089152018229</x:v>
      </x:c>
      <x:c r="L118" s="23" t="n">
        <x:v>1427.105224609375</x:v>
      </x:c>
      <x:c r="M118" s="23" t="n">
        <x:v>592.4510498046875</x:v>
      </x:c>
      <x:c r="N118" s="23" t="n">
        <x:v>589.7805989583333</x:v>
      </x:c>
      <x:c r="O118" s="23" t="n">
        <x:v>587.0045979817708</x:v>
      </x:c>
      <x:c r="P118" s="23" t="n">
        <x:v>596.1365966796875</x:v>
      </x:c>
      <x:c r="Q118" s="23" t="n">
        <x:v>598.3379720052083</x:v>
      </x:c>
      <x:c r="R118" s="23" t="n">
        <x:v>598.7974446614583</x:v>
      </x:c>
      <x:c r="S118" s="23" t="n">
        <x:v>599.8375651041666</x:v>
      </x:c>
      <x:c r="T118" s="23" t="n">
        <x:v>597.7608235677083</x:v>
      </x:c>
      <x:c r="U118" s="23" t="n">
        <x:v>596.8238525390625</x:v>
      </x:c>
      <x:c r="V118" s="23" t="n">
        <x:v>598.2172444661458</x:v>
      </x:c>
      <x:c r="W118" s="23" t="n">
        <x:v>600.0690511067708</x:v>
      </x:c>
      <x:c r="X118" s="23" t="n">
        <x:v>610.1068522135416</x:v>
      </x:c>
      <x:c r="Y118" s="23" t="n">
        <x:v>614.3487141927083</x:v>
      </x:c>
      <x:c r="Z118" s="23" t="n">
        <x:v>599.7364501953125</x:v>
      </x:c>
      <x:c r="AA118" s="23" t="n">
        <x:v>597.658935546875</x:v>
      </x:c>
      <x:c r="AB118" s="23" t="n">
        <x:v>598.2818603515625</x:v>
      </x:c>
      <x:c r="AC118" s="23" t="n">
        <x:v>598.5960446150563</x:v>
      </x:c>
      <x:c r="AD118" s="23" t="n">
        <x:v>600.2308741460527</x:v>
      </x:c>
      <x:c r="AE118" s="23" t="n">
        <x:v>605.3595377604166</x:v>
      </x:c>
      <x:c r="AF118" s="23" t="n">
        <x:v>578.2834939050663</x:v>
      </x:c>
      <x:c r="AG118" s="23" t="n">
        <x:v>555.9593614945877</x:v>
      </x:c>
      <x:c r="AH118" s="23" t="n">
        <x:v>763.4669697737777</x:v>
      </x:c>
      <x:c r="AI118" s="23" t="n">
        <x:v>1308.9473556890557</x:v>
      </x:c>
      <x:c r="AJ118" s="23" t="n">
        <x:v>496.9172445252835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0</x:v>
      </x:c>
      <x:c r="BV118" s="23" t="n">
        <x:v>0</x:v>
      </x:c>
      <x:c r="BW118" s="23" t="n">
        <x:v>0</x:v>
      </x:c>
      <x:c r="BX118" s="23" t="n">
        <x:v>0</x:v>
      </x:c>
      <x:c r="BY118" s="23" t="n">
        <x:v>0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2.726018884126006</x:v>
      </x:c>
      <x:c r="CN118" s="23" t="n">
        <x:v>39.262631795797915</x:v>
      </x:c>
      <x:c r="CO118" s="23" t="n">
        <x:v>75.023703853242</x:v>
      </x:c>
      <x:c r="CP118" s="23" t="n">
        <x:v>119.75021235889972</x:v>
      </x:c>
      <x:c r="CQ118" s="23" t="n">
        <x:v>174.4383221479314</x:v>
      </x:c>
      <x:c r="CR118" s="23" t="n">
        <x:v>218.27910415823135</x:v>
      </x:c>
      <x:c r="CS118" s="23" t="n">
        <x:v>265.3005403065429</x:v>
      </x:c>
      <x:c r="CT118" s="23" t="n">
        <x:v>320.78824522595914</x:v>
      </x:c>
      <x:c r="CU118" s="23" t="n">
        <x:v>372.63419833781387</x:v>
      </x:c>
      <x:c r="CV118" s="23" t="n">
        <x:v>407.2729605172268</x:v>
      </x:c>
      <x:c r="CW118" s="23" t="n">
        <x:v>446.40424119454093</x:v>
      </x:c>
      <x:c r="CX118" s="23" t="n">
        <x:v>490.1691834675721</x:v>
      </x:c>
      <x:c r="CY118" s="23" t="n">
        <x:v>532.2306379958646</x:v>
      </x:c>
      <x:c r="CZ118" s="23" t="n">
        <x:v>600.7790071378208</x:v>
      </x:c>
      <x:c r="DA118" s="23" t="n">
        <x:v>661.0012405706022</x:v>
      </x:c>
      <x:c r="DB118" s="23" t="n">
        <x:v>704.1363102630523</x:v>
      </x:c>
      <x:c r="DC118" s="23" t="n">
        <x:v>772.2532617095674</x:v>
      </x:c>
      <x:c r="DD118" s="23" t="n">
        <x:v>706.1871325886939</x:v>
      </x:c>
      <x:c r="DE118" s="23" t="n">
        <x:v>552.1677909125857</x:v>
      </x:c>
      <x:c r="DF118" s="23" t="n">
        <x:v>573.2718117273512</x:v>
      </x:c>
      <x:c r="DG118" s="23" t="n">
        <x:v>644.1459812891271</x:v>
      </x:c>
      <x:c r="DH118" s="23" t="n">
        <x:v>0</x:v>
      </x:c>
      <x:c r="DI118" s="23" t="n">
        <x:v>0</x:v>
      </x:c>
      <x:c r="DJ118" s="23" t="n">
        <x:v>0</x:v>
      </x:c>
      <x:c r="DK118" s="23" t="n">
        <x:v>754.2769368489583</x:v>
      </x:c>
      <x:c r="DL118" s="23" t="n">
        <x:v>743.3912427792013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463.2053763780332</x:v>
      </x:c>
      <x:c r="DS118" s="23" t="n">
        <x:v>0</x:v>
      </x:c>
      <x:c r="DT118" s="23" t="n">
        <x:v>0</x:v>
      </x:c>
      <x:c r="DU118" s="23" t="n">
        <x:v>0</x:v>
      </x:c>
      <x:c r="DV118" s="23" t="n">
        <x:v>778.7322591145833</x:v>
      </x:c>
      <x:c r="DW118" s="23" t="n">
        <x:v>778.7322591145833</x:v>
      </x:c>
      <x:c r="DX118" s="23" t="n">
        <x:v>794.9715073222092</x:v>
      </x:c>
      <x:c r="DY118" s="23" t="n">
        <x:v>776.7861328125</x:v>
      </x:c>
      <x:c r="DZ118" s="23" t="n">
        <x:v>780.78759765625</x:v>
      </x:c>
      <x:c r="EA118" s="23" t="n">
        <x:v>781.77345703125</x:v>
      </x:c>
      <x:c r="EB118" s="23" t="n">
        <x:v>721.6110026041666</x:v>
      </x:c>
      <x:c r="EC118" s="23" t="n">
        <x:v>572.5469156901041</x:v>
      </x:c>
      <x:c r="ED118" s="23" t="n">
        <x:v>1393.5174967447915</x:v>
      </x:c>
      <x:c r="EE118" s="23" t="n">
        <x:v>1422.415079752604</x:v>
      </x:c>
      <x:c r="EF118" s="23" t="n">
        <x:v>1424.842814127604</x:v>
      </x:c>
      <x:c r="EG118" s="23" t="n">
        <x:v>1426.987589518229</x:v>
      </x:c>
      <x:c r="EH118" s="23" t="n">
        <x:v>595.9725341796875</x:v>
      </x:c>
      <x:c r="EI118" s="23" t="n">
        <x:v>1430.340372721354</x:v>
      </x:c>
      <x:c r="EJ118" s="23" t="n">
        <x:v>875.6888805097415</x:v>
      </x:c>
      <x:c r="EK118" s="23" t="n">
        <x:v>582.9296875</x:v>
      </x:c>
      <x:c r="EL118" s="23" t="n">
        <x:v>585.4650065104166</x:v>
      </x:c>
      <x:c r="EM118" s="23" t="n">
        <x:v>600.0148111979166</x:v>
      </x:c>
      <x:c r="EN118" s="23" t="n">
        <x:v>600.2884114583333</x:v>
      </x:c>
      <x:c r="EO118" s="23" t="n">
        <x:v>1424.3294270833333</x:v>
      </x:c>
      <x:c r="EP118" s="23" t="n">
        <x:f>SUM(B118:EO118)</x:f>
        <x:v>52102.889085822804</x:v>
      </x:c>
      <x:c r="EQ118" s="23" t="n">
        <x:f>SUMPRODUCT(B118:EO118,{0.421,0.4175,0.4096,0.4535,0.4663,0.4271,0.4069,0.4486,0.4922,0.4386,0.4073,0.4379,0.4561,0.471,0.4659,0.4095,0.3979,0.4577,0.5127,0.4866,0.4258,0.4448,0.4475,0.4034,0.3852,0.401,0.4445,0.5016,0.5143,0.4782,0.4462,0.4405,0.3794,0.2285,0.4884,0.9643,0.9227,0.7774,0.8059,0.8649,0.859,0.7845,0.7161,0.7361,0.7515,0.639,0.8298,1.2031,1.1745,1.0588,1.0654,1.0819,1.0618,1.0193,0.992,0.955,0.919,0.9272,0.9488,0.9637,0.9653,0.8903,0.8223,0.8875,0.7614,0.5123,0.5434,0.5828,0.5209,0.529,0.5555,0.5446,0.5081,0.5042,0.4819,0.3742,0.5088,0.7934,0.7929,0.7644,0.8141,0.7845,0.7773,0.817,0.8173,0.8287,0.8868,0.9378,0.7854,0.5446,0.5443,0.5919,0.5996,0.6768,0.7668,0.8063,0.7963,0.8391,0.9029,0.8707,0.9083,1.0048,0.98,0.9658,0.9933,0.9737,1.0554,1.1978,1.2002,1.2127,1.2728,1.2728,1.3223,1.3888,1.3217,1.2881,1.3428,1.3731,1.3675,1.347,1.3285,1.2973,1.2904,1.3351,1.1992,0.9611,0.9467,0.9803,0.9901,1.0384,0.8113,0.4484,0.4348,0.4532,0.3814,0.4201,0.4627,0.4435,0.4167,0.427,0.445,0.4118,0.4276,0.4767})</x:f>
        <x:v>32052.517147202045</x:v>
      </x:c>
    </x:row>
    <x:row r="119" ht="14" customHeight="1">
      <x:c r="A119" s="3">
        <x:v>45806</x:v>
      </x:c>
      <x:c r="B119" s="23" t="n">
        <x:v>1408.5091145833333</x:v>
      </x:c>
      <x:c r="C119" s="23" t="n">
        <x:v>571.2996012369791</x:v>
      </x:c>
      <x:c r="D119" s="23" t="n">
        <x:v>573.5028889973958</x:v>
      </x:c>
      <x:c r="E119" s="23" t="n">
        <x:v>578.2220052083333</x:v>
      </x:c>
      <x:c r="F119" s="23" t="n">
        <x:v>574.8709716796875</x:v>
      </x:c>
      <x:c r="G119" s="23" t="n">
        <x:v>576.78955078125</x:v>
      </x:c>
      <x:c r="H119" s="23" t="n">
        <x:v>582.3337809244791</x:v>
      </x:c>
      <x:c r="I119" s="23" t="n">
        <x:v>588.5161539713541</x:v>
      </x:c>
      <x:c r="J119" s="23" t="n">
        <x:v>584.9036865234375</x:v>
      </x:c>
      <x:c r="K119" s="23" t="n">
        <x:v>1420.1427408854165</x:v>
      </x:c>
      <x:c r="L119" s="23" t="n">
        <x:v>589.8462727864583</x:v>
      </x:c>
      <x:c r="M119" s="23" t="n">
        <x:v>597.2754313151041</x:v>
      </x:c>
      <x:c r="N119" s="23" t="n">
        <x:v>597.7655436197916</x:v>
      </x:c>
      <x:c r="O119" s="23" t="n">
        <x:v>592.5258382161458</x:v>
      </x:c>
      <x:c r="P119" s="23" t="n">
        <x:v>592.6173502604166</x:v>
      </x:c>
      <x:c r="Q119" s="23" t="n">
        <x:v>596.8015543619791</x:v>
      </x:c>
      <x:c r="R119" s="23" t="n">
        <x:v>598.2807210286458</x:v>
      </x:c>
      <x:c r="S119" s="23" t="n">
        <x:v>597.7945963541666</x:v>
      </x:c>
      <x:c r="T119" s="23" t="n">
        <x:v>601.6152750651041</x:v>
      </x:c>
      <x:c r="U119" s="23" t="n">
        <x:v>601.0675862630208</x:v>
      </x:c>
      <x:c r="V119" s="23" t="n">
        <x:v>596.4128824869791</x:v>
      </x:c>
      <x:c r="W119" s="23" t="n">
        <x:v>1332.4164472596271</x:v>
      </x:c>
      <x:c r="X119" s="23" t="n">
        <x:v>600.698974609375</x:v>
      </x:c>
      <x:c r="Y119" s="23" t="n">
        <x:v>600.123046875</x:v>
      </x:c>
      <x:c r="Z119" s="23" t="n">
        <x:v>595.2878824869791</x:v>
      </x:c>
      <x:c r="AA119" s="23" t="n">
        <x:v>598.9728190104166</x:v>
      </x:c>
      <x:c r="AB119" s="23" t="n">
        <x:v>600.8070882161458</x:v>
      </x:c>
      <x:c r="AC119" s="23" t="n">
        <x:v>599.0943340599567</x:v>
      </x:c>
      <x:c r="AD119" s="23" t="n">
        <x:v>597.477176529665</x:v>
      </x:c>
      <x:c r="AE119" s="23" t="n">
        <x:v>585.5342610677083</x:v>
      </x:c>
      <x:c r="AF119" s="23" t="n">
        <x:v>1401.6502340938152</x:v>
      </x:c>
      <x:c r="AG119" s="23" t="n">
        <x:v>555.6389314820343</x:v>
      </x:c>
      <x:c r="AH119" s="23" t="n">
        <x:v>523.2890556080861</x:v>
      </x:c>
      <x:c r="AI119" s="23" t="n">
        <x:v>1305.2347974078632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0</x:v>
      </x:c>
      <x:c r="BV119" s="23" t="n">
        <x:v>0</x:v>
      </x:c>
      <x:c r="BW119" s="23" t="n">
        <x:v>0</x:v>
      </x:c>
      <x:c r="BX119" s="23" t="n">
        <x:v>0</x:v>
      </x:c>
      <x:c r="BY119" s="23" t="n">
        <x:v>0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24.296915232317588</x:v>
      </x:c>
      <x:c r="CO119" s="23" t="n">
        <x:v>58.82861637812948</x:v>
      </x:c>
      <x:c r="CP119" s="23" t="n">
        <x:v>100.77442454624057</x:v>
      </x:c>
      <x:c r="CQ119" s="23" t="n">
        <x:v>149.7926127161416</x:v>
      </x:c>
      <x:c r="CR119" s="23" t="n">
        <x:v>196.53227423755106</x:v>
      </x:c>
      <x:c r="CS119" s="23" t="n">
        <x:v>262.7789736226042</x:v>
      </x:c>
      <x:c r="CT119" s="23" t="n">
        <x:v>321.23868810417036</x:v>
      </x:c>
      <x:c r="CU119" s="23" t="n">
        <x:v>375.12920018559026</x:v>
      </x:c>
      <x:c r="CV119" s="23" t="n">
        <x:v>418.2495821398266</x:v>
      </x:c>
      <x:c r="CW119" s="23" t="n">
        <x:v>458.207614123574</x:v>
      </x:c>
      <x:c r="CX119" s="23" t="n">
        <x:v>499.1479964639257</x:v>
      </x:c>
      <x:c r="CY119" s="23" t="n">
        <x:v>560.3767652253173</x:v>
      </x:c>
      <x:c r="CZ119" s="23" t="n">
        <x:v>597.6167553138283</x:v>
      </x:c>
      <x:c r="DA119" s="23" t="n">
        <x:v>649.9819886488896</x:v>
      </x:c>
      <x:c r="DB119" s="23" t="n">
        <x:v>709.4086957956733</x:v>
      </x:c>
      <x:c r="DC119" s="23" t="n">
        <x:v>770.13347848866</x:v>
      </x:c>
      <x:c r="DD119" s="23" t="n">
        <x:v>692.7799816723306</x:v>
      </x:c>
      <x:c r="DE119" s="23" t="n">
        <x:v>555.2410372784965</x:v>
      </x:c>
      <x:c r="DF119" s="23" t="n">
        <x:v>0</x:v>
      </x:c>
      <x:c r="DG119" s="23" t="n">
        <x:v>637.5124120829448</x:v>
      </x:c>
      <x:c r="DH119" s="23" t="n">
        <x:v>157.41595224333506</x:v>
      </x:c>
      <x:c r="DI119" s="23" t="n">
        <x:v>0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759.68603515625</x:v>
      </x:c>
      <x:c r="DQ119" s="23" t="n">
        <x:v>753.761474609375</x:v>
      </x:c>
      <x:c r="DR119" s="23" t="n">
        <x:v>764.00146484375</x:v>
      </x:c>
      <x:c r="DS119" s="23" t="n">
        <x:v>0</x:v>
      </x:c>
      <x:c r="DT119" s="23" t="n">
        <x:v>0</x:v>
      </x:c>
      <x:c r="DU119" s="23" t="n">
        <x:v>0</x:v>
      </x:c>
      <x:c r="DV119" s="23" t="n">
        <x:v>770.510498046875</x:v>
      </x:c>
      <x:c r="DW119" s="23" t="n">
        <x:v>776.3959147135416</x:v>
      </x:c>
      <x:c r="DX119" s="23" t="n">
        <x:v>787.7689519836674</x:v>
      </x:c>
      <x:c r="DY119" s="23" t="n">
        <x:v>765.0320638020833</x:v>
      </x:c>
      <x:c r="DZ119" s="23" t="n">
        <x:v>747.4147135416666</x:v>
      </x:c>
      <x:c r="EA119" s="23" t="n">
        <x:v>757.2052604166666</x:v>
      </x:c>
      <x:c r="EB119" s="23" t="n">
        <x:v>704.632080078125</x:v>
      </x:c>
      <x:c r="EC119" s="23" t="n">
        <x:v>589.4010416666666</x:v>
      </x:c>
      <x:c r="ED119" s="23" t="n">
        <x:v>1410.7243245442708</x:v>
      </x:c>
      <x:c r="EE119" s="23" t="n">
        <x:v>599.0481363932291</x:v>
      </x:c>
      <x:c r="EF119" s="23" t="n">
        <x:v>601.332763671875</x:v>
      </x:c>
      <x:c r="EG119" s="23" t="n">
        <x:v>1427.3707275390625</x:v>
      </x:c>
      <x:c r="EH119" s="23" t="n">
        <x:v>870.7626516685956</x:v>
      </x:c>
      <x:c r="EI119" s="23" t="n">
        <x:v>562.8779703776041</x:v>
      </x:c>
      <x:c r="EJ119" s="23" t="n">
        <x:v>1403.9080403645833</x:v>
      </x:c>
      <x:c r="EK119" s="23" t="n">
        <x:v>1418.6261393229165</x:v>
      </x:c>
      <x:c r="EL119" s="23" t="n">
        <x:v>583.8182779947916</x:v>
      </x:c>
      <x:c r="EM119" s="23" t="n">
        <x:v>585.90185546875</x:v>
      </x:c>
      <x:c r="EN119" s="23" t="n">
        <x:v>1376.985148111979</x:v>
      </x:c>
      <x:c r="EO119" s="23" t="n">
        <x:v>1259.4205322265625</x:v>
      </x:c>
      <x:c r="EP119" s="23" t="n">
        <x:f>SUM(B119:EO119)</x:f>
        <x:v>52389.348626298575</x:v>
      </x:c>
      <x:c r="EQ119" s="23" t="n">
        <x:f>SUMPRODUCT(B119:EO119,{0.4408,0.4102,0.4282,0.4439,0.4353,0.4102,0.3964,0.4136,0.4353,0.4168,0.4113,0.433,0.442,0.4379,0.44,0.4624,0.4656,0.428,0.3759,0.3938,0.4709,0.5056,0.4739,0.4205,0.4162,0.4457,0.4658,0.4502,0.4604,0.4709,0.4071,0.4212,0.4485,0.3164,0.487,0.8845,0.9353,0.8653,0.8286,0.7534,0.7709,0.8447,0.7969,0.7607,0.7424,0.6515,0.8168,1.1618,1.2428,1.1894,1.1353,1.0749,1.0243,0.9958,0.9895,0.9978,0.9955,0.9581,0.9237,0.9182,0.9304,0.916,0.9006,0.9263,0.8063,0.5842,0.5141,0.5405,0.572,0.572,0.5431,0.4879,0.4211,0.4345,0.4486,0.3281,0.4528,0.786,0.8864,0.8781,0.871,0.8384,0.8497,0.907,0.937,0.9376,0.9534,0.9964,0.8553,0.6272,0.6376,0.6786,0.6461,0.6543,0.7238,0.7941,0.7927,0.8143,0.8788,0.911,0.9235,0.9383,0.961,0.9846,1.0026,1.0238,1.0999,1.2104,1.2753,1.3068,1.3264,1.3334,1.2997,1.2756,1.3387,1.3448,1.2814,1.2854,1.3411,1.3731,1.3297,1.3257,1.3726,1.3464,1.1684,0.9772,0.9975,0.9989,0.9594,1.0319,0.8033,0.395,0.3847,0.473,0.4431,0.3883,0.3999,0.4594,0.4685,0.4306,0.4075,0.4473,0.4259,0.3375})</x:f>
        <x:v>31983.74203789267</x:v>
      </x:c>
    </x:row>
    <x:row r="120" ht="14" customHeight="1">
      <x:c r="A120" s="3">
        <x:v>45807</x:v>
      </x:c>
      <x:c r="B120" s="23" t="n">
        <x:v>420.04264322916663</x:v>
      </x:c>
      <x:c r="C120" s="23" t="n">
        <x:v>429.71940104166663</x:v>
      </x:c>
      <x:c r="D120" s="23" t="n">
        <x:v>442.6510823567708</x:v>
      </x:c>
      <x:c r="E120" s="23" t="n">
        <x:v>430.7084554036458</x:v>
      </x:c>
      <x:c r="F120" s="23" t="n">
        <x:v>419.3100179036458</x:v>
      </x:c>
      <x:c r="G120" s="23" t="n">
        <x:v>0</x:v>
      </x:c>
      <x:c r="H120" s="23" t="n">
        <x:v>0</x:v>
      </x:c>
      <x:c r="I120" s="23" t="n">
        <x:v>183.83625844400106</x:v>
      </x:c>
      <x:c r="J120" s="23" t="n">
        <x:v>430.8430989583333</x:v>
      </x:c>
      <x:c r="K120" s="23" t="n">
        <x:v>419.2632649739583</x:v>
      </x:c>
      <x:c r="L120" s="23" t="n">
        <x:v>415.0626220703125</x:v>
      </x:c>
      <x:c r="M120" s="23" t="n">
        <x:v>427.3720703125</x:v>
      </x:c>
      <x:c r="N120" s="23" t="n">
        <x:v>430.5197347005208</x:v>
      </x:c>
      <x:c r="O120" s="23" t="n">
        <x:v>0</x:v>
      </x:c>
      <x:c r="P120" s="23" t="n">
        <x:v>0</x:v>
      </x:c>
      <x:c r="Q120" s="23" t="n">
        <x:v>0</x:v>
      </x:c>
      <x:c r="R120" s="23" t="n">
        <x:v>442.57763671875</x:v>
      </x:c>
      <x:c r="S120" s="23" t="n">
        <x:v>446.2773030598958</x:v>
      </x:c>
      <x:c r="T120" s="23" t="n">
        <x:v>447.1884765625</x:v>
      </x:c>
      <x:c r="U120" s="23" t="n">
        <x:v>442.4353841145833</x:v>
      </x:c>
      <x:c r="V120" s="23" t="n">
        <x:v>444.2498372395833</x:v>
      </x:c>
      <x:c r="W120" s="23" t="n">
        <x:v>447.9057210286458</x:v>
      </x:c>
      <x:c r="X120" s="23" t="n">
        <x:v>0</x:v>
      </x:c>
      <x:c r="Y120" s="23" t="n">
        <x:v>0</x:v>
      </x:c>
      <x:c r="Z120" s="23" t="n">
        <x:v>0</x:v>
      </x:c>
      <x:c r="AA120" s="23" t="n">
        <x:v>443.78898111979163</x:v>
      </x:c>
      <x:c r="AB120" s="23" t="n">
        <x:v>444.4706624348958</x:v>
      </x:c>
      <x:c r="AC120" s="23" t="n">
        <x:v>446.3896765384703</x:v>
      </x:c>
      <x:c r="AD120" s="23" t="n">
        <x:v>447.6616638123351</x:v>
      </x:c>
      <x:c r="AE120" s="23" t="n">
        <x:v>452.84549967447913</x:v>
      </x:c>
      <x:c r="AF120" s="23" t="n">
        <x:v>423.9566270753214</x:v>
      </x:c>
      <x:c r="AG120" s="23" t="n">
        <x:v>406.3922525226685</x:v>
      </x:c>
      <x:c r="AH120" s="23" t="n">
        <x:v>365.7328436356686</x:v>
      </x:c>
      <x:c r="AI120" s="23" t="n">
        <x:v>1152.282379500026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0</x:v>
      </x:c>
      <x:c r="CW120" s="23" t="n">
        <x:v>0</x:v>
      </x:c>
      <x:c r="CX120" s="23" t="n">
        <x:v>0</x:v>
      </x:c>
      <x:c r="CY120" s="23" t="n">
        <x:v>0</x:v>
      </x:c>
      <x:c r="CZ120" s="23" t="n">
        <x:v>26.65262905105472</x:v>
      </x:c>
      <x:c r="DA120" s="23" t="n">
        <x:v>99.22278327594768</x:v>
      </x:c>
      <x:c r="DB120" s="23" t="n">
        <x:v>123.04921839021304</x:v>
      </x:c>
      <x:c r="DC120" s="23" t="n">
        <x:v>197.29432164636205</x:v>
      </x:c>
      <x:c r="DD120" s="23" t="n">
        <x:v>253.8705397023387</x:v>
      </x:c>
      <x:c r="DE120" s="23" t="n">
        <x:v>0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0</x:v>
      </x:c>
      <x:c r="DW120" s="23" t="n">
        <x:v>527.1643473307291</x:v>
      </x:c>
      <x:c r="DX120" s="23" t="n">
        <x:v>550.1693929036458</x:v>
      </x:c>
      <x:c r="DY120" s="23" t="n">
        <x:v>507.03299967447913</x:v>
      </x:c>
      <x:c r="DZ120" s="23" t="n">
        <x:v>496.1619466145833</x:v>
      </x:c>
      <x:c r="EA120" s="23" t="n">
        <x:v>389.1251413586716</x:v>
      </x:c>
      <x:c r="EB120" s="23" t="n">
        <x:v>502.5890151041665</x:v>
      </x:c>
      <x:c r="EC120" s="23" t="n">
        <x:v>1247.7003580729165</x:v>
      </x:c>
      <x:c r="ED120" s="23" t="n">
        <x:v>1250.521240234375</x:v>
      </x:c>
      <x:c r="EE120" s="23" t="n">
        <x:v>1279.426025390625</x:v>
      </x:c>
      <x:c r="EF120" s="23" t="n">
        <x:v>1262.425048828125</x:v>
      </x:c>
      <x:c r="EG120" s="23" t="n">
        <x:v>429.10087076822913</x:v>
      </x:c>
      <x:c r="EH120" s="23" t="n">
        <x:v>434.8387451171875</x:v>
      </x:c>
      <x:c r="EI120" s="23" t="n">
        <x:v>434.4405517578125</x:v>
      </x:c>
      <x:c r="EJ120" s="23" t="n">
        <x:v>1262.7364908854165</x:v>
      </x:c>
      <x:c r="EK120" s="23" t="n">
        <x:v>422.2934163411458</x:v>
      </x:c>
      <x:c r="EL120" s="23" t="n">
        <x:v>1259.60498046875</x:v>
      </x:c>
      <x:c r="EM120" s="23" t="n">
        <x:v>432.15946451822913</x:v>
      </x:c>
      <x:c r="EN120" s="23" t="n">
        <x:v>422.515380859375</x:v>
      </x:c>
      <x:c r="EO120" s="23" t="n">
        <x:v>699.8911917076581</x:v>
      </x:c>
      <x:c r="EP120" s="23" t="n">
        <x:f>SUM(B120:EO120)</x:f>
        <x:v>26213.469694434178</x:v>
      </x:c>
      <x:c r="EQ120" s="23" t="n">
        <x:f>SUMPRODUCT(B120:EO120,{0.3026,0.3013,0.3094,0.3283,0.3334,0.3318,0.3505,0.3428,0.3175,0.3343,0.3573,0.3617,0.3615,0.3789,0.3855,0.3382,0.3405,0.3825,0.356,0.3561,0.404,0.4105,0.3532,0.2919,0.309,0.3278,0.3286,0.363,0.3803,0.3625,0.344,0.3332,0.3059,0.2658,0.4153,0.6712,0.7208,0.6681,0.6361,0.6411,0.6329,0.6009,0.5779,0.5516,0.5132,0.4915,0.5958,0.7619,0.8014,0.7951,0.7761,0.7039,0.7046,0.7809,0.7973,0.7347,0.6587,0.6491,0.6321,0.583,0.5513,0.5345,0.5664,0.655,0.5262,0.2563,0.2105,0.2276,0.1589,0.04,0.0389,0.12,0.1008,0.1427,0.2217,0.1617,0.2559,0.5061,0.6069,0.6597,0.6861,0.5981,0.5987,0.6819,0.643,0.6148,0.6795,0.7466,0.6029,0.3732,0.4005,0.446,0.4237,0.4799,0.4919,0.466,0.5467,0.6362,0.6499,0.6021,0.5907,0.6152,0.6029,0.6594,0.7323,0.6789,0.7932,1.0447,1.0902,1.0698,1.0721,1.0452,1.0807,1.1441,1.1057,1.1028,1.1525,1.1356,1.1365,1.1624,1.1302,1.1136,1.1761,1.2666,1.0998,0.789,0.7529,0.8111,0.835,0.8442,0.6424,0.3451,0.304,0.3533,0.3732,0.4021,0.392,0.3505,0.3419,0.3436,0.3474,0.3698,0.3785,0.352})</x:f>
        <x:v>10585.753809071668</x:v>
      </x:c>
    </x:row>
    <x:row r="121" ht="14" customHeight="1">
      <x:c r="A121" s="3">
        <x:v>45808</x:v>
      </x:c>
      <x:c r="B121" s="23" t="n">
        <x:v>411.53173828125</x:v>
      </x:c>
      <x:c r="C121" s="23" t="n">
        <x:v>411.4334716796875</x:v>
      </x:c>
      <x:c r="D121" s="23" t="n">
        <x:v>415.77689615885413</x:v>
      </x:c>
      <x:c r="E121" s="23" t="n">
        <x:v>416.12467447916663</x:v>
      </x:c>
      <x:c r="F121" s="23" t="n">
        <x:v>406.56591796875</x:v>
      </x:c>
      <x:c r="G121" s="23" t="n">
        <x:v>0</x:v>
      </x:c>
      <x:c r="H121" s="23" t="n">
        <x:v>410.7392171223958</x:v>
      </x:c>
      <x:c r="I121" s="23" t="n">
        <x:v>416.786865234375</x:v>
      </x:c>
      <x:c r="J121" s="23" t="n">
        <x:v>0</x:v>
      </x:c>
      <x:c r="K121" s="23" t="n">
        <x:v>416.444580078125</x:v>
      </x:c>
      <x:c r="L121" s="23" t="n">
        <x:v>0</x:v>
      </x:c>
      <x:c r="M121" s="23" t="n">
        <x:v>0</x:v>
      </x:c>
      <x:c r="N121" s="23" t="n">
        <x:v>0</x:v>
      </x:c>
      <x:c r="O121" s="23" t="n">
        <x:v>427.806396484375</x:v>
      </x:c>
      <x:c r="P121" s="23" t="n">
        <x:v>270.9273152103318</x:v>
      </x:c>
      <x:c r="Q121" s="23" t="n">
        <x:v>0</x:v>
      </x:c>
      <x:c r="R121" s="23" t="n">
        <x:v>435.45263671875</x:v>
      </x:c>
      <x:c r="S121" s="23" t="n">
        <x:v>440.9229329427083</x:v>
      </x:c>
      <x:c r="T121" s="23" t="n">
        <x:v>435.7322998046875</x:v>
      </x:c>
      <x:c r="U121" s="23" t="n">
        <x:v>432.1862386067708</x:v>
      </x:c>
      <x:c r="V121" s="23" t="n">
        <x:v>448.837890625</x:v>
      </x:c>
      <x:c r="W121" s="23" t="n">
        <x:v>447.86686197916663</x:v>
      </x:c>
      <x:c r="X121" s="23" t="n">
        <x:v>446.18522135416663</x:v>
      </x:c>
      <x:c r="Y121" s="23" t="n">
        <x:v>442.3375244140625</x:v>
      </x:c>
      <x:c r="Z121" s="23" t="n">
        <x:v>0</x:v>
      </x:c>
      <x:c r="AA121" s="23" t="n">
        <x:v>435.07621256510413</x:v>
      </x:c>
      <x:c r="AB121" s="23" t="n">
        <x:v>443.85172526041663</x:v>
      </x:c>
      <x:c r="AC121" s="23" t="n">
        <x:v>437.94270982737027</x:v>
      </x:c>
      <x:c r="AD121" s="23" t="n">
        <x:v>0</x:v>
      </x:c>
      <x:c r="AE121" s="23" t="n">
        <x:v>438.3636067708333</x:v>
      </x:c>
      <x:c r="AF121" s="23" t="n">
        <x:v>417.1366952301437</x:v>
      </x:c>
      <x:c r="AG121" s="23" t="n">
        <x:v>394.0374295950709</x:v>
      </x:c>
      <x:c r="AH121" s="23" t="n">
        <x:v>358.79391111062125</x:v>
      </x:c>
      <x:c r="AI121" s="23" t="n">
        <x:v>1145.2233914535577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0</x:v>
      </x:c>
      <x:c r="CW121" s="23" t="n">
        <x:v>13.312181085507683</x:v>
      </x:c>
      <x:c r="CX121" s="23" t="n">
        <x:v>29.562618795695773</x:v>
      </x:c>
      <x:c r="CY121" s="23" t="n">
        <x:v>0</x:v>
      </x:c>
      <x:c r="CZ121" s="23" t="n">
        <x:v>22.64126825078771</x:v>
      </x:c>
      <x:c r="DA121" s="23" t="n">
        <x:v>71.66089073183146</x:v>
      </x:c>
      <x:c r="DB121" s="23" t="n">
        <x:v>183.67943029801248</x:v>
      </x:c>
      <x:c r="DC121" s="23" t="n">
        <x:v>194.9275695779641</x:v>
      </x:c>
      <x:c r="DD121" s="23" t="n">
        <x:v>210.677275812467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0</x:v>
      </x:c>
      <x:c r="DW121" s="23" t="n">
        <x:v>527.9329427083333</x:v>
      </x:c>
      <x:c r="DX121" s="23" t="n">
        <x:v>524.7130940755208</x:v>
      </x:c>
      <x:c r="DY121" s="23" t="n">
        <x:v>344.1472429141639</x:v>
      </x:c>
      <x:c r="DZ121" s="23" t="n">
        <x:v>541.2072347005208</x:v>
      </x:c>
      <x:c r="EA121" s="23" t="n">
        <x:v>529.1386737109374</x:v>
      </x:c>
      <x:c r="EB121" s="23" t="n">
        <x:v>464.0396321614583</x:v>
      </x:c>
      <x:c r="EC121" s="23" t="n">
        <x:v>412.7264636300793</x:v>
      </x:c>
      <x:c r="ED121" s="23" t="n">
        <x:v>1238.1776936848958</x:v>
      </x:c>
      <x:c r="EE121" s="23" t="n">
        <x:v>1262.8421223958333</x:v>
      </x:c>
      <x:c r="EF121" s="23" t="n">
        <x:v>639.104399305556</x:v>
      </x:c>
      <x:c r="EG121" s="23" t="n">
        <x:v>433.8306884765625</x:v>
      </x:c>
      <x:c r="EH121" s="23" t="n">
        <x:v>438.0843098958333</x:v>
      </x:c>
      <x:c r="EI121" s="23" t="n">
        <x:v>433.1103108723958</x:v>
      </x:c>
      <x:c r="EJ121" s="23" t="n">
        <x:v>1251.054484049479</x:v>
      </x:c>
      <x:c r="EK121" s="23" t="n">
        <x:v>1248.154541015625</x:v>
      </x:c>
      <x:c r="EL121" s="23" t="n">
        <x:v>1249.9429524739583</x:v>
      </x:c>
      <x:c r="EM121" s="23" t="n">
        <x:v>1249.4561767578125</x:v>
      </x:c>
      <x:c r="EN121" s="23" t="n">
        <x:v>437.0385335286458</x:v>
      </x:c>
      <x:c r="EO121" s="23" t="n">
        <x:v>560.6693115234375</x:v>
      </x:c>
      <x:c r="EP121" s="23" t="n">
        <x:f>SUM(B121:EO121)</x:f>
        <x:v>26115.916403389052</x:v>
      </x:c>
      <x:c r="EQ121" s="23" t="n">
        <x:f>SUMPRODUCT(B121:EO121,{0.2994,0.2553,0.2643,0.3429,0.3833,0.344,0.2828,0.2648,0.303,0.356,0.3769,0.3557,0.3249,0.3305,0.3645,0.3791,0.3905,0.3963,0.3698,0.3298,0.3071,0.3211,0.3449,0.3675,0.3875,0.3414,0.2939,0.3746,0.4025,0.3394,0.3259,0.3322,0.2989,0.2416,0.3989,0.6697,0.6946,0.6507,0.6455,0.6132,0.6182,0.6359,0.5724,0.5456,0.5499,0.4846,0.5648,0.7473,0.764,0.7923,0.8436,0.7449,0.6994,0.7663,0.7957,0.7667,0.7111,0.6751,0.6864,0.7214,0.7226,0.6854,0.6524,0.6461,0.4915,0.2565,0.2045,0.2157,0.1863,0.1409,0.1522,0.2119,0.2435,0.2659,0.2663,0.232,0.3602,0.5863,0.631,0.6088,0.6156,0.6325,0.6612,0.683,0.6657,0.6301,0.6634,0.8019,0.6911,0.4078,0.3896,0.4134,0.3884,0.4578,0.4958,0.4847,0.531,0.5295,0.4975,0.56,0.5704,0.5262,0.5784,0.641,0.6341,0.6044,0.8118,1.1141,1.0941,1.0398,1.095,1.1183,1.1293,1.1491,1.1602,1.1633,1.1738,1.2,1.1887,1.1549,1.1641,1.1519,1.1311,1.1584,1.0386,0.8294,0.8008,0.8144,0.8143,0.8461,0.6274,0.2901,0.2843,0.35,0.3112,0.2566,0.264,0.3242,0.3581,0.3383,0.2968,0.3063,0.4115,0.5298})</x:f>
        <x:v>10128.112793318931</x:v>
      </x:c>
    </x:row>
    <x:row r="122" ht="14" customHeight="1">
      <x:c r="A122" s="3">
        <x:v>45809</x:v>
      </x:c>
      <x:c r="B122" s="23" t="n">
        <x:v>583.5630289713541</x:v>
      </x:c>
      <x:c r="C122" s="23" t="n">
        <x:v>578.2792561848958</x:v>
      </x:c>
      <x:c r="D122" s="23" t="n">
        <x:v>579.0767415364583</x:v>
      </x:c>
      <x:c r="E122" s="23" t="n">
        <x:v>584.2053629557291</x:v>
      </x:c>
      <x:c r="F122" s="23" t="n">
        <x:v>1411.4158935546875</x:v>
      </x:c>
      <x:c r="G122" s="23" t="n">
        <x:v>580.8993733723958</x:v>
      </x:c>
      <x:c r="H122" s="23" t="n">
        <x:v>574.2333984375</x:v>
      </x:c>
      <x:c r="I122" s="23" t="n">
        <x:v>576.7190755208333</x:v>
      </x:c>
      <x:c r="J122" s="23" t="n">
        <x:v>586.5953776041666</x:v>
      </x:c>
      <x:c r="K122" s="23" t="n">
        <x:v>596.4078776041666</x:v>
      </x:c>
      <x:c r="L122" s="23" t="n">
        <x:v>588.9943440755208</x:v>
      </x:c>
      <x:c r="M122" s="23" t="n">
        <x:v>577.5277099609375</x:v>
      </x:c>
      <x:c r="N122" s="23" t="n">
        <x:v>585.3289794921875</x:v>
      </x:c>
      <x:c r="O122" s="23" t="n">
        <x:v>1423.3832194010415</x:v>
      </x:c>
      <x:c r="P122" s="23" t="n">
        <x:v>1425.0455729166665</x:v>
      </x:c>
      <x:c r="Q122" s="23" t="n">
        <x:v>576.904541015625</x:v>
      </x:c>
      <x:c r="R122" s="23" t="n">
        <x:v>579.0004069010416</x:v>
      </x:c>
      <x:c r="S122" s="23" t="n">
        <x:v>587.6295572916666</x:v>
      </x:c>
      <x:c r="T122" s="23" t="n">
        <x:v>588.6621907552083</x:v>
      </x:c>
      <x:c r="U122" s="23" t="n">
        <x:v>578.1951090494791</x:v>
      </x:c>
      <x:c r="V122" s="23" t="n">
        <x:v>583.3603108723958</x:v>
      </x:c>
      <x:c r="W122" s="23" t="n">
        <x:v>594.5985921223958</x:v>
      </x:c>
      <x:c r="X122" s="23" t="n">
        <x:v>1435.8804524739583</x:v>
      </x:c>
      <x:c r="Y122" s="23" t="n">
        <x:v>596.2444661458333</x:v>
      </x:c>
      <x:c r="Z122" s="23" t="n">
        <x:v>596.5323893229166</x:v>
      </x:c>
      <x:c r="AA122" s="23" t="n">
        <x:v>589.31201171875</x:v>
      </x:c>
      <x:c r="AB122" s="23" t="n">
        <x:v>596.7705891927083</x:v>
      </x:c>
      <x:c r="AC122" s="23" t="n">
        <x:v>579.7381469140615</x:v>
      </x:c>
      <x:c r="AD122" s="23" t="n">
        <x:v>585.6690673828125</x:v>
      </x:c>
      <x:c r="AE122" s="23" t="n">
        <x:v>597.1316324869791</x:v>
      </x:c>
      <x:c r="AF122" s="23" t="n">
        <x:v>570.9418662106965</x:v>
      </x:c>
      <x:c r="AG122" s="23" t="n">
        <x:v>949.9623243340213</x:v>
      </x:c>
      <x:c r="AH122" s="23" t="n">
        <x:v>509.153482500246</x:v>
      </x:c>
      <x:c r="AI122" s="23" t="n">
        <x:v>1288.654126643399</x:v>
      </x:c>
      <x:c r="AJ122" s="23" t="n">
        <x:v>0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0</x:v>
      </x:c>
      <x:c r="BV122" s="23" t="n">
        <x:v>0</x:v>
      </x:c>
      <x:c r="BW122" s="23" t="n">
        <x:v>0</x:v>
      </x:c>
      <x:c r="BX122" s="23" t="n">
        <x:v>0</x:v>
      </x:c>
      <x:c r="BY122" s="23" t="n">
        <x:v>0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21.117891459812803</x:v>
      </x:c>
      <x:c r="CN122" s="23" t="n">
        <x:v>59.42260408395274</x:v>
      </x:c>
      <x:c r="CO122" s="23" t="n">
        <x:v>96.03640739169744</x:v>
      </x:c>
      <x:c r="CP122" s="23" t="n">
        <x:v>135.8682886223849</x:v>
      </x:c>
      <x:c r="CQ122" s="23" t="n">
        <x:v>169.04658629186846</x:v>
      </x:c>
      <x:c r="CR122" s="23" t="n">
        <x:v>216.00588705807917</x:v>
      </x:c>
      <x:c r="CS122" s="23" t="n">
        <x:v>285.40584670233994</x:v>
      </x:c>
      <x:c r="CT122" s="23" t="n">
        <x:v>345.99096732092687</x:v>
      </x:c>
      <x:c r="CU122" s="23" t="n">
        <x:v>394.20702452621947</x:v>
      </x:c>
      <x:c r="CV122" s="23" t="n">
        <x:v>433.0415443593266</x:v>
      </x:c>
      <x:c r="CW122" s="23" t="n">
        <x:v>475.98168159703357</x:v>
      </x:c>
      <x:c r="CX122" s="23" t="n">
        <x:v>521.9862846572528</x:v>
      </x:c>
      <x:c r="CY122" s="23" t="n">
        <x:v>571.7881480340118</x:v>
      </x:c>
      <x:c r="CZ122" s="23" t="n">
        <x:v>608.3341877830879</x:v>
      </x:c>
      <x:c r="DA122" s="23" t="n">
        <x:v>671.7367883931792</x:v>
      </x:c>
      <x:c r="DB122" s="23" t="n">
        <x:v>727.4736480894774</x:v>
      </x:c>
      <x:c r="DC122" s="23" t="n">
        <x:v>777.9514204232041</x:v>
      </x:c>
      <x:c r="DD122" s="23" t="n">
        <x:v>736.2030275362528</x:v>
      </x:c>
      <x:c r="DE122" s="23" t="n">
        <x:v>551.8287570343925</x:v>
      </x:c>
      <x:c r="DF122" s="23" t="n">
        <x:v>589.9681349466988</x:v>
      </x:c>
      <x:c r="DG122" s="23" t="n">
        <x:v>634.4743766429303</x:v>
      </x:c>
      <x:c r="DH122" s="23" t="n">
        <x:v>0</x:v>
      </x:c>
      <x:c r="DI122" s="23" t="n">
        <x:v>315.47719218287045</x:v>
      </x:c>
      <x:c r="DJ122" s="23" t="n">
        <x:v>5.8506899312315</x:v>
      </x:c>
      <x:c r="DK122" s="23" t="n">
        <x:v>7.036352864583326</x:v>
      </x:c>
      <x:c r="DL122" s="23" t="n">
        <x:v>753.3009440104166</x:v>
      </x:c>
      <x:c r="DM122" s="23" t="n">
        <x:v>745.4735020516257</x:v>
      </x:c>
      <x:c r="DN122" s="23" t="n">
        <x:v>0</x:v>
      </x:c>
      <x:c r="DO122" s="23" t="n">
        <x:v>26.562358138020954</x:v>
      </x:c>
      <x:c r="DP122" s="23" t="n">
        <x:v>45.85090311197912</x:v>
      </x:c>
      <x:c r="DQ122" s="23" t="n">
        <x:v>1.8406464843750048</x:v>
      </x:c>
      <x:c r="DR122" s="23" t="n">
        <x:v>7.02578846354163</x:v>
      </x:c>
      <x:c r="DS122" s="23" t="n">
        <x:v>5.702930390625018</x:v>
      </x:c>
      <x:c r="DT122" s="23" t="n">
        <x:v>74.02702636718746</x:v>
      </x:c>
      <x:c r="DU122" s="23" t="n">
        <x:v>14.307352682291668</x:v>
      </x:c>
      <x:c r="DV122" s="23" t="n">
        <x:v>808.1892903645833</x:v>
      </x:c>
      <x:c r="DW122" s="23" t="n">
        <x:v>811.3575846354166</x:v>
      </x:c>
      <x:c r="DX122" s="23" t="n">
        <x:v>782.3780110677083</x:v>
      </x:c>
      <x:c r="DY122" s="23" t="n">
        <x:v>758.8770345052083</x:v>
      </x:c>
      <x:c r="DZ122" s="23" t="n">
        <x:v>752.0194498697916</x:v>
      </x:c>
      <x:c r="EA122" s="23" t="n">
        <x:v>777.9276287890626</x:v>
      </x:c>
      <x:c r="EB122" s="23" t="n">
        <x:v>738.88525390625</x:v>
      </x:c>
      <x:c r="EC122" s="23" t="n">
        <x:v>1411.7614339192708</x:v>
      </x:c>
      <x:c r="ED122" s="23" t="n">
        <x:v>1411.781494140625</x:v>
      </x:c>
      <x:c r="EE122" s="23" t="n">
        <x:v>601.5337727864583</x:v>
      </x:c>
      <x:c r="EF122" s="23" t="n">
        <x:v>577.38037109375</x:v>
      </x:c>
      <x:c r="EG122" s="23" t="n">
        <x:v>566.6989339192708</x:v>
      </x:c>
      <x:c r="EH122" s="23" t="n">
        <x:v>566.0853271484375</x:v>
      </x:c>
      <x:c r="EI122" s="23" t="n">
        <x:v>570.1754964192708</x:v>
      </x:c>
      <x:c r="EJ122" s="23" t="n">
        <x:v>1423.0846354166665</x:v>
      </x:c>
      <x:c r="EK122" s="23" t="n">
        <x:v>1426.357218424479</x:v>
      </x:c>
      <x:c r="EL122" s="23" t="n">
        <x:v>1408.5232747395833</x:v>
      </x:c>
      <x:c r="EM122" s="23" t="n">
        <x:v>1417.1483968098958</x:v>
      </x:c>
      <x:c r="EN122" s="23" t="n">
        <x:v>797.6282262168853</x:v>
      </x:c>
      <x:c r="EO122" s="23" t="n">
        <x:v>588.866943359375</x:v>
      </x:c>
      <x:c r="EP122" s="23" t="n">
        <x:f>SUM(B122:EO122)</x:f>
        <x:v>53459.001442087596</x:v>
      </x:c>
      <x:c r="EQ122" s="23" t="n">
        <x:f>SUMPRODUCT(B122:EO122,{0.5243,0.5142,0.535,0.5077,0.4869,0.4953,0.4969,0.4887,0.479,0.4779,0.4928,0.4969,0.4617,0.4772,0.5155,0.461,0.432,0.4559,0.4425,0.434,0.4424,0.4324,0.4379,0.4629,0.4761,0.4965,0.5039,0.4586,0.4488,0.4765,0.4576,0.4352,0.4079,0.3697,0.585,0.9241,0.9495,0.837,0.7681,0.7617,0.7946,0.8085,0.756,0.7343,0.7179,0.6344,0.8323,1.1829,1.1763,1.1012,1.1139,1.0818,1.0652,1.0938,1.1116,1.0579,1.0027,1.0719,1.1008,1.037,0.9932,0.9935,1.0231,1.0337,0.9079,0.7195,0.6776,0.7033,0.6991,0.6506,0.6469,0.6555,0.5626,0.5057,0.5332,0.5802,0.7386,0.9443,1.0012,0.9715,0.9505,0.9764,0.9981,1.0068,1.0372,1.0424,1.0442,1.081,0.9172,0.6687,0.7151,0.8162,0.825,0.8312,0.8551,0.865,0.8342,0.878,0.9721,0.9734,0.9616,0.9798,0.9925,1.0203,1.0309,0.9855,1.0772,1.2546,1.2645,1.2523,1.3001,1.3379,1.3489,1.3501,1.3694,1.4009,1.406,1.3566,1.3535,1.3869,1.352,1.3355,1.3691,1.3713,1.2337,1.059,1.065,1.0726,1.0487,1.0897,0.8466,0.4701,0.4948,0.5535,0.4834,0.4865,0.4827,0.46,0.5084,0.5566,0.5573,0.5306,0.5021,0.4921})</x:f>
        <x:v>35625.53510912853</x:v>
      </x:c>
    </x:row>
    <x:row r="123" ht="14" customHeight="1">
      <x:c r="A123" s="3">
        <x:v>45810</x:v>
      </x:c>
      <x:c r="B123" s="23" t="n">
        <x:v>1422.6359049479165</x:v>
      </x:c>
      <x:c r="C123" s="23" t="n">
        <x:v>586.5360921223958</x:v>
      </x:c>
      <x:c r="D123" s="23" t="n">
        <x:v>584.5345865885416</x:v>
      </x:c>
      <x:c r="E123" s="23" t="n">
        <x:v>1421.717081705729</x:v>
      </x:c>
      <x:c r="F123" s="23" t="n">
        <x:v>1423.3934733072915</x:v>
      </x:c>
      <x:c r="G123" s="23" t="n">
        <x:v>585.2704671223958</x:v>
      </x:c>
      <x:c r="H123" s="23" t="n">
        <x:v>595.3703206380208</x:v>
      </x:c>
      <x:c r="I123" s="23" t="n">
        <x:v>582.8176676432291</x:v>
      </x:c>
      <x:c r="J123" s="23" t="n">
        <x:v>577.9250081380208</x:v>
      </x:c>
      <x:c r="K123" s="23" t="n">
        <x:v>581.0343831380208</x:v>
      </x:c>
      <x:c r="L123" s="23" t="n">
        <x:v>887.4644199789416</x:v>
      </x:c>
      <x:c r="M123" s="23" t="n">
        <x:v>588.6253662109375</x:v>
      </x:c>
      <x:c r="N123" s="23" t="n">
        <x:v>581.9940592447916</x:v>
      </x:c>
      <x:c r="O123" s="23" t="n">
        <x:v>588.0736897786458</x:v>
      </x:c>
      <x:c r="P123" s="23" t="n">
        <x:v>589.5338541666666</x:v>
      </x:c>
      <x:c r="Q123" s="23" t="n">
        <x:v>1419.41259765625</x:v>
      </x:c>
      <x:c r="R123" s="23" t="n">
        <x:v>585.0433349609375</x:v>
      </x:c>
      <x:c r="S123" s="23" t="n">
        <x:v>590.464111328125</x:v>
      </x:c>
      <x:c r="T123" s="23" t="n">
        <x:v>592.3425699869791</x:v>
      </x:c>
      <x:c r="U123" s="23" t="n">
        <x:v>590.8502604166666</x:v>
      </x:c>
      <x:c r="V123" s="23" t="n">
        <x:v>589.64990234375</x:v>
      </x:c>
      <x:c r="W123" s="23" t="n">
        <x:v>586.8216552734375</x:v>
      </x:c>
      <x:c r="X123" s="23" t="n">
        <x:v>584.1513671875</x:v>
      </x:c>
      <x:c r="Y123" s="23" t="n">
        <x:v>587.850830078125</x:v>
      </x:c>
      <x:c r="Z123" s="23" t="n">
        <x:v>594.0643310546875</x:v>
      </x:c>
      <x:c r="AA123" s="23" t="n">
        <x:v>1418.299072265625</x:v>
      </x:c>
      <x:c r="AB123" s="23" t="n">
        <x:v>1413.0580240885415</x:v>
      </x:c>
      <x:c r="AC123" s="23" t="n">
        <x:v>578.4126704667934</x:v>
      </x:c>
      <x:c r="AD123" s="23" t="n">
        <x:v>587.55810546875</x:v>
      </x:c>
      <x:c r="AE123" s="23" t="n">
        <x:v>596.0004069010416</x:v>
      </x:c>
      <x:c r="AF123" s="23" t="n">
        <x:v>572.1511570899844</x:v>
      </x:c>
      <x:c r="AG123" s="23" t="n">
        <x:v>544.8312338459822</x:v>
      </x:c>
      <x:c r="AH123" s="23" t="n">
        <x:v>1343.9988814039018</x:v>
      </x:c>
      <x:c r="AI123" s="23" t="n">
        <x:v>1292.0044843642686</x:v>
      </x:c>
      <x:c r="AJ123" s="23" t="n">
        <x:v>477.1893255257128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0</x:v>
      </x:c>
      <x:c r="BQ123" s="23" t="n">
        <x:v>0</x:v>
      </x:c>
      <x:c r="BR123" s="23" t="n">
        <x:v>0</x:v>
      </x:c>
      <x:c r="BS123" s="23" t="n">
        <x:v>0</x:v>
      </x:c>
      <x:c r="BT123" s="23" t="n">
        <x:v>0</x:v>
      </x:c>
      <x:c r="BU123" s="23" t="n">
        <x:v>0</x:v>
      </x:c>
      <x:c r="BV123" s="23" t="n">
        <x:v>71.86953503940504</x:v>
      </x:c>
      <x:c r="BW123" s="23" t="n">
        <x:v>0</x:v>
      </x:c>
      <x:c r="BX123" s="23" t="n">
        <x:v>0</x:v>
      </x:c>
      <x:c r="BY123" s="23" t="n">
        <x:v>0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53.614441177686786</x:v>
      </x:c>
      <x:c r="CN123" s="23" t="n">
        <x:v>99.40802464591145</x:v>
      </x:c>
      <x:c r="CO123" s="23" t="n">
        <x:v>122.33783710527071</x:v>
      </x:c>
      <x:c r="CP123" s="23" t="n">
        <x:v>159.30677696125926</x:v>
      </x:c>
      <x:c r="CQ123" s="23" t="n">
        <x:v>217.5747737377366</x:v>
      </x:c>
      <x:c r="CR123" s="23" t="n">
        <x:v>277.3482981095276</x:v>
      </x:c>
      <x:c r="CS123" s="23" t="n">
        <x:v>323.19650857255874</x:v>
      </x:c>
      <x:c r="CT123" s="23" t="n">
        <x:v>381.8018289761388</x:v>
      </x:c>
      <x:c r="CU123" s="23" t="n">
        <x:v>431.32848017451863</x:v>
      </x:c>
      <x:c r="CV123" s="23" t="n">
        <x:v>468.12071897310557</x:v>
      </x:c>
      <x:c r="CW123" s="23" t="n">
        <x:v>520.5714632523886</x:v>
      </x:c>
      <x:c r="CX123" s="23" t="n">
        <x:v>562.9262548659244</x:v>
      </x:c>
      <x:c r="CY123" s="23" t="n">
        <x:v>599.8584507162082</x:v>
      </x:c>
      <x:c r="CZ123" s="23" t="n">
        <x:v>645.020654993601</x:v>
      </x:c>
      <x:c r="DA123" s="23" t="n">
        <x:v>691.8906270114251</x:v>
      </x:c>
      <x:c r="DB123" s="23" t="n">
        <x:v>756.3302674876868</x:v>
      </x:c>
      <x:c r="DC123" s="23" t="n">
        <x:v>800.2498557561396</x:v>
      </x:c>
      <x:c r="DD123" s="23" t="n">
        <x:v>748.8923057086865</x:v>
      </x:c>
      <x:c r="DE123" s="23" t="n">
        <x:v>575.0989849474926</x:v>
      </x:c>
      <x:c r="DF123" s="23" t="n">
        <x:v>603.8700018966435</x:v>
      </x:c>
      <x:c r="DG123" s="23" t="n">
        <x:v>639.2866550591186</x:v>
      </x:c>
      <x:c r="DH123" s="23" t="n">
        <x:v>669.2511601837359</x:v>
      </x:c>
      <x:c r="DI123" s="23" t="n">
        <x:v>271.1419436427471</x:v>
      </x:c>
      <x:c r="DJ123" s="23" t="n">
        <x:v>75.52443546444495</x:v>
      </x:c>
      <x:c r="DK123" s="23" t="n">
        <x:v>68.62136914062496</x:v>
      </x:c>
      <x:c r="DL123" s="23" t="n">
        <x:v>54.09945771538317</x:v>
      </x:c>
      <x:c r="DM123" s="23" t="n">
        <x:v>12.433240056748673</x:v>
      </x:c>
      <x:c r="DN123" s="23" t="n">
        <x:v>5.641605143229147</x:v>
      </x:c>
      <x:c r="DO123" s="23" t="n">
        <x:v>7.286106302083377</x:v>
      </x:c>
      <x:c r="DP123" s="23" t="n">
        <x:v>757.0960286458333</x:v>
      </x:c>
      <x:c r="DQ123" s="23" t="n">
        <x:v>31.322720703125015</x:v>
      </x:c>
      <x:c r="DR123" s="23" t="n">
        <x:v>18.370169505208345</x:v>
      </x:c>
      <x:c r="DS123" s="23" t="n">
        <x:v>82.40802697916675</x:v>
      </x:c>
      <x:c r="DT123" s="23" t="n">
        <x:v>93.30151399739589</x:v>
      </x:c>
      <x:c r="DU123" s="23" t="n">
        <x:v>48.601475781249974</x:v>
      </x:c>
      <x:c r="DV123" s="23" t="n">
        <x:v>751.94287109375</x:v>
      </x:c>
      <x:c r="DW123" s="23" t="n">
        <x:v>754.6578776041666</x:v>
      </x:c>
      <x:c r="DX123" s="23" t="n">
        <x:v>783.4222005208333</x:v>
      </x:c>
      <x:c r="DY123" s="23" t="n">
        <x:v>756.4763997395833</x:v>
      </x:c>
      <x:c r="DZ123" s="23" t="n">
        <x:v>824.5477701822916</x:v>
      </x:c>
      <x:c r="EA123" s="23" t="n">
        <x:v>805.1602005208335</x:v>
      </x:c>
      <x:c r="EB123" s="23" t="n">
        <x:v>736.2574055989583</x:v>
      </x:c>
      <x:c r="EC123" s="23" t="n">
        <x:v>589.7185260979295</x:v>
      </x:c>
      <x:c r="ED123" s="23" t="n">
        <x:v>1425.376749674479</x:v>
      </x:c>
      <x:c r="EE123" s="23" t="n">
        <x:v>593.4991048177083</x:v>
      </x:c>
      <x:c r="EF123" s="23" t="n">
        <x:v>1418.638468424479</x:v>
      </x:c>
      <x:c r="EG123" s="23" t="n">
        <x:v>581.5051676432291</x:v>
      </x:c>
      <x:c r="EH123" s="23" t="n">
        <x:v>797.8613812291023</x:v>
      </x:c>
      <x:c r="EI123" s="23" t="n">
        <x:v>1399.7299397786458</x:v>
      </x:c>
      <x:c r="EJ123" s="23" t="n">
        <x:v>1417.8292236328125</x:v>
      </x:c>
      <x:c r="EK123" s="23" t="n">
        <x:v>1427.294677734375</x:v>
      </x:c>
      <x:c r="EL123" s="23" t="n">
        <x:v>1420.656534830729</x:v>
      </x:c>
      <x:c r="EM123" s="23" t="n">
        <x:v>586.9396158854166</x:v>
      </x:c>
      <x:c r="EN123" s="23" t="n">
        <x:v>593.7889404296875</x:v>
      </x:c>
      <x:c r="EO123" s="23" t="n">
        <x:v>589.6429850260416</x:v>
      </x:c>
      <x:c r="EP123" s="23" t="n">
        <x:f>SUM(B123:EO123)</x:f>
        <x:v>57341.02873533307</x:v>
      </x:c>
      <x:c r="EQ123" s="23" t="n">
        <x:f>SUMPRODUCT(B123:EO123,{0.5027,0.4898,0.4696,0.4985,0.5092,0.4802,0.4594,0.4638,0.473,0.4565,0.4532,0.4757,0.4926,0.4771,0.4361,0.4125,0.4558,0.5231,0.5181,0.5049,0.5,0.4572,0.4337,0.4474,0.457,0.4448,0.4187,0.4049,0.4238,0.4322,0.3817,0.4385,0.5034,0.3546,0.5238,0.9276,0.9219,0.8295,0.8359,0.7968,0.7955,0.8252,0.7786,0.7457,0.723,0.6602,0.8721,1.2421,1.295,1.2126,1.1656,1.1395,1.104,1.0721,1.0814,1.0891,1.0453,0.9456,0.9062,0.9326,0.9189,0.8782,0.8807,0.9414,0.7707,0.4683,0.4431,0.4892,0.4729,0.4651,0.4347,0.4127,0.4799,0.5578,0.56,0.504,0.6706,0.9803,1.055,1.0208,0.9904,0.9576,1.0079,1.0791,1.0204,1.0078,1.0841,1.0908,0.9415,0.779,0.8368,0.8877,0.8578,0.8924,0.9313,0.9372,0.9436,0.9609,0.9782,0.9853,1.031,1.086,1.0701,1.0636,1.063,1.0099,1.1124,1.3059,1.3052,1.2926,1.349,1.3663,1.3668,1.361,1.3315,1.335,1.3556,1.3241,1.3226,1.3671,1.3869,1.3816,1.3761,1.3654,1.2073,0.9847,0.9515,1.013,1.074,1.0861,0.8464,0.5256,0.5275,0.5488,0.4843,0.519,0.4965,0.4342,0.5139,0.5325,0.4695,0.5017,0.4796,0.4167})</x:f>
        <x:v>37738.17160019717</x:v>
      </x:c>
    </x:row>
    <x:row r="124" ht="14" customHeight="1">
      <x:c r="A124" s="3">
        <x:v>45811</x:v>
      </x:c>
      <x:c r="B124" s="23" t="n">
        <x:v>610.8689371744791</x:v>
      </x:c>
      <x:c r="C124" s="23" t="n">
        <x:v>1441.4864908854165</x:v>
      </x:c>
      <x:c r="D124" s="23" t="n">
        <x:v>600.2123209635416</x:v>
      </x:c>
      <x:c r="E124" s="23" t="n">
        <x:v>601.070556640625</x:v>
      </x:c>
      <x:c r="F124" s="23" t="n">
        <x:v>1430.6368815104165</x:v>
      </x:c>
      <x:c r="G124" s="23" t="n">
        <x:v>596.0311686197916</x:v>
      </x:c>
      <x:c r="H124" s="23" t="n">
        <x:v>600.1351725260416</x:v>
      </x:c>
      <x:c r="I124" s="23" t="n">
        <x:v>603.8496500651041</x:v>
      </x:c>
      <x:c r="J124" s="23" t="n">
        <x:v>600.1016845703125</x:v>
      </x:c>
      <x:c r="K124" s="23" t="n">
        <x:v>1434.3380940755208</x:v>
      </x:c>
      <x:c r="L124" s="23" t="n">
        <x:v>1433.433146158854</x:v>
      </x:c>
      <x:c r="M124" s="23" t="n">
        <x:v>1427.325927734375</x:v>
      </x:c>
      <x:c r="N124" s="23" t="n">
        <x:v>1432.730021158854</x:v>
      </x:c>
      <x:c r="O124" s="23" t="n">
        <x:v>756.7528306303045</x:v>
      </x:c>
      <x:c r="P124" s="23" t="n">
        <x:v>1439.9193115234375</x:v>
      </x:c>
      <x:c r="Q124" s="23" t="n">
        <x:v>606.5398356119791</x:v>
      </x:c>
      <x:c r="R124" s="23" t="n">
        <x:v>607.6887613932291</x:v>
      </x:c>
      <x:c r="S124" s="23" t="n">
        <x:v>610.0641276041666</x:v>
      </x:c>
      <x:c r="T124" s="23" t="n">
        <x:v>599.4965413411458</x:v>
      </x:c>
      <x:c r="U124" s="23" t="n">
        <x:v>601.8222249348958</x:v>
      </x:c>
      <x:c r="V124" s="23" t="n">
        <x:v>613.3536783854166</x:v>
      </x:c>
      <x:c r="W124" s="23" t="n">
        <x:v>607.0590006510416</x:v>
      </x:c>
      <x:c r="X124" s="23" t="n">
        <x:v>603.491455078125</x:v>
      </x:c>
      <x:c r="Y124" s="23" t="n">
        <x:v>606.3324381510416</x:v>
      </x:c>
      <x:c r="Z124" s="23" t="n">
        <x:v>602.6190999348958</x:v>
      </x:c>
      <x:c r="AA124" s="23" t="n">
        <x:v>602.708984375</x:v>
      </x:c>
      <x:c r="AB124" s="23" t="n">
        <x:v>611.8470458984375</x:v>
      </x:c>
      <x:c r="AC124" s="23" t="n">
        <x:v>597.6464950330553</x:v>
      </x:c>
      <x:c r="AD124" s="23" t="n">
        <x:v>602.4788411458333</x:v>
      </x:c>
      <x:c r="AE124" s="23" t="n">
        <x:v>607.406982421875</x:v>
      </x:c>
      <x:c r="AF124" s="23" t="n">
        <x:v>580.258256050207</x:v>
      </x:c>
      <x:c r="AG124" s="23" t="n">
        <x:v>552.9738773415693</x:v>
      </x:c>
      <x:c r="AH124" s="23" t="n">
        <x:v>521.3336011172255</x:v>
      </x:c>
      <x:c r="AI124" s="23" t="n">
        <x:v>1308.6916424185802</x:v>
      </x:c>
      <x:c r="AJ124" s="23" t="n">
        <x:v>507.1619346582311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131.68129494277673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0</x:v>
      </x:c>
      <x:c r="BP124" s="23" t="n">
        <x:v>0</x:v>
      </x:c>
      <x:c r="BQ124" s="23" t="n">
        <x:v>0</x:v>
      </x:c>
      <x:c r="BR124" s="23" t="n">
        <x:v>549.1205192774587</x:v>
      </x:c>
      <x:c r="BS124" s="23" t="n">
        <x:v>0</x:v>
      </x:c>
      <x:c r="BT124" s="23" t="n">
        <x:v>0</x:v>
      </x:c>
      <x:c r="BU124" s="23" t="n">
        <x:v>22.558226329524434</x:v>
      </x:c>
      <x:c r="BV124" s="23" t="n">
        <x:v>474.4212490182411</x:v>
      </x:c>
      <x:c r="BW124" s="23" t="n">
        <x:v>0</x:v>
      </x:c>
      <x:c r="BX124" s="23" t="n">
        <x:v>0</x:v>
      </x:c>
      <x:c r="BY124" s="23" t="n">
        <x:v>509.9515509037843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91.8547711640073</x:v>
      </x:c>
      <x:c r="CN124" s="23" t="n">
        <x:v>207.5436135101351</x:v>
      </x:c>
      <x:c r="CO124" s="23" t="n">
        <x:v>166.03290486763746</x:v>
      </x:c>
      <x:c r="CP124" s="23" t="n">
        <x:v>207.46573673180302</x:v>
      </x:c>
      <x:c r="CQ124" s="23" t="n">
        <x:v>266.4765233891467</x:v>
      </x:c>
      <x:c r="CR124" s="23" t="n">
        <x:v>323.35641617220915</x:v>
      </x:c>
      <x:c r="CS124" s="23" t="n">
        <x:v>369.3228119537416</x:v>
      </x:c>
      <x:c r="CT124" s="23" t="n">
        <x:v>418.579940616056</x:v>
      </x:c>
      <x:c r="CU124" s="23" t="n">
        <x:v>463.4293540487538</x:v>
      </x:c>
      <x:c r="CV124" s="23" t="n">
        <x:v>503.7050452420774</x:v>
      </x:c>
      <x:c r="CW124" s="23" t="n">
        <x:v>549.7294599275241</x:v>
      </x:c>
      <x:c r="CX124" s="23" t="n">
        <x:v>597.4479565378424</x:v>
      </x:c>
      <x:c r="CY124" s="23" t="n">
        <x:v>633.6360525029186</x:v>
      </x:c>
      <x:c r="CZ124" s="23" t="n">
        <x:v>682.1369540681201</x:v>
      </x:c>
      <x:c r="DA124" s="23" t="n">
        <x:v>730.8903673249051</x:v>
      </x:c>
      <x:c r="DB124" s="23" t="n">
        <x:v>764.20451893632</x:v>
      </x:c>
      <x:c r="DC124" s="23" t="n">
        <x:v>804.9253729755683</x:v>
      </x:c>
      <x:c r="DD124" s="23" t="n">
        <x:v>746.8626738899225</x:v>
      </x:c>
      <x:c r="DE124" s="23" t="n">
        <x:v>573.2542957887376</x:v>
      </x:c>
      <x:c r="DF124" s="23" t="n">
        <x:v>615.4101360490547</x:v>
      </x:c>
      <x:c r="DG124" s="23" t="n">
        <x:v>660.5468800136982</x:v>
      </x:c>
      <x:c r="DH124" s="23" t="n">
        <x:v>697.6061812691896</x:v>
      </x:c>
      <x:c r="DI124" s="23" t="n">
        <x:v>734.5345679767594</x:v>
      </x:c>
      <x:c r="DJ124" s="23" t="n">
        <x:v>77.42336489656903</x:v>
      </x:c>
      <x:c r="DK124" s="23" t="n">
        <x:v>5.585502929687512</x:v>
      </x:c>
      <x:c r="DL124" s="23" t="n">
        <x:v>4.121885459221478</x:v>
      </x:c>
      <x:c r="DM124" s="23" t="n">
        <x:v>0</x:v>
      </x:c>
      <x:c r="DN124" s="23" t="n">
        <x:v>6.66552734375</x:v>
      </x:c>
      <x:c r="DO124" s="23" t="n">
        <x:v>0</x:v>
      </x:c>
      <x:c r="DP124" s="23" t="n">
        <x:v>790.3997395833333</x:v>
      </x:c>
      <x:c r="DQ124" s="23" t="n">
        <x:v>3.1829085286458394</x:v>
      </x:c>
      <x:c r="DR124" s="23" t="n">
        <x:v>0</x:v>
      </x:c>
      <x:c r="DS124" s="23" t="n">
        <x:v>10.498367187500055</x:v>
      </x:c>
      <x:c r="DT124" s="23" t="n">
        <x:v>3.476067708333327</x:v>
      </x:c>
      <x:c r="DU124" s="23" t="n">
        <x:v>0</x:v>
      </x:c>
      <x:c r="DV124" s="23" t="n">
        <x:v>793.8417154947916</x:v>
      </x:c>
      <x:c r="DW124" s="23" t="n">
        <x:v>793.3785807291666</x:v>
      </x:c>
      <x:c r="DX124" s="23" t="n">
        <x:v>791.3225001607508</x:v>
      </x:c>
      <x:c r="DY124" s="23" t="n">
        <x:v>786.7476399739583</x:v>
      </x:c>
      <x:c r="DZ124" s="23" t="n">
        <x:v>789.5453287760416</x:v>
      </x:c>
      <x:c r="EA124" s="23" t="n">
        <x:v>805.7104022135418</x:v>
      </x:c>
      <x:c r="EB124" s="23" t="n">
        <x:v>745.3451285807291</x:v>
      </x:c>
      <x:c r="EC124" s="23" t="n">
        <x:v>1441.4915364583333</x:v>
      </x:c>
      <x:c r="ED124" s="23" t="n">
        <x:v>1444.6673583984375</x:v>
      </x:c>
      <x:c r="EE124" s="23" t="n">
        <x:v>629.369384765625</x:v>
      </x:c>
      <x:c r="EF124" s="23" t="n">
        <x:v>905.3748079226145</x:v>
      </x:c>
      <x:c r="EG124" s="23" t="n">
        <x:v>609.1041259765625</x:v>
      </x:c>
      <x:c r="EH124" s="23" t="n">
        <x:v>615.1373697916666</x:v>
      </x:c>
      <x:c r="EI124" s="23" t="n">
        <x:v>612.8334554036458</x:v>
      </x:c>
      <x:c r="EJ124" s="23" t="n">
        <x:v>1439.1329752604165</x:v>
      </x:c>
      <x:c r="EK124" s="23" t="n">
        <x:v>1434.927734375</x:v>
      </x:c>
      <x:c r="EL124" s="23" t="n">
        <x:v>1439.8968098958333</x:v>
      </x:c>
      <x:c r="EM124" s="23" t="n">
        <x:v>615.52392578125</x:v>
      </x:c>
      <x:c r="EN124" s="23" t="n">
        <x:v>617.3967692057291</x:v>
      </x:c>
      <x:c r="EO124" s="23" t="n">
        <x:v>1439.146484375</x:v>
      </x:c>
      <x:c r="EP124" s="23" t="n">
        <x:f>SUM(B124:EO124)</x:f>
        <x:v>60707.79979038705</x:v>
      </x:c>
      <x:c r="EQ124" s="23" t="n">
        <x:f>SUMPRODUCT(B124:EO124,{0.4836,0.5019,0.449,0.4814,0.4955,0.4634,0.4729,0.5,0.5031,0.4703,0.4606,0.4913,0.5159,0.4734,0.4221,0.4797,0.5213,0.4982,0.4817,0.4707,0.4581,0.4531,0.4757,0.4987,0.471,0.4464,0.4393,0.4159,0.4102,0.4285,0.4441,0.4775,0.4644,0.3586,0.5465,0.9095,0.9155,0.8239,0.8152,0.8102,0.8236,0.8396,0.8078,0.7644,0.7201,0.6902,0.8813,1.1828,1.2388,1.1717,1.1377,1.1664,1.1454,1.0743,1.0594,1.0515,1.0339,1.0396,1.0114,0.972,0.995,0.9538,0.9049,0.999,0.854,0.5441,0.5461,0.5941,0.5511,0.5565,0.5735,0.5436,0.4709,0.4965,0.5482,0.4514,0.5867,0.8968,0.9185,0.8755,0.9086,0.9243,0.9357,0.96,0.9868,0.9964,1.0224,1.0856,0.9523,0.6932,0.6412,0.7068,0.7647,0.7877,0.8441,0.901,0.8619,0.8647,0.9276,0.9328,0.9326,0.9642,1.0078,1.0546,1.0781,1.0684,1.1551,1.2996,1.3235,1.3007,1.3064,1.344,1.3873,1.3988,1.3593,1.336,1.3541,1.3747,1.3613,1.3316,1.3392,1.371,1.4159,1.4412,1.2667,1.0081,0.9879,1.0334,1.0508,1.0762,0.859,0.5252,0.4914,0.5439,0.5165,0.4564,0.4247,0.452,0.5187,0.5366,0.5075,0.5089,0.4974,0.4698})</x:f>
        <x:v>39891.67057839986</x:v>
      </x:c>
    </x:row>
    <x:row r="125" ht="14" customHeight="1">
      <x:c r="A125" s="3">
        <x:v>45812</x:v>
      </x:c>
      <x:c r="B125" s="23" t="n">
        <x:v>603.9102376302083</x:v>
      </x:c>
      <x:c r="C125" s="23" t="n">
        <x:v>610.2810465494791</x:v>
      </x:c>
      <x:c r="D125" s="23" t="n">
        <x:v>611.9250081380208</x:v>
      </x:c>
      <x:c r="E125" s="23" t="n">
        <x:v>615.8812255859375</x:v>
      </x:c>
      <x:c r="F125" s="23" t="n">
        <x:v>614.6445719401041</x:v>
      </x:c>
      <x:c r="G125" s="23" t="n">
        <x:v>606.0321044921875</x:v>
      </x:c>
      <x:c r="H125" s="23" t="n">
        <x:v>1438.71044921875</x:v>
      </x:c>
      <x:c r="I125" s="23" t="n">
        <x:v>609.8621826171875</x:v>
      </x:c>
      <x:c r="J125" s="23" t="n">
        <x:v>609.8077392578125</x:v>
      </x:c>
      <x:c r="K125" s="23" t="n">
        <x:v>1437.89794921875</x:v>
      </x:c>
      <x:c r="L125" s="23" t="n">
        <x:v>1436.5570882161458</x:v>
      </x:c>
      <x:c r="M125" s="23" t="n">
        <x:v>610.521728515625</x:v>
      </x:c>
      <x:c r="N125" s="23" t="n">
        <x:v>609.0027669270833</x:v>
      </x:c>
      <x:c r="O125" s="23" t="n">
        <x:v>607.5160725911458</x:v>
      </x:c>
      <x:c r="P125" s="23" t="n">
        <x:v>606.5652669270833</x:v>
      </x:c>
      <x:c r="Q125" s="23" t="n">
        <x:v>608.5122477213541</x:v>
      </x:c>
      <x:c r="R125" s="23" t="n">
        <x:v>622.58935546875</x:v>
      </x:c>
      <x:c r="S125" s="23" t="n">
        <x:v>636.2381998697916</x:v>
      </x:c>
      <x:c r="T125" s="23" t="n">
        <x:v>614.1272786458333</x:v>
      </x:c>
      <x:c r="U125" s="23" t="n">
        <x:v>604.111083984375</x:v>
      </x:c>
      <x:c r="V125" s="23" t="n">
        <x:v>606.5958658854166</x:v>
      </x:c>
      <x:c r="W125" s="23" t="n">
        <x:v>604.1281331380208</x:v>
      </x:c>
      <x:c r="X125" s="23" t="n">
        <x:v>609.5636393229166</x:v>
      </x:c>
      <x:c r="Y125" s="23" t="n">
        <x:v>603.9551188151041</x:v>
      </x:c>
      <x:c r="Z125" s="23" t="n">
        <x:v>1185.0047625996667</x:v>
      </x:c>
      <x:c r="AA125" s="23" t="n">
        <x:v>1434.69921875</x:v>
      </x:c>
      <x:c r="AB125" s="23" t="n">
        <x:v>606.4584554036458</x:v>
      </x:c>
      <x:c r="AC125" s="23" t="n">
        <x:v>608.8738613427066</x:v>
      </x:c>
      <x:c r="AD125" s="23" t="n">
        <x:v>616.6112467447916</x:v>
      </x:c>
      <x:c r="AE125" s="23" t="n">
        <x:v>605.6987711588541</x:v>
      </x:c>
      <x:c r="AF125" s="23" t="n">
        <x:v>1411.298544160677</x:v>
      </x:c>
      <x:c r="AG125" s="23" t="n">
        <x:v>560.8097876859808</x:v>
      </x:c>
      <x:c r="AH125" s="23" t="n">
        <x:v>1367.1988052509241</x:v>
      </x:c>
      <x:c r="AI125" s="23" t="n">
        <x:v>1314.9070563422283</x:v>
      </x:c>
      <x:c r="AJ125" s="23" t="n">
        <x:v>516.2804211730147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148.58677529470015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0</x:v>
      </x:c>
      <x:c r="BP125" s="23" t="n">
        <x:v>0</x:v>
      </x:c>
      <x:c r="BQ125" s="23" t="n">
        <x:v>0</x:v>
      </x:c>
      <x:c r="BR125" s="23" t="n">
        <x:v>0</x:v>
      </x:c>
      <x:c r="BS125" s="23" t="n">
        <x:v>577.6249486253051</x:v>
      </x:c>
      <x:c r="BT125" s="23" t="n">
        <x:v>154.3974606717957</x:v>
      </x:c>
      <x:c r="BU125" s="23" t="n">
        <x:v>0</x:v>
      </x:c>
      <x:c r="BV125" s="23" t="n">
        <x:v>502.9586187038476</x:v>
      </x:c>
      <x:c r="BW125" s="23" t="n">
        <x:v>505.83954534031227</x:v>
      </x:c>
      <x:c r="BX125" s="23" t="n">
        <x:v>522.485795004281</x:v>
      </x:c>
      <x:c r="BY125" s="23" t="n">
        <x:v>527.9473370998587</x:v>
      </x:c>
      <x:c r="BZ125" s="23" t="n">
        <x:v>0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87.5251216884235</x:v>
      </x:c>
      <x:c r="CN125" s="23" t="n">
        <x:v>214.00117679726023</x:v>
      </x:c>
      <x:c r="CO125" s="23" t="n">
        <x:v>171.5811405641813</x:v>
      </x:c>
      <x:c r="CP125" s="23" t="n">
        <x:v>218.3059524217206</x:v>
      </x:c>
      <x:c r="CQ125" s="23" t="n">
        <x:v>283.77296644858063</x:v>
      </x:c>
      <x:c r="CR125" s="23" t="n">
        <x:v>333.8524253480558</x:v>
      </x:c>
      <x:c r="CS125" s="23" t="n">
        <x:v>369.40119833862565</x:v>
      </x:c>
      <x:c r="CT125" s="23" t="n">
        <x:v>424.2632935084637</x:v>
      </x:c>
      <x:c r="CU125" s="23" t="n">
        <x:v>474.6169496761164</x:v>
      </x:c>
      <x:c r="CV125" s="23" t="n">
        <x:v>513.7474721763879</x:v>
      </x:c>
      <x:c r="CW125" s="23" t="n">
        <x:v>556.9409014383202</x:v>
      </x:c>
      <x:c r="CX125" s="23" t="n">
        <x:v>597.9090985054293</x:v>
      </x:c>
      <x:c r="CY125" s="23" t="n">
        <x:v>655.5851664363917</x:v>
      </x:c>
      <x:c r="CZ125" s="23" t="n">
        <x:v>693.5235478270466</x:v>
      </x:c>
      <x:c r="DA125" s="23" t="n">
        <x:v>737.8868369986512</x:v>
      </x:c>
      <x:c r="DB125" s="23" t="n">
        <x:v>784.5216107886868</x:v>
      </x:c>
      <x:c r="DC125" s="23" t="n">
        <x:v>829.108265127075</x:v>
      </x:c>
      <x:c r="DD125" s="23" t="n">
        <x:v>772.7648795274355</x:v>
      </x:c>
      <x:c r="DE125" s="23" t="n">
        <x:v>576.0607623173373</x:v>
      </x:c>
      <x:c r="DF125" s="23" t="n">
        <x:v>613.1438564340286</x:v>
      </x:c>
      <x:c r="DG125" s="23" t="n">
        <x:v>658.5811788396018</x:v>
      </x:c>
      <x:c r="DH125" s="23" t="n">
        <x:v>715.4197360175194</x:v>
      </x:c>
      <x:c r="DI125" s="23" t="n">
        <x:v>0</x:v>
      </x:c>
      <x:c r="DJ125" s="23" t="n">
        <x:v>0</x:v>
      </x:c>
      <x:c r="DK125" s="23" t="n">
        <x:v>7.087731119791593</x:v>
      </x:c>
      <x:c r="DL125" s="23" t="n">
        <x:v>783.8977864583333</x:v>
      </x:c>
      <x:c r="DM125" s="23" t="n">
        <x:v>0</x:v>
      </x:c>
      <x:c r="DN125" s="23" t="n">
        <x:v>11.192584635416702</x:v>
      </x:c>
      <x:c r="DO125" s="23" t="n">
        <x:v>10.553306770833387</x:v>
      </x:c>
      <x:c r="DP125" s="23" t="n">
        <x:v>3.7266891927083634</x:v>
      </x:c>
      <x:c r="DQ125" s="23" t="n">
        <x:v>3.5851269531249272</x:v>
      </x:c>
      <x:c r="DR125" s="23" t="n">
        <x:v>0</x:v>
      </x:c>
      <x:c r="DS125" s="23" t="n">
        <x:v>768.9978466332851</x:v>
      </x:c>
      <x:c r="DT125" s="23" t="n">
        <x:v>6.144986979166636</x:v>
      </x:c>
      <x:c r="DU125" s="23" t="n">
        <x:v>0</x:v>
      </x:c>
      <x:c r="DV125" s="23" t="n">
        <x:v>795.2819010416666</x:v>
      </x:c>
      <x:c r="DW125" s="23" t="n">
        <x:v>799.725341796875</x:v>
      </x:c>
      <x:c r="DX125" s="23" t="n">
        <x:v>825.8779638069061</x:v>
      </x:c>
      <x:c r="DY125" s="23" t="n">
        <x:v>787.495849609375</x:v>
      </x:c>
      <x:c r="DZ125" s="23" t="n">
        <x:v>787.4386393229166</x:v>
      </x:c>
      <x:c r="EA125" s="23" t="n">
        <x:v>791.0197510416666</x:v>
      </x:c>
      <x:c r="EB125" s="23" t="n">
        <x:v>753.464585286458</x:v>
      </x:c>
      <x:c r="EC125" s="23" t="n">
        <x:v>615.6580403645833</x:v>
      </x:c>
      <x:c r="ED125" s="23" t="n">
        <x:v>1440.743204752604</x:v>
      </x:c>
      <x:c r="EE125" s="23" t="n">
        <x:v>1447.752685546875</x:v>
      </x:c>
      <x:c r="EF125" s="23" t="n">
        <x:v>1452.531982421875</x:v>
      </x:c>
      <x:c r="EG125" s="23" t="n">
        <x:v>900.0849579836997</x:v>
      </x:c>
      <x:c r="EH125" s="23" t="n">
        <x:v>614.1118977864583</x:v>
      </x:c>
      <x:c r="EI125" s="23" t="n">
        <x:v>1441.688761393229</x:v>
      </x:c>
      <x:c r="EJ125" s="23" t="n">
        <x:v>1446.7774251302083</x:v>
      </x:c>
      <x:c r="EK125" s="23" t="n">
        <x:v>621.0074055989583</x:v>
      </x:c>
      <x:c r="EL125" s="23" t="n">
        <x:v>619.41650390625</x:v>
      </x:c>
      <x:c r="EM125" s="23" t="n">
        <x:v>625.3575846354166</x:v>
      </x:c>
      <x:c r="EN125" s="23" t="n">
        <x:v>629.085205078125</x:v>
      </x:c>
      <x:c r="EO125" s="23" t="n">
        <x:v>1452.417032877604</x:v>
      </x:c>
      <x:c r="EP125" s="23" t="n">
        <x:f>SUM(B125:EO125)</x:f>
        <x:v>62031.25408737942</x:v>
      </x:c>
      <x:c r="EQ125" s="23" t="n">
        <x:f>SUMPRODUCT(B125:EO125,{0.4775,0.5028,0.5145,0.4962,0.4706,0.4733,0.5181,0.5257,0.4802,0.4485,0.4734,0.5173,0.5067,0.5124,0.5211,0.4477,0.3983,0.4322,0.5074,0.5613,0.5435,0.4569,0.4416,0.4872,0.4543,0.4196,0.4285,0.444,0.4484,0.4519,0.4765,0.5008,0.4608,0.3598,0.5705,0.9395,0.9186,0.8368,0.856,0.8127,0.8079,0.8362,0.7783,0.7576,0.7637,0.6996,0.8845,1.2045,1.1919,1.1089,1.1223,1.1292,1.0829,1.0308,1.0474,1.0128,0.9342,0.9449,0.9791,0.9854,0.9751,0.9449,0.9369,0.9736,0.8171,0.5572,0.5375,0.5546,0.5147,0.5333,0.5644,0.5763,0.5853,0.5713,0.5246,0.5023,0.729,1.0371,1.0146,0.9919,1.0778,1.0543,1.0361,1.0379,0.9591,0.9769,1.0872,1.0757,0.9013,0.705,0.6919,0.7807,0.8469,0.8305,0.8064,0.8241,0.8674,0.8946,0.8973,0.9042,0.937,0.9793,1.0012,1.056,1.104,1.0609,1.1071,1.2427,1.2793,1.2657,1.2705,1.3089,1.3536,1.3915,1.4185,1.3725,1.3093,1.354,1.3833,1.3613,1.3711,1.3741,1.3771,1.4049,1.2594,1.0229,1.0028,1.0674,1.1135,1.1191,0.8368,0.4371,0.3958,0.5125,0.5669,0.5321,0.5294,0.563,0.5292,0.4971,0.4939,0.4815,0.5016,0.5289})</x:f>
        <x:v>41043.455674685385</x:v>
      </x:c>
    </x:row>
    <x:row r="126" ht="14" customHeight="1">
      <x:c r="A126" s="3">
        <x:v>45813</x:v>
      </x:c>
      <x:c r="B126" s="23" t="n">
        <x:v>1216.4792780414098</x:v>
      </x:c>
      <x:c r="C126" s="23" t="n">
        <x:v>1444.5018717447915</x:v>
      </x:c>
      <x:c r="D126" s="23" t="n">
        <x:v>611.1685384114583</x:v>
      </x:c>
      <x:c r="E126" s="23" t="n">
        <x:v>613.0331624348958</x:v>
      </x:c>
      <x:c r="F126" s="23" t="n">
        <x:v>610.5414225260416</x:v>
      </x:c>
      <x:c r="G126" s="23" t="n">
        <x:v>609.3966878255208</x:v>
      </x:c>
      <x:c r="H126" s="23" t="n">
        <x:v>609.42919921875</x:v>
      </x:c>
      <x:c r="I126" s="23" t="n">
        <x:v>612.2878824869791</x:v>
      </x:c>
      <x:c r="J126" s="23" t="n">
        <x:v>612.6841634114583</x:v>
      </x:c>
      <x:c r="K126" s="23" t="n">
        <x:v>1442.5763753255208</x:v>
      </x:c>
      <x:c r="L126" s="23" t="n">
        <x:v>1438.667032877604</x:v>
      </x:c>
      <x:c r="M126" s="23" t="n">
        <x:v>607.3812255859375</x:v>
      </x:c>
      <x:c r="N126" s="23" t="n">
        <x:v>610.2229817708333</x:v>
      </x:c>
      <x:c r="O126" s="23" t="n">
        <x:v>605.7528483072916</x:v>
      </x:c>
      <x:c r="P126" s="23" t="n">
        <x:v>604.7556559244791</x:v>
      </x:c>
      <x:c r="Q126" s="23" t="n">
        <x:v>609.7801920572916</x:v>
      </x:c>
      <x:c r="R126" s="23" t="n">
        <x:v>613.4471435546875</x:v>
      </x:c>
      <x:c r="S126" s="23" t="n">
        <x:v>607.9686279296875</x:v>
      </x:c>
      <x:c r="T126" s="23" t="n">
        <x:v>613.3415120442708</x:v>
      </x:c>
      <x:c r="U126" s="23" t="n">
        <x:v>614.2532145182291</x:v>
      </x:c>
      <x:c r="V126" s="23" t="n">
        <x:v>608.0902913411458</x:v>
      </x:c>
      <x:c r="W126" s="23" t="n">
        <x:v>605.4457600911458</x:v>
      </x:c>
      <x:c r="X126" s="23" t="n">
        <x:v>606.2059733072916</x:v>
      </x:c>
      <x:c r="Y126" s="23" t="n">
        <x:v>605.5013427734375</x:v>
      </x:c>
      <x:c r="Z126" s="23" t="n">
        <x:v>612.054443359375</x:v>
      </x:c>
      <x:c r="AA126" s="23" t="n">
        <x:v>1443.866495768229</x:v>
      </x:c>
      <x:c r="AB126" s="23" t="n">
        <x:v>609.289306640625</x:v>
      </x:c>
      <x:c r="AC126" s="23" t="n">
        <x:v>611.7758283071499</x:v>
      </x:c>
      <x:c r="AD126" s="23" t="n">
        <x:v>615.3125</x:v>
      </x:c>
      <x:c r="AE126" s="23" t="n">
        <x:v>1440.357666015625</x:v>
      </x:c>
      <x:c r="AF126" s="23" t="n">
        <x:v>1413.0358661126916</x:v>
      </x:c>
      <x:c r="AG126" s="23" t="n">
        <x:v>564.036367110448</x:v>
      </x:c>
      <x:c r="AH126" s="23" t="n">
        <x:v>533.7966008061687</x:v>
      </x:c>
      <x:c r="AI126" s="23" t="n">
        <x:v>1319.1072105121166</x:v>
      </x:c>
      <x:c r="AJ126" s="23" t="n">
        <x:v>522.7712059705779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0</x:v>
      </x:c>
      <x:c r="AT126" s="23" t="n">
        <x:v>0</x:v>
      </x:c>
      <x:c r="AU126" s="23" t="n">
        <x:v>141.93252006785934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0</x:v>
      </x:c>
      <x:c r="BP126" s="23" t="n">
        <x:v>0</x:v>
      </x:c>
      <x:c r="BQ126" s="23" t="n">
        <x:v>0</x:v>
      </x:c>
      <x:c r="BR126" s="23" t="n">
        <x:v>141.16770385051964</x:v>
      </x:c>
      <x:c r="BS126" s="23" t="n">
        <x:v>0</x:v>
      </x:c>
      <x:c r="BT126" s="23" t="n">
        <x:v>554.0854122402534</x:v>
      </x:c>
      <x:c r="BU126" s="23" t="n">
        <x:v>519.5539918617602</x:v>
      </x:c>
      <x:c r="BV126" s="23" t="n">
        <x:v>520.3934658287819</x:v>
      </x:c>
      <x:c r="BW126" s="23" t="n">
        <x:v>533.3174231106715</x:v>
      </x:c>
      <x:c r="BX126" s="23" t="n">
        <x:v>558.7794074988125</x:v>
      </x:c>
      <x:c r="BY126" s="23" t="n">
        <x:v>568.5051770872844</x:v>
      </x:c>
      <x:c r="BZ126" s="23" t="n">
        <x:v>0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112.90964654717177</x:v>
      </x:c>
      <x:c r="CN126" s="23" t="n">
        <x:v>292.94387194399644</x:v>
      </x:c>
      <x:c r="CO126" s="23" t="n">
        <x:v>192.95566450069433</x:v>
      </x:c>
      <x:c r="CP126" s="23" t="n">
        <x:v>230.98268382527672</x:v>
      </x:c>
      <x:c r="CQ126" s="23" t="n">
        <x:v>288.8488676213154</x:v>
      </x:c>
      <x:c r="CR126" s="23" t="n">
        <x:v>347.55396090523374</x:v>
      </x:c>
      <x:c r="CS126" s="23" t="n">
        <x:v>393.1212821299788</x:v>
      </x:c>
      <x:c r="CT126" s="23" t="n">
        <x:v>433.6801936372244</x:v>
      </x:c>
      <x:c r="CU126" s="23" t="n">
        <x:v>468.2712800729017</x:v>
      </x:c>
      <x:c r="CV126" s="23" t="n">
        <x:v>516.6346139289716</x:v>
      </x:c>
      <x:c r="CW126" s="23" t="n">
        <x:v>556.1096433715513</x:v>
      </x:c>
      <x:c r="CX126" s="23" t="n">
        <x:v>604.1465501053138</x:v>
      </x:c>
      <x:c r="CY126" s="23" t="n">
        <x:v>645.1913519601263</x:v>
      </x:c>
      <x:c r="CZ126" s="23" t="n">
        <x:v>700.9856632501934</x:v>
      </x:c>
      <x:c r="DA126" s="23" t="n">
        <x:v>743.246941398999</x:v>
      </x:c>
      <x:c r="DB126" s="23" t="n">
        <x:v>782.9795299757834</x:v>
      </x:c>
      <x:c r="DC126" s="23" t="n">
        <x:v>847.1054478614534</x:v>
      </x:c>
      <x:c r="DD126" s="23" t="n">
        <x:v>807.8241820013096</x:v>
      </x:c>
      <x:c r="DE126" s="23" t="n">
        <x:v>584.6496216550655</x:v>
      </x:c>
      <x:c r="DF126" s="23" t="n">
        <x:v>631.0557716595238</x:v>
      </x:c>
      <x:c r="DG126" s="23" t="n">
        <x:v>695.5683030044747</x:v>
      </x:c>
      <x:c r="DH126" s="23" t="n">
        <x:v>0</x:v>
      </x:c>
      <x:c r="DI126" s="23" t="n">
        <x:v>0</x:v>
      </x:c>
      <x:c r="DJ126" s="23" t="n">
        <x:v>0</x:v>
      </x:c>
      <x:c r="DK126" s="23" t="n">
        <x:v>777.7544759114583</x:v>
      </x:c>
      <x:c r="DL126" s="23" t="n">
        <x:v>0</x:v>
      </x:c>
      <x:c r="DM126" s="23" t="n">
        <x:v>26.611703689687904</x:v>
      </x:c>
      <x:c r="DN126" s="23" t="n">
        <x:v>8.848753255208369</x:v>
      </x:c>
      <x:c r="DO126" s="23" t="n">
        <x:v>665.3885542123157</x:v>
      </x:c>
      <x:c r="DP126" s="23" t="n">
        <x:v>785.5850423177083</x:v>
      </x:c>
      <x:c r="DQ126" s="23" t="n">
        <x:v>14.029768880208394</x:v>
      </x:c>
      <x:c r="DR126" s="23" t="n">
        <x:v>0</x:v>
      </x:c>
      <x:c r="DS126" s="23" t="n">
        <x:v>14.434837174479071</x:v>
      </x:c>
      <x:c r="DT126" s="23" t="n">
        <x:v>24.453004557291628</x:v>
      </x:c>
      <x:c r="DU126" s="23" t="n">
        <x:v>7.598301562500031</x:v>
      </x:c>
      <x:c r="DV126" s="23" t="n">
        <x:v>789.9334309895833</x:v>
      </x:c>
      <x:c r="DW126" s="23" t="n">
        <x:v>794.9051920572916</x:v>
      </x:c>
      <x:c r="DX126" s="23" t="n">
        <x:v>803.2508070505401</x:v>
      </x:c>
      <x:c r="DY126" s="23" t="n">
        <x:v>785.02392578125</x:v>
      </x:c>
      <x:c r="DZ126" s="23" t="n">
        <x:v>785.4392903645833</x:v>
      </x:c>
      <x:c r="EA126" s="23" t="n">
        <x:v>782.9961854166668</x:v>
      </x:c>
      <x:c r="EB126" s="23" t="n">
        <x:v>740.6120932291666</x:v>
      </x:c>
      <x:c r="EC126" s="23" t="n">
        <x:v>613.6321207682291</x:v>
      </x:c>
      <x:c r="ED126" s="23" t="n">
        <x:v>1445.216593424479</x:v>
      </x:c>
      <x:c r="EE126" s="23" t="n">
        <x:v>622.6154378255208</x:v>
      </x:c>
      <x:c r="EF126" s="23" t="n">
        <x:v>624.0486246744791</x:v>
      </x:c>
      <x:c r="EG126" s="23" t="n">
        <x:v>1444.1692708333333</x:v>
      </x:c>
      <x:c r="EH126" s="23" t="n">
        <x:v>1437.0945638020833</x:v>
      </x:c>
      <x:c r="EI126" s="23" t="n">
        <x:v>605.7594807942708</x:v>
      </x:c>
      <x:c r="EJ126" s="23" t="n">
        <x:v>607.8818359375</x:v>
      </x:c>
      <x:c r="EK126" s="23" t="n">
        <x:v>600.9915771484375</x:v>
      </x:c>
      <x:c r="EL126" s="23" t="n">
        <x:v>1441.5489501953125</x:v>
      </x:c>
      <x:c r="EM126" s="23" t="n">
        <x:v>896.5753958092206</x:v>
      </x:c>
      <x:c r="EN126" s="23" t="n">
        <x:v>1409.8294270833333</x:v>
      </x:c>
      <x:c r="EO126" s="23" t="n">
        <x:v>1315.521280924479</x:v>
      </x:c>
      <x:c r="EP126" s="23" t="n">
        <x:f>SUM(B126:EO126)</x:f>
        <x:v>62704.5659726863</x:v>
      </x:c>
      <x:c r="EQ126" s="23" t="n">
        <x:f>SUMPRODUCT(B126:EO126,{0.4897,0.4623,0.4727,0.4725,0.478,0.4996,0.5167,0.4827,0.4236,0.4197,0.4508,0.4841,0.5058,0.5218,0.5124,0.4567,0.4478,0.4998,0.5318,0.5139,0.451,0.3821,0.3957,0.4578,0.4481,0.4375,0.4566,0.4544,0.4145,0.3971,0.476,0.5157,0.4373,0.3403,0.5755,0.9516,0.9091,0.8108,0.8584,0.8862,0.8496,0.7957,0.798,0.8059,0.7426,0.6307,0.8422,1.2257,1.2316,1.1477,1.1622,1.1705,1.1603,1.1527,1.1495,1.0546,0.9405,0.9856,1.0272,0.9966,0.9803,0.9641,0.9582,0.9724,0.8204,0.593,0.5853,0.615,0.5797,0.5631,0.5797,0.5813,0.5189,0.5055,0.5369,0.5281,0.6918,0.945,0.9614,0.9186,0.9382,0.9672,0.9995,1.0271,1.0371,1.0577,1.1086,1.1532,1.0211,0.8218,0.847,0.8777,0.8426,0.8896,0.9318,0.9139,0.8815,0.9094,0.9757,0.9909,1.0035,1.0297,1.0342,1.0428,1.0653,1.0921,1.1628,1.2604,1.3188,1.3526,1.3529,1.3035,1.326,1.4022,1.3945,1.382,1.3946,1.3746,1.3375,1.326,1.3658,1.3879,1.384,1.3838,1.2413,1.0354,1.017,1.0498,1.0557,1.0559,0.8546,0.5584,0.5014,0.4992,0.4609,0.4788,0.4807,0.4693,0.5187,0.5203,0.4856,0.5285,0.51,0.4212})</x:f>
        <x:v>41298.96327355271</x:v>
      </x:c>
    </x:row>
    <x:row r="127" ht="14" customHeight="1">
      <x:c r="A127" s="3">
        <x:v>45814</x:v>
      </x:c>
      <x:c r="B127" s="23" t="n">
        <x:v>451.43522135416663</x:v>
      </x:c>
      <x:c r="C127" s="23" t="n">
        <x:v>451.4444580078125</x:v>
      </x:c>
      <x:c r="D127" s="23" t="n">
        <x:v>457.8300374348958</x:v>
      </x:c>
      <x:c r="E127" s="23" t="n">
        <x:v>453.12064615885413</x:v>
      </x:c>
      <x:c r="F127" s="23" t="n">
        <x:v>452.25724283854163</x:v>
      </x:c>
      <x:c r="G127" s="23" t="n">
        <x:v>456.2447509765625</x:v>
      </x:c>
      <x:c r="H127" s="23" t="n">
        <x:v>0</x:v>
      </x:c>
      <x:c r="I127" s="23" t="n">
        <x:v>453.8680013020833</x:v>
      </x:c>
      <x:c r="J127" s="23" t="n">
        <x:v>453.595947265625</x:v>
      </x:c>
      <x:c r="K127" s="23" t="n">
        <x:v>453.1951904296875</x:v>
      </x:c>
      <x:c r="L127" s="23" t="n">
        <x:v>452.5914306640625</x:v>
      </x:c>
      <x:c r="M127" s="23" t="n">
        <x:v>457.4145100911458</x:v>
      </x:c>
      <x:c r="N127" s="23" t="n">
        <x:v>452.775146484375</x:v>
      </x:c>
      <x:c r="O127" s="23" t="n">
        <x:v>0</x:v>
      </x:c>
      <x:c r="P127" s="23" t="n">
        <x:v>0</x:v>
      </x:c>
      <x:c r="Q127" s="23" t="n">
        <x:v>453.16446940104163</x:v>
      </x:c>
      <x:c r="R127" s="23" t="n">
        <x:v>447.30460611979163</x:v>
      </x:c>
      <x:c r="S127" s="23" t="n">
        <x:v>354.7413271128038</x:v>
      </x:c>
      <x:c r="T127" s="23" t="n">
        <x:v>460.5452473958333</x:v>
      </x:c>
      <x:c r="U127" s="23" t="n">
        <x:v>458.7843831380208</x:v>
      </x:c>
      <x:c r="V127" s="23" t="n">
        <x:v>0</x:v>
      </x:c>
      <x:c r="W127" s="23" t="n">
        <x:v>0</x:v>
      </x:c>
      <x:c r="X127" s="23" t="n">
        <x:v>460.0037841796875</x:v>
      </x:c>
      <x:c r="Y127" s="23" t="n">
        <x:v>450.52372233072913</x:v>
      </x:c>
      <x:c r="Z127" s="23" t="n">
        <x:v>457.99405924479163</x:v>
      </x:c>
      <x:c r="AA127" s="23" t="n">
        <x:v>458.9544270833333</x:v>
      </x:c>
      <x:c r="AB127" s="23" t="n">
        <x:v>458.2671712239583</x:v>
      </x:c>
      <x:c r="AC127" s="23" t="n">
        <x:v>451.1523161029985</x:v>
      </x:c>
      <x:c r="AD127" s="23" t="n">
        <x:v>459.843017578125</x:v>
      </x:c>
      <x:c r="AE127" s="23" t="n">
        <x:v>467.70048014322913</x:v>
      </x:c>
      <x:c r="AF127" s="23" t="n">
        <x:v>430.4697405086329</x:v>
      </x:c>
      <x:c r="AG127" s="23" t="n">
        <x:v>405.1233762965321</x:v>
      </x:c>
      <x:c r="AH127" s="23" t="n">
        <x:v>380.0527888919963</x:v>
      </x:c>
      <x:c r="AI127" s="23" t="n">
        <x:v>1160.1258101818673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0</x:v>
      </x:c>
      <x:c r="CS127" s="23" t="n">
        <x:v>0</x:v>
      </x:c>
      <x:c r="CT127" s="23" t="n">
        <x:v>0</x:v>
      </x:c>
      <x:c r="CU127" s="23" t="n">
        <x:v>0</x:v>
      </x:c>
      <x:c r="CV127" s="23" t="n">
        <x:v>26.32843587645599</x:v>
      </x:c>
      <x:c r="CW127" s="23" t="n">
        <x:v>60.14493019473139</x:v>
      </x:c>
      <x:c r="CX127" s="23" t="n">
        <x:v>84.4185253327649</x:v>
      </x:c>
      <x:c r="CY127" s="23" t="n">
        <x:v>72.90304081976872</x:v>
      </x:c>
      <x:c r="CZ127" s="23" t="n">
        <x:v>99.47075642617179</x:v>
      </x:c>
      <x:c r="DA127" s="23" t="n">
        <x:v>136.86990980699102</x:v>
      </x:c>
      <x:c r="DB127" s="23" t="n">
        <x:v>204.23125581822015</x:v>
      </x:c>
      <x:c r="DC127" s="23" t="n">
        <x:v>221.7436001396252</x:v>
      </x:c>
      <x:c r="DD127" s="23" t="n">
        <x:v>283.25128891383713</x:v>
      </x:c>
      <x:c r="DE127" s="23" t="n">
        <x:v>0</x:v>
      </x:c>
      <x:c r="DF127" s="23" t="n">
        <x:v>0</x:v>
      </x:c>
      <x:c r="DG127" s="23" t="n">
        <x:v>0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0</x:v>
      </x:c>
      <x:c r="DW127" s="23" t="n">
        <x:v>548.3391927083333</x:v>
      </x:c>
      <x:c r="DX127" s="23" t="n">
        <x:v>529.9213171101292</x:v>
      </x:c>
      <x:c r="DY127" s="23" t="n">
        <x:v>493.45621744791663</x:v>
      </x:c>
      <x:c r="DZ127" s="23" t="n">
        <x:v>510.1243896484375</x:v>
      </x:c>
      <x:c r="EA127" s="23" t="n">
        <x:v>527.2171374348957</x:v>
      </x:c>
      <x:c r="EB127" s="23" t="n">
        <x:v>489.0039444661459</x:v>
      </x:c>
      <x:c r="EC127" s="23" t="n">
        <x:v>1288.130900065104</x:v>
      </x:c>
      <x:c r="ED127" s="23" t="n">
        <x:v>1293.3731282552083</x:v>
      </x:c>
      <x:c r="EE127" s="23" t="n">
        <x:v>743.9999593701774</x:v>
      </x:c>
      <x:c r="EF127" s="23" t="n">
        <x:v>1287.5729573567708</x:v>
      </x:c>
      <x:c r="EG127" s="23" t="n">
        <x:v>453.16764322916663</x:v>
      </x:c>
      <x:c r="EH127" s="23" t="n">
        <x:v>457.847900390625</x:v>
      </x:c>
      <x:c r="EI127" s="23" t="n">
        <x:v>1291.1812337239583</x:v>
      </x:c>
      <x:c r="EJ127" s="23" t="n">
        <x:v>1290.0252278645833</x:v>
      </x:c>
      <x:c r="EK127" s="23" t="n">
        <x:v>453.1682942708333</x:v>
      </x:c>
      <x:c r="EL127" s="23" t="n">
        <x:v>1286.276611328125</x:v>
      </x:c>
      <x:c r="EM127" s="23" t="n">
        <x:v>449.96256510416663</x:v>
      </x:c>
      <x:c r="EN127" s="23" t="n">
        <x:v>452.92460123697913</x:v>
      </x:c>
      <x:c r="EO127" s="23" t="n">
        <x:v>453.67508951822913</x:v>
      </x:c>
      <x:c r="EP127" s="23" t="n">
        <x:f>SUM(B127:EO127)</x:f>
        <x:v>29149.253363799537</x:v>
      </x:c>
      <x:c r="EQ127" s="23" t="n">
        <x:f>SUMPRODUCT(B127:EO127,{0.4055,0.4373,0.4385,0.3738,0.3985,0.4699,0.3932,0.3383,0.3735,0.3943,0.388,0.3835,0.405,0.3955,0.3414,0.298,0.3378,0.4107,0.3936,0.3719,0.3784,0.3642,0.3723,0.3932,0.369,0.3481,0.3433,0.3251,0.3454,0.3798,0.3482,0.333,0.3302,0.2852,0.4321,0.6897,0.7127,0.6452,0.6209,0.6295,0.6361,0.6277,0.617,0.6106,0.5987,0.5857,0.6831,0.8391,0.871,0.8311,0.8066,0.8321,0.8413,0.813,0.7928,0.8093,0.8106,0.7249,0.6916,0.7148,0.6738,0.7,0.7874,0.7612,0.5848,0.3919,0.3593,0.3149,0.2445,0.3048,0.3564,0.3443,0.3536,0.3826,0.4029,0.414,0.5297,0.7023,0.7587,0.781,0.8228,0.8504,0.8611,0.8529,0.8309,0.8528,0.9095,0.9028,0.7105,0.4937,0.5611,0.6681,0.6855,0.7052,0.6842,0.6504,0.6922,0.715,0.7229,0.8003,0.7821,0.6821,0.6901,0.7321,0.7371,0.7426,0.9192,1.1639,1.184,1.1453,1.1736,1.2286,1.2396,1.2136,1.2195,1.239,1.2271,1.1697,1.183,1.2379,1.1983,1.2032,1.2673,1.2373,1.0744,0.8987,0.8783,0.8693,0.8471,0.8909,0.7198,0.4182,0.3834,0.4399,0.4287,0.375,0.3761,0.4298,0.4426,0.4157,0.3882,0.393,0.3884,0.3718})</x:f>
        <x:v>13183.14691484605</x:v>
      </x:c>
    </x:row>
    <x:row r="128" ht="14" customHeight="1">
      <x:c r="A128" s="3">
        <x:v>45815</x:v>
      </x:c>
      <x:c r="B128" s="23" t="n">
        <x:v>465.62662760416663</x:v>
      </x:c>
      <x:c r="C128" s="23" t="n">
        <x:v>478.63382975260413</x:v>
      </x:c>
      <x:c r="D128" s="23" t="n">
        <x:v>479.1704915364583</x:v>
      </x:c>
      <x:c r="E128" s="23" t="n">
        <x:v>484.1131591796875</x:v>
      </x:c>
      <x:c r="F128" s="23" t="n">
        <x:v>60.10991899779257</x:v>
      </x:c>
      <x:c r="G128" s="23" t="n">
        <x:v>0</x:v>
      </x:c>
      <x:c r="H128" s="23" t="n">
        <x:v>480.35648600260413</x:v>
      </x:c>
      <x:c r="I128" s="23" t="n">
        <x:v>479.3277180989583</x:v>
      </x:c>
      <x:c r="J128" s="23" t="n">
        <x:v>461.54911295572913</x:v>
      </x:c>
      <x:c r="K128" s="23" t="n">
        <x:v>463.0865478515625</x:v>
      </x:c>
      <x:c r="L128" s="23" t="n">
        <x:v>479.645751953125</x:v>
      </x:c>
      <x:c r="M128" s="23" t="n">
        <x:v>0</x:v>
      </x:c>
      <x:c r="N128" s="23" t="n">
        <x:v>477.25724283854163</x:v>
      </x:c>
      <x:c r="O128" s="23" t="n">
        <x:v>452.20475260416663</x:v>
      </x:c>
      <x:c r="P128" s="23" t="n">
        <x:v>454.3680013020833</x:v>
      </x:c>
      <x:c r="Q128" s="23" t="n">
        <x:v>451.1867268880208</x:v>
      </x:c>
      <x:c r="R128" s="23" t="n">
        <x:v>0</x:v>
      </x:c>
      <x:c r="S128" s="23" t="n">
        <x:v>0</x:v>
      </x:c>
      <x:c r="T128" s="23" t="n">
        <x:v>0</x:v>
      </x:c>
      <x:c r="U128" s="23" t="n">
        <x:v>456.28006998697913</x:v>
      </x:c>
      <x:c r="V128" s="23" t="n">
        <x:v>453.99601236979163</x:v>
      </x:c>
      <x:c r="W128" s="23" t="n">
        <x:v>453.3184407552083</x:v>
      </x:c>
      <x:c r="X128" s="23" t="n">
        <x:v>456.859375</x:v>
      </x:c>
      <x:c r="Y128" s="23" t="n">
        <x:v>470.97318522135413</x:v>
      </x:c>
      <x:c r="Z128" s="23" t="n">
        <x:v>456.94486490885413</x:v>
      </x:c>
      <x:c r="AA128" s="23" t="n">
        <x:v>454.24894205729163</x:v>
      </x:c>
      <x:c r="AB128" s="23" t="n">
        <x:v>1288.7123616536458</x:v>
      </x:c>
      <x:c r="AC128" s="23" t="n">
        <x:v>450.03512865377036</x:v>
      </x:c>
      <x:c r="AD128" s="23" t="n">
        <x:v>0</x:v>
      </x:c>
      <x:c r="AE128" s="23" t="n">
        <x:v>455.001708984375</x:v>
      </x:c>
      <x:c r="AF128" s="23" t="n">
        <x:v>430.82082697720534</x:v>
      </x:c>
      <x:c r="AG128" s="23" t="n">
        <x:v>408.28379488704314</x:v>
      </x:c>
      <x:c r="AH128" s="23" t="n">
        <x:v>378.24789221408867</x:v>
      </x:c>
      <x:c r="AI128" s="23" t="n">
        <x:v>1165.2375038350133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0</x:v>
      </x:c>
      <x:c r="CS128" s="23" t="n">
        <x:v>0</x:v>
      </x:c>
      <x:c r="CT128" s="23" t="n">
        <x:v>0</x:v>
      </x:c>
      <x:c r="CU128" s="23" t="n">
        <x:v>10.567685505671458</x:v>
      </x:c>
      <x:c r="CV128" s="23" t="n">
        <x:v>55.4867928796228</x:v>
      </x:c>
      <x:c r="CW128" s="23" t="n">
        <x:v>103.01494395648356</x:v>
      </x:c>
      <x:c r="CX128" s="23" t="n">
        <x:v>111.9955572027909</x:v>
      </x:c>
      <x:c r="CY128" s="23" t="n">
        <x:v>80.71751848870659</x:v>
      </x:c>
      <x:c r="CZ128" s="23" t="n">
        <x:v>124.55793930490093</x:v>
      </x:c>
      <x:c r="DA128" s="23" t="n">
        <x:v>199.05165173711026</x:v>
      </x:c>
      <x:c r="DB128" s="23" t="n">
        <x:v>207.9813412252081</x:v>
      </x:c>
      <x:c r="DC128" s="23" t="n">
        <x:v>250.39745243969668</x:v>
      </x:c>
      <x:c r="DD128" s="23" t="n">
        <x:v>292.9699578999471</x:v>
      </x:c>
      <x:c r="DE128" s="23" t="n">
        <x:v>0</x:v>
      </x:c>
      <x:c r="DF128" s="23" t="n">
        <x:v>0</x:v>
      </x:c>
      <x:c r="DG128" s="23" t="n">
        <x:v>336.22339577850613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579.442626953125</x:v>
      </x:c>
      <x:c r="DW128" s="23" t="n">
        <x:v>557.0440266927083</x:v>
      </x:c>
      <x:c r="DX128" s="23" t="n">
        <x:v>553.4446614583333</x:v>
      </x:c>
      <x:c r="DY128" s="23" t="n">
        <x:v>561.1235758463541</x:v>
      </x:c>
      <x:c r="DZ128" s="23" t="n">
        <x:v>555.389404296875</x:v>
      </x:c>
      <x:c r="EA128" s="23" t="n">
        <x:v>545.4026873046874</x:v>
      </x:c>
      <x:c r="EB128" s="23" t="n">
        <x:v>495.6876772786459</x:v>
      </x:c>
      <x:c r="EC128" s="23" t="n">
        <x:v>1321.721476236979</x:v>
      </x:c>
      <x:c r="ED128" s="23" t="n">
        <x:v>1317.0286458333333</x:v>
      </x:c>
      <x:c r="EE128" s="23" t="n">
        <x:v>488.1538899739583</x:v>
      </x:c>
      <x:c r="EF128" s="23" t="n">
        <x:v>1314.4613444010415</x:v>
      </x:c>
      <x:c r="EG128" s="23" t="n">
        <x:v>1293.31396484375</x:v>
      </x:c>
      <x:c r="EH128" s="23" t="n">
        <x:v>1302.078409830729</x:v>
      </x:c>
      <x:c r="EI128" s="23" t="n">
        <x:v>769.0895157174316</x:v>
      </x:c>
      <x:c r="EJ128" s="23" t="n">
        <x:v>488.75419108072884</x:v>
      </x:c>
      <x:c r="EK128" s="23" t="n">
        <x:v>484.315673828125</x:v>
      </x:c>
      <x:c r="EL128" s="23" t="n">
        <x:v>1315.880411783854</x:v>
      </x:c>
      <x:c r="EM128" s="23" t="n">
        <x:v>1315.85888671875</x:v>
      </x:c>
      <x:c r="EN128" s="23" t="n">
        <x:v>526.0130615234375</x:v>
      </x:c>
      <x:c r="EO128" s="23" t="n">
        <x:v>0</x:v>
      </x:c>
      <x:c r="EP128" s="23" t="n">
        <x:f>SUM(B128:EO128)</x:f>
        <x:v>31502.764843091616</x:v>
      </x:c>
      <x:c r="EQ128" s="23" t="n">
        <x:f>SUMPRODUCT(B128:EO128,{0.3799,0.3812,0.3784,0.4032,0.4005,0.3721,0.3795,0.4057,0.4152,0.394,0.3987,0.4051,0.3436,0.349,0.4104,0.3771,0.329,0.347,0.4212,0.4195,0.3647,0.3987,0.4067,0.3531,0.331,0.3631,0.3784,0.2995,0.3074,0.3815,0.3292,0.3275,0.3679,0.2901,0.427,0.7124,0.7173,0.6548,0.6533,0.6227,0.6017,0.5982,0.5782,0.5985,0.6138,0.5449,0.6592,0.8911,0.8935,0.8657,0.8954,0.8633,0.8268,0.8312,0.857,0.8674,0.8422,0.7984,0.814,0.8642,0.8386,0.758,0.7298,0.8105,0.6653,0.3606,0.3125,0.3493,0.3566,0.3991,0.4219,0.4161,0.4331,0.4552,0.4494,0.4218,0.5141,0.7035,0.8082,0.8046,0.7477,0.7206,0.7675,0.8298,0.806,0.7894,0.8293,0.8606,0.7463,0.5485,0.4855,0.537,0.598,0.5845,0.5833,0.6379,0.6991,0.6985,0.6635,0.6848,0.708,0.695,0.669,0.6808,0.7109,0.7197,0.8831,1.1152,1.1338,1.128,1.1912,1.2225,1.2137,1.2005,1.2173,1.2213,1.1991,1.1781,1.1574,1.1759,1.2696,1.2859,1.245,1.2796,1.1078,0.8343,0.8731,0.9262,0.8924,0.9325,0.7545,0.4288,0.3623,0.3956,0.3867,0.3631,0.369,0.3897,0.3801,0.4128,0.4587,0.4186,0.4315,0.4959})</x:f>
        <x:v>14820.211694230862</x:v>
      </x:c>
    </x:row>
    <x:row r="129" ht="14" customHeight="1">
      <x:c r="A129" s="3">
        <x:v>45816</x:v>
      </x:c>
      <x:c r="B129" s="23" t="n">
        <x:v>667.9886474609375</x:v>
      </x:c>
      <x:c r="C129" s="23" t="n">
        <x:v>650.7852376302083</x:v>
      </x:c>
      <x:c r="D129" s="23" t="n">
        <x:v>628.5894775390625</x:v>
      </x:c>
      <x:c r="E129" s="23" t="n">
        <x:v>648.6700846354166</x:v>
      </x:c>
      <x:c r="F129" s="23" t="n">
        <x:v>639.7483723958333</x:v>
      </x:c>
      <x:c r="G129" s="23" t="n">
        <x:v>638.3641357421875</x:v>
      </x:c>
      <x:c r="H129" s="23" t="n">
        <x:v>617.4298909505208</x:v>
      </x:c>
      <x:c r="I129" s="23" t="n">
        <x:v>620.7943929036458</x:v>
      </x:c>
      <x:c r="J129" s="23" t="n">
        <x:v>635.728515625</x:v>
      </x:c>
      <x:c r="K129" s="23" t="n">
        <x:v>614.83447265625</x:v>
      </x:c>
      <x:c r="L129" s="23" t="n">
        <x:v>617.1438395182291</x:v>
      </x:c>
      <x:c r="M129" s="23" t="n">
        <x:v>656.4148763020833</x:v>
      </x:c>
      <x:c r="N129" s="23" t="n">
        <x:v>632.1612141927083</x:v>
      </x:c>
      <x:c r="O129" s="23" t="n">
        <x:v>614.3125813802083</x:v>
      </x:c>
      <x:c r="P129" s="23" t="n">
        <x:v>637.7347412109375</x:v>
      </x:c>
      <x:c r="Q129" s="23" t="n">
        <x:v>1453.908976236979</x:v>
      </x:c>
      <x:c r="R129" s="23" t="n">
        <x:v>618.5827229817708</x:v>
      </x:c>
      <x:c r="S129" s="23" t="n">
        <x:v>627.5978190104166</x:v>
      </x:c>
      <x:c r="T129" s="23" t="n">
        <x:v>620.3138834635416</x:v>
      </x:c>
      <x:c r="U129" s="23" t="n">
        <x:v>733.157313972481</x:v>
      </x:c>
      <x:c r="V129" s="23" t="n">
        <x:v>610.5268961588541</x:v>
      </x:c>
      <x:c r="W129" s="23" t="n">
        <x:v>609.2585042317708</x:v>
      </x:c>
      <x:c r="X129" s="23" t="n">
        <x:v>1445.156046549479</x:v>
      </x:c>
      <x:c r="Y129" s="23" t="n">
        <x:v>614.4256998697916</x:v>
      </x:c>
      <x:c r="Z129" s="23" t="n">
        <x:v>616.5251871744791</x:v>
      </x:c>
      <x:c r="AA129" s="23" t="n">
        <x:v>612.7128499348958</x:v>
      </x:c>
      <x:c r="AB129" s="23" t="n">
        <x:v>615.7672119140625</x:v>
      </x:c>
      <x:c r="AC129" s="23" t="n">
        <x:v>1440.6226192266172</x:v>
      </x:c>
      <x:c r="AD129" s="23" t="n">
        <x:v>612.27490234375</x:v>
      </x:c>
      <x:c r="AE129" s="23" t="n">
        <x:v>609.3203125</x:v>
      </x:c>
      <x:c r="AF129" s="23" t="n">
        <x:v>1417.1742733495485</x:v>
      </x:c>
      <x:c r="AG129" s="23" t="n">
        <x:v>1396.4279354288014</x:v>
      </x:c>
      <x:c r="AH129" s="23" t="n">
        <x:v>1368.0062410344626</x:v>
      </x:c>
      <x:c r="AI129" s="23" t="n">
        <x:v>1332.5351625776443</x:v>
      </x:c>
      <x:c r="AJ129" s="23" t="n">
        <x:v>533.6382184111503</x:v>
      </x:c>
      <x:c r="AK129" s="23" t="n">
        <x:v>0</x:v>
      </x:c>
      <x:c r="AL129" s="23" t="n">
        <x:v>0</x:v>
      </x:c>
      <x:c r="AM129" s="23" t="n">
        <x:v>0</x:v>
      </x:c>
      <x:c r="AN129" s="23" t="n">
        <x:v>502.84913684400897</x:v>
      </x:c>
      <x:c r="AO129" s="23" t="n">
        <x:v>466.07772007817414</x:v>
      </x:c>
      <x:c r="AP129" s="23" t="n">
        <x:v>0</x:v>
      </x:c>
      <x:c r="AQ129" s="23" t="n">
        <x:v>0</x:v>
      </x:c>
      <x:c r="AR129" s="23" t="n">
        <x:v>358.4881036759698</x:v>
      </x:c>
      <x:c r="AS129" s="23" t="n">
        <x:v>316.7802875967336</x:v>
      </x:c>
      <x:c r="AT129" s="23" t="n">
        <x:v>275.42660421691863</x:v>
      </x:c>
      <x:c r="AU129" s="23" t="n">
        <x:v>1066.3214015410479</x:v>
      </x:c>
      <x:c r="AV129" s="23" t="n">
        <x:v>220.26772113180573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0</x:v>
      </x:c>
      <x:c r="BP129" s="23" t="n">
        <x:v>731.6714785053555</x:v>
      </x:c>
      <x:c r="BQ129" s="23" t="n">
        <x:v>0</x:v>
      </x:c>
      <x:c r="BR129" s="23" t="n">
        <x:v>691.8723995542765</x:v>
      </x:c>
      <x:c r="BS129" s="23" t="n">
        <x:v>0</x:v>
      </x:c>
      <x:c r="BT129" s="23" t="n">
        <x:v>0</x:v>
      </x:c>
      <x:c r="BU129" s="23" t="n">
        <x:v>0</x:v>
      </x:c>
      <x:c r="BV129" s="23" t="n">
        <x:v>617.1921130888496</x:v>
      </x:c>
      <x:c r="BW129" s="23" t="n">
        <x:v>629.9196138352592</x:v>
      </x:c>
      <x:c r="BX129" s="23" t="n">
        <x:v>673.727793873327</x:v>
      </x:c>
      <x:c r="BY129" s="23" t="n">
        <x:v>685.2863678620588</x:v>
      </x:c>
      <x:c r="BZ129" s="23" t="n">
        <x:v>0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841.9865067681799</x:v>
      </x:c>
      <x:c r="CN129" s="23" t="n">
        <x:v>218.3642002094607</x:v>
      </x:c>
      <x:c r="CO129" s="23" t="n">
        <x:v>260.18298647301526</x:v>
      </x:c>
      <x:c r="CP129" s="23" t="n">
        <x:v>300.13385186567604</x:v>
      </x:c>
      <x:c r="CQ129" s="23" t="n">
        <x:v>351.5216881151009</x:v>
      </x:c>
      <x:c r="CR129" s="23" t="n">
        <x:v>405.0348933872968</x:v>
      </x:c>
      <x:c r="CS129" s="23" t="n">
        <x:v>446.98505837183393</x:v>
      </x:c>
      <x:c r="CT129" s="23" t="n">
        <x:v>456.4797188779381</x:v>
      </x:c>
      <x:c r="CU129" s="23" t="n">
        <x:v>498.62857059717635</x:v>
      </x:c>
      <x:c r="CV129" s="23" t="n">
        <x:v>556.6612462730477</x:v>
      </x:c>
      <x:c r="CW129" s="23" t="n">
        <x:v>593.9578145088744</x:v>
      </x:c>
      <x:c r="CX129" s="23" t="n">
        <x:v>635.0697903476499</x:v>
      </x:c>
      <x:c r="CY129" s="23" t="n">
        <x:v>688.156277186489</x:v>
      </x:c>
      <x:c r="CZ129" s="23" t="n">
        <x:v>715.3450243665139</x:v>
      </x:c>
      <x:c r="DA129" s="23" t="n">
        <x:v>743.5908818555765</x:v>
      </x:c>
      <x:c r="DB129" s="23" t="n">
        <x:v>803.4415020172921</x:v>
      </x:c>
      <x:c r="DC129" s="23" t="n">
        <x:v>879.2905254997388</x:v>
      </x:c>
      <x:c r="DD129" s="23" t="n">
        <x:v>828.9239737363687</x:v>
      </x:c>
      <x:c r="DE129" s="23" t="n">
        <x:v>630.04496203494</x:v>
      </x:c>
      <x:c r="DF129" s="23" t="n">
        <x:v>639.9925011518935</x:v>
      </x:c>
      <x:c r="DG129" s="23" t="n">
        <x:v>733.8305713565725</x:v>
      </x:c>
      <x:c r="DH129" s="23" t="n">
        <x:v>766.952411045145</x:v>
      </x:c>
      <x:c r="DI129" s="23" t="n">
        <x:v>27.85883040212684</x:v>
      </x:c>
      <x:c r="DJ129" s="23" t="n">
        <x:v>62.38218246187853</x:v>
      </x:c>
      <x:c r="DK129" s="23" t="n">
        <x:v>26.14412760416659</x:v>
      </x:c>
      <x:c r="DL129" s="23" t="n">
        <x:v>839.0811360677083</x:v>
      </x:c>
      <x:c r="DM129" s="23" t="n">
        <x:v>56.55963448256322</x:v>
      </x:c>
      <x:c r="DN129" s="23" t="n">
        <x:v>35.87425781249991</x:v>
      </x:c>
      <x:c r="DO129" s="23" t="n">
        <x:v>126.30535829715882</x:v>
      </x:c>
      <x:c r="DP129" s="23" t="n">
        <x:v>849.4169921875</x:v>
      </x:c>
      <x:c r="DQ129" s="23" t="n">
        <x:v>26.429925130208325</x:v>
      </x:c>
      <x:c r="DR129" s="23" t="n">
        <x:v>63.37529101562495</x:v>
      </x:c>
      <x:c r="DS129" s="23" t="n">
        <x:v>65.43600703125003</x:v>
      </x:c>
      <x:c r="DT129" s="23" t="n">
        <x:v>89.91307942708332</x:v>
      </x:c>
      <x:c r="DU129" s="23" t="n">
        <x:v>59.911941666666735</x:v>
      </x:c>
      <x:c r="DV129" s="23" t="n">
        <x:v>866.8263346354166</x:v>
      </x:c>
      <x:c r="DW129" s="23" t="n">
        <x:v>861.111083984375</x:v>
      </x:c>
      <x:c r="DX129" s="23" t="n">
        <x:v>850.6263834635416</x:v>
      </x:c>
      <x:c r="DY129" s="23" t="n">
        <x:v>821.0953776041666</x:v>
      </x:c>
      <x:c r="DZ129" s="23" t="n">
        <x:v>852.5319010416666</x:v>
      </x:c>
      <x:c r="EA129" s="23" t="n">
        <x:v>870.9296001953126</x:v>
      </x:c>
      <x:c r="EB129" s="23" t="n">
        <x:v>792.8192361328122</x:v>
      </x:c>
      <x:c r="EC129" s="23" t="n">
        <x:v>1488.6942138671875</x:v>
      </x:c>
      <x:c r="ED129" s="23" t="n">
        <x:v>1491.5382486979165</x:v>
      </x:c>
      <x:c r="EE129" s="23" t="n">
        <x:v>678.7972819010416</x:v>
      </x:c>
      <x:c r="EF129" s="23" t="n">
        <x:v>652.8202718098958</x:v>
      </x:c>
      <x:c r="EG129" s="23" t="n">
        <x:v>619.683349609375</x:v>
      </x:c>
      <x:c r="EH129" s="23" t="n">
        <x:v>610.454833984375</x:v>
      </x:c>
      <x:c r="EI129" s="23" t="n">
        <x:v>1438.5672200520833</x:v>
      </x:c>
      <x:c r="EJ129" s="23" t="n">
        <x:v>652.8785807291666</x:v>
      </x:c>
      <x:c r="EK129" s="23" t="n">
        <x:v>675.8986409505208</x:v>
      </x:c>
      <x:c r="EL129" s="23" t="n">
        <x:v>1476.1787923177083</x:v>
      </x:c>
      <x:c r="EM129" s="23" t="n">
        <x:v>948.6150375755533</x:v>
      </x:c>
      <x:c r="EN129" s="23" t="n">
        <x:v>1486.0435791015625</x:v>
      </x:c>
      <x:c r="EO129" s="23" t="n">
        <x:v>1473.6342366536458</x:v>
      </x:c>
      <x:c r="EP129" s="23" t="n">
        <x:f>SUM(B129:EO129)</x:f>
        <x:v>69577.52192225703</x:v>
      </x:c>
      <x:c r="EQ129" s="23" t="n">
        <x:f>SUMPRODUCT(B129:EO129,{0.4707,0.4545,0.4774,0.4675,0.4683,0.4959,0.5045,0.4382,0.3856,0.4891,0.5316,0.4692,0.4713,0.5009,0.4955,0.4478,0.451,0.497,0.487,0.463,0.4601,0.4612,0.4194,0.3862,0.4602,0.513,0.4823,0.4288,0.4088,0.4271,0.4447,0.4444,0.4066,0.3642,0.5744,0.9021,0.926,0.8609,0.8525,0.8283,0.7808,0.7579,0.8038,0.8072,0.726,0.6655,0.8681,1.1663,1.1262,1.0092,0.9967,1.0158,1.0117,0.9741,0.9282,0.8928,0.8775,0.8798,0.8786,0.8843,0.9211,0.9299,0.9238,0.9495,0.8258,0.6088,0.556,0.5568,0.5213,0.4832,0.5049,0.5499,0.5282,0.5438,0.5737,0.5185,0.6586,0.9363,0.9814,0.9132,0.8982,0.9763,1.0085,0.9858,1.0237,1.043,1.0416,1.0726,0.9196,0.6851,0.7166,0.8006,0.8023,0.8027,0.8472,0.9052,0.9159,0.9494,0.9893,0.9469,0.9212,0.9573,1.0014,1.0114,1.003,1.0382,1.1464,1.26,1.2746,1.2865,1.3184,1.305,1.3213,1.3768,1.4007,1.405,1.3891,1.3407,1.3348,1.3706,1.373,1.3628,1.3813,1.4164,1.2701,1.0319,1.0058,1.0272,1.0396,1.1078,0.8906,0.503,0.4403,0.4871,0.4812,0.4842,0.5033,0.5232,0.5277,0.52,0.51,0.5079,0.5187,0.521})</x:f>
        <x:v>46537.196894409</x:v>
      </x:c>
    </x:row>
    <x:row r="130" ht="14" customHeight="1">
      <x:c r="A130" s="3">
        <x:v>45817</x:v>
      </x:c>
      <x:c r="B130" s="23" t="n">
        <x:v>642.72802734375</x:v>
      </x:c>
      <x:c r="C130" s="23" t="n">
        <x:v>636.6208089192708</x:v>
      </x:c>
      <x:c r="D130" s="23" t="n">
        <x:v>630.8842366536458</x:v>
      </x:c>
      <x:c r="E130" s="23" t="n">
        <x:v>624.3104248046875</x:v>
      </x:c>
      <x:c r="F130" s="23" t="n">
        <x:v>631.0697021484375</x:v>
      </x:c>
      <x:c r="G130" s="23" t="n">
        <x:v>636.8692626953125</x:v>
      </x:c>
      <x:c r="H130" s="23" t="n">
        <x:v>631.0863444010416</x:v>
      </x:c>
      <x:c r="I130" s="23" t="n">
        <x:v>629.0130615234375</x:v>
      </x:c>
      <x:c r="J130" s="23" t="n">
        <x:v>630.9597981770833</x:v>
      </x:c>
      <x:c r="K130" s="23" t="n">
        <x:v>636.59521484375</x:v>
      </x:c>
      <x:c r="L130" s="23" t="n">
        <x:v>638.0731608072916</x:v>
      </x:c>
      <x:c r="M130" s="23" t="n">
        <x:v>626.9794514973958</x:v>
      </x:c>
      <x:c r="N130" s="23" t="n">
        <x:v>636.9779459635416</x:v>
      </x:c>
      <x:c r="O130" s="23" t="n">
        <x:v>620.3221842447916</x:v>
      </x:c>
      <x:c r="P130" s="23" t="n">
        <x:v>601.7273763020833</x:v>
      </x:c>
      <x:c r="Q130" s="23" t="n">
        <x:v>1443.800577799479</x:v>
      </x:c>
      <x:c r="R130" s="23" t="n">
        <x:v>1449.8849283854165</x:v>
      </x:c>
      <x:c r="S130" s="23" t="n">
        <x:v>611.4810384114583</x:v>
      </x:c>
      <x:c r="T130" s="23" t="n">
        <x:v>613.16015625</x:v>
      </x:c>
      <x:c r="U130" s="23" t="n">
        <x:v>616.3160400390625</x:v>
      </x:c>
      <x:c r="V130" s="23" t="n">
        <x:v>610.2449137369791</x:v>
      </x:c>
      <x:c r="W130" s="23" t="n">
        <x:v>602.5067545572916</x:v>
      </x:c>
      <x:c r="X130" s="23" t="n">
        <x:v>832.468519903388</x:v>
      </x:c>
      <x:c r="Y130" s="23" t="n">
        <x:v>601.3736165364583</x:v>
      </x:c>
      <x:c r="Z130" s="23" t="n">
        <x:v>603.47021484375</x:v>
      </x:c>
      <x:c r="AA130" s="23" t="n">
        <x:v>1444.715087890625</x:v>
      </x:c>
      <x:c r="AB130" s="23" t="n">
        <x:v>1445.0755615234375</x:v>
      </x:c>
      <x:c r="AC130" s="23" t="n">
        <x:v>608.9612841242935</x:v>
      </x:c>
      <x:c r="AD130" s="23" t="n">
        <x:v>612.4464518229166</x:v>
      </x:c>
      <x:c r="AE130" s="23" t="n">
        <x:v>1446.408203125</x:v>
      </x:c>
      <x:c r="AF130" s="23" t="n">
        <x:v>1421.6387676930772</x:v>
      </x:c>
      <x:c r="AG130" s="23" t="n">
        <x:v>566.3637900253065</x:v>
      </x:c>
      <x:c r="AH130" s="23" t="n">
        <x:v>534.0543122116151</x:v>
      </x:c>
      <x:c r="AI130" s="23" t="n">
        <x:v>1323.4618231750387</x:v>
      </x:c>
      <x:c r="AJ130" s="23" t="n">
        <x:v>516.7522733377966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462.438859275812</x:v>
      </x:c>
      <x:c r="AP130" s="23" t="n">
        <x:v>323.61223122606043</x:v>
      </x:c>
      <x:c r="AQ130" s="23" t="n">
        <x:v>0</x:v>
      </x:c>
      <x:c r="AR130" s="23" t="n">
        <x:v>0</x:v>
      </x:c>
      <x:c r="AS130" s="23" t="n">
        <x:v>307.9020231911363</x:v>
      </x:c>
      <x:c r="AT130" s="23" t="n">
        <x:v>260.36164086959445</x:v>
      </x:c>
      <x:c r="AU130" s="23" t="n">
        <x:v>171.18779440099576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0</x:v>
      </x:c>
      <x:c r="BP130" s="23" t="n">
        <x:v>679.8562240737798</x:v>
      </x:c>
      <x:c r="BQ130" s="23" t="n">
        <x:v>660.5702981803906</x:v>
      </x:c>
      <x:c r="BR130" s="23" t="n">
        <x:v>644.7231858117026</x:v>
      </x:c>
      <x:c r="BS130" s="23" t="n">
        <x:v>649.7807144670321</x:v>
      </x:c>
      <x:c r="BT130" s="23" t="n">
        <x:v>648.1135044789685</x:v>
      </x:c>
      <x:c r="BU130" s="23" t="n">
        <x:v>629.2871801543997</x:v>
      </x:c>
      <x:c r="BV130" s="23" t="n">
        <x:v>0</x:v>
      </x:c>
      <x:c r="BW130" s="23" t="n">
        <x:v>0</x:v>
      </x:c>
      <x:c r="BX130" s="23" t="n">
        <x:v>0</x:v>
      </x:c>
      <x:c r="BY130" s="23" t="n">
        <x:v>691.6537715900604</x:v>
      </x:c>
      <x:c r="BZ130" s="23" t="n">
        <x:v>0</x:v>
      </x:c>
      <x:c r="CA130" s="23" t="n">
        <x:v>0</x:v>
      </x:c>
      <x:c r="CB130" s="23" t="n">
        <x:v>0</x:v>
      </x:c>
      <x:c r="CC130" s="23" t="n">
        <x:v>0</x:v>
      </x:c>
      <x:c r="CD130" s="23" t="n">
        <x:v>0</x:v>
      </x:c>
      <x:c r="CE130" s="23" t="n">
        <x:v>0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161.79772042790927</x:v>
      </x:c>
      <x:c r="CM130" s="23" t="n">
        <x:v>784.4415791979429</x:v>
      </x:c>
      <x:c r="CN130" s="23" t="n">
        <x:v>262.9351777954283</x:v>
      </x:c>
      <x:c r="CO130" s="23" t="n">
        <x:v>301.70574709182773</x:v>
      </x:c>
      <x:c r="CP130" s="23" t="n">
        <x:v>337.2776178089592</x:v>
      </x:c>
      <x:c r="CQ130" s="23" t="n">
        <x:v>387.8542443281024</x:v>
      </x:c>
      <x:c r="CR130" s="23" t="n">
        <x:v>441.8966374769607</x:v>
      </x:c>
      <x:c r="CS130" s="23" t="n">
        <x:v>488.00593515202695</x:v>
      </x:c>
      <x:c r="CT130" s="23" t="n">
        <x:v>525.9413193710575</x:v>
      </x:c>
      <x:c r="CU130" s="23" t="n">
        <x:v>565.8856594103711</x:v>
      </x:c>
      <x:c r="CV130" s="23" t="n">
        <x:v>597.0359276219676</x:v>
      </x:c>
      <x:c r="CW130" s="23" t="n">
        <x:v>623.0464961041108</x:v>
      </x:c>
      <x:c r="CX130" s="23" t="n">
        <x:v>658.237110113149</x:v>
      </x:c>
      <x:c r="CY130" s="23" t="n">
        <x:v>708.7217710002542</x:v>
      </x:c>
      <x:c r="CZ130" s="23" t="n">
        <x:v>742.0174176459509</x:v>
      </x:c>
      <x:c r="DA130" s="23" t="n">
        <x:v>791.9015755820039</x:v>
      </x:c>
      <x:c r="DB130" s="23" t="n">
        <x:v>838.0966350754461</x:v>
      </x:c>
      <x:c r="DC130" s="23" t="n">
        <x:v>859.6459497540137</x:v>
      </x:c>
      <x:c r="DD130" s="23" t="n">
        <x:v>838.7616722998257</x:v>
      </x:c>
      <x:c r="DE130" s="23" t="n">
        <x:v>640.4827330195517</x:v>
      </x:c>
      <x:c r="DF130" s="23" t="n">
        <x:v>633.6232541872932</x:v>
      </x:c>
      <x:c r="DG130" s="23" t="n">
        <x:v>711.1336089562634</x:v>
      </x:c>
      <x:c r="DH130" s="23" t="n">
        <x:v>756.5259108529046</x:v>
      </x:c>
      <x:c r="DI130" s="23" t="n">
        <x:v>14.304828019028415</x:v>
      </x:c>
      <x:c r="DJ130" s="23" t="n">
        <x:v>45.50213845328987</x:v>
      </x:c>
      <x:c r="DK130" s="23" t="n">
        <x:v>41.70937988281245</x:v>
      </x:c>
      <x:c r="DL130" s="23" t="n">
        <x:v>45.45318439905789</x:v>
      </x:c>
      <x:c r="DM130" s="23" t="n">
        <x:v>61.4923639171346</x:v>
      </x:c>
      <x:c r="DN130" s="23" t="n">
        <x:v>71.20102213541668</x:v>
      </x:c>
      <x:c r="DO130" s="23" t="n">
        <x:v>763.1381911515284</x:v>
      </x:c>
      <x:c r="DP130" s="23" t="n">
        <x:v>806.0802408854166</x:v>
      </x:c>
      <x:c r="DQ130" s="23" t="n">
        <x:v>68.28041666666664</x:v>
      </x:c>
      <x:c r="DR130" s="23" t="n">
        <x:v>63.08372148437502</x:v>
      </x:c>
      <x:c r="DS130" s="23" t="n">
        <x:v>76.9801720052084</x:v>
      </x:c>
      <x:c r="DT130" s="23" t="n">
        <x:v>66.28166992187501</x:v>
      </x:c>
      <x:c r="DU130" s="23" t="n">
        <x:v>45.62228502604163</x:v>
      </x:c>
      <x:c r="DV130" s="23" t="n">
        <x:v>815.7364908854166</x:v>
      </x:c>
      <x:c r="DW130" s="23" t="n">
        <x:v>836.982666015625</x:v>
      </x:c>
      <x:c r="DX130" s="23" t="n">
        <x:v>865.2510067033178</x:v>
      </x:c>
      <x:c r="DY130" s="23" t="n">
        <x:v>840.98046875</x:v>
      </x:c>
      <x:c r="DZ130" s="23" t="n">
        <x:v>835.8675130208333</x:v>
      </x:c>
      <x:c r="EA130" s="23" t="n">
        <x:v>844.0212569010416</x:v>
      </x:c>
      <x:c r="EB130" s="23" t="n">
        <x:v>767.06677734375</x:v>
      </x:c>
      <x:c r="EC130" s="23" t="n">
        <x:v>658.8868001302083</x:v>
      </x:c>
      <x:c r="ED130" s="23" t="n">
        <x:v>660.5406825890561</x:v>
      </x:c>
      <x:c r="EE130" s="23" t="n">
        <x:v>660.1583658854166</x:v>
      </x:c>
      <x:c r="EF130" s="23" t="n">
        <x:v>1472.4407552083333</x:v>
      </x:c>
      <x:c r="EG130" s="23" t="n">
        <x:v>650.4255777994791</x:v>
      </x:c>
      <x:c r="EH130" s="23" t="n">
        <x:v>1492.025634765625</x:v>
      </x:c>
      <x:c r="EI130" s="23" t="n">
        <x:v>1484.9298502604165</x:v>
      </x:c>
      <x:c r="EJ130" s="23" t="n">
        <x:v>1495.9130452473958</x:v>
      </x:c>
      <x:c r="EK130" s="23" t="n">
        <x:v>941.269377531829</x:v>
      </x:c>
      <x:c r="EL130" s="23" t="n">
        <x:v>1477.3824869791665</x:v>
      </x:c>
      <x:c r="EM130" s="23" t="n">
        <x:v>639.6613362630208</x:v>
      </x:c>
      <x:c r="EN130" s="23" t="n">
        <x:v>638.7392985026041</x:v>
      </x:c>
      <x:c r="EO130" s="23" t="n">
        <x:v>1473.993937174479</x:v>
      </x:c>
      <x:c r="EP130" s="23" t="n">
        <x:f>SUM(B130:EO130)</x:f>
        <x:v>68866.66338561602</x:v>
      </x:c>
      <x:c r="EQ130" s="23" t="n">
        <x:f>SUMPRODUCT(B130:EO130,{0.4834,0.4345,0.4425,0.5431,0.5561,0.4803,0.4875,0.5082,0.4936,0.4774,0.4857,0.506,0.503,0.4932,0.4804,0.4541,0.4507,0.4619,0.4496,0.4753,0.5224,0.5063,0.4833,0.4773,0.457,0.4422,0.4613,0.5139,0.5087,0.4493,0.4283,0.4238,0.3908,0.3522,0.557,0.8848,0.9373,0.8987,0.8975,0.871,0.817,0.7795,0.8001,0.7979,0.7203,0.6404,0.8724,1.2583,1.2938,1.2105,1.183,1.148,1.0782,1.0117,1.0046,0.9774,0.946,0.9956,0.9774,0.9036,0.9365,0.9617,0.9376,0.9252,0.8257,0.6754,0.6266,0.5977,0.5747,0.6185,0.585,0.4962,0.5197,0.5372,0.5005,0.5132,0.697,0.9471,1.0141,0.9854,0.9897,1.0597,1.0359,0.9401,0.9578,1.0193,1.0636,1.0799,0.9652,0.7948,0.7772,0.843,0.8828,0.8534,0.8465,0.8953,0.9505,0.9965,1.0016,0.9479,0.9705,1.0605,1.0807,1.1047,1.1357,1.1037,1.1397,1.2599,1.3351,1.3222,1.2889,1.3417,1.3959,1.3914,1.3518,1.3368,1.3551,1.3674,1.3787,1.3916,1.3971,1.4003,1.4137,1.4169,1.2519,1.0119,0.9708,0.9933,1.0117,1.0463,0.8001,0.4313,0.4334,0.507,0.4708,0.4452,0.4692,0.5088,0.5025,0.4749,0.4799,0.5379,0.5126,0.4524})</x:f>
        <x:v>46520.703310061064</x:v>
      </x:c>
    </x:row>
    <x:row r="131" ht="14" customHeight="1">
      <x:c r="A131" s="3">
        <x:v>45818</x:v>
      </x:c>
      <x:c r="B131" s="23" t="n">
        <x:v>646.2526448567708</x:v>
      </x:c>
      <x:c r="C131" s="23" t="n">
        <x:v>651.5528157552083</x:v>
      </x:c>
      <x:c r="D131" s="23" t="n">
        <x:v>640.4370930989583</x:v>
      </x:c>
      <x:c r="E131" s="23" t="n">
        <x:v>626.9647623697916</x:v>
      </x:c>
      <x:c r="F131" s="23" t="n">
        <x:v>627.1427408854166</x:v>
      </x:c>
      <x:c r="G131" s="23" t="n">
        <x:v>628.3328450520833</x:v>
      </x:c>
      <x:c r="H131" s="23" t="n">
        <x:v>625.7370198567708</x:v>
      </x:c>
      <x:c r="I131" s="23" t="n">
        <x:v>634.9991455078125</x:v>
      </x:c>
      <x:c r="J131" s="23" t="n">
        <x:v>642.12841796875</x:v>
      </x:c>
      <x:c r="K131" s="23" t="n">
        <x:v>643.8382975260416</x:v>
      </x:c>
      <x:c r="L131" s="23" t="n">
        <x:v>1461.1976318359375</x:v>
      </x:c>
      <x:c r="M131" s="23" t="n">
        <x:v>625.1051839192708</x:v>
      </x:c>
      <x:c r="N131" s="23" t="n">
        <x:v>601.3392333984375</x:v>
      </x:c>
      <x:c r="O131" s="23" t="n">
        <x:v>611.1855061848958</x:v>
      </x:c>
      <x:c r="P131" s="23" t="n">
        <x:v>1455.851318359375</x:v>
      </x:c>
      <x:c r="Q131" s="23" t="n">
        <x:v>1451.561319986979</x:v>
      </x:c>
      <x:c r="R131" s="23" t="n">
        <x:v>622.1964518229166</x:v>
      </x:c>
      <x:c r="S131" s="23" t="n">
        <x:v>645.7853190104166</x:v>
      </x:c>
      <x:c r="T131" s="23" t="n">
        <x:v>616.4815266927083</x:v>
      </x:c>
      <x:c r="U131" s="23" t="n">
        <x:v>611.5393473307291</x:v>
      </x:c>
      <x:c r="V131" s="23" t="n">
        <x:v>630.1017252604166</x:v>
      </x:c>
      <x:c r="W131" s="23" t="n">
        <x:v>620.2811686197916</x:v>
      </x:c>
      <x:c r="X131" s="23" t="n">
        <x:v>617.5465901692708</x:v>
      </x:c>
      <x:c r="Y131" s="23" t="n">
        <x:v>621.2760009765625</x:v>
      </x:c>
      <x:c r="Z131" s="23" t="n">
        <x:v>620.6535237630208</x:v>
      </x:c>
      <x:c r="AA131" s="23" t="n">
        <x:v>1447.8086751302083</x:v>
      </x:c>
      <x:c r="AB131" s="23" t="n">
        <x:v>611.2469482421875</x:v>
      </x:c>
      <x:c r="AC131" s="23" t="n">
        <x:v>607.121387641316</x:v>
      </x:c>
      <x:c r="AD131" s="23" t="n">
        <x:v>636.4803584402337</x:v>
      </x:c>
      <x:c r="AE131" s="23" t="n">
        <x:v>1436.9059244791665</x:v>
      </x:c>
      <x:c r="AF131" s="23" t="n">
        <x:v>1414.7963051999718</x:v>
      </x:c>
      <x:c r="AG131" s="23" t="n">
        <x:v>566.0537888168445</x:v>
      </x:c>
      <x:c r="AH131" s="23" t="n">
        <x:v>539.6571019487387</x:v>
      </x:c>
      <x:c r="AI131" s="23" t="n">
        <x:v>1322.888071856575</x:v>
      </x:c>
      <x:c r="AJ131" s="23" t="n">
        <x:v>520.2741307501157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0</x:v>
      </x:c>
      <x:c r="AR131" s="23" t="n">
        <x:v>0</x:v>
      </x:c>
      <x:c r="AS131" s="23" t="n">
        <x:v>0</x:v>
      </x:c>
      <x:c r="AT131" s="23" t="n">
        <x:v>273.45019267816843</x:v>
      </x:c>
      <x:c r="AU131" s="23" t="n">
        <x:v>205.42037807463225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432.2115025359309</x:v>
      </x:c>
      <x:c r="BP131" s="23" t="n">
        <x:v>708.9142588614734</x:v>
      </x:c>
      <x:c r="BQ131" s="23" t="n">
        <x:v>694.0081744882737</x:v>
      </x:c>
      <x:c r="BR131" s="23" t="n">
        <x:v>676.7497820387604</x:v>
      </x:c>
      <x:c r="BS131" s="23" t="n">
        <x:v>676.307815724351</x:v>
      </x:c>
      <x:c r="BT131" s="23" t="n">
        <x:v>0</x:v>
      </x:c>
      <x:c r="BU131" s="23" t="n">
        <x:v>644.4992646064603</x:v>
      </x:c>
      <x:c r="BV131" s="23" t="n">
        <x:v>633.5692364496095</x:v>
      </x:c>
      <x:c r="BW131" s="23" t="n">
        <x:v>648.2966541890839</x:v>
      </x:c>
      <x:c r="BX131" s="23" t="n">
        <x:v>673.3965029040788</x:v>
      </x:c>
      <x:c r="BY131" s="23" t="n">
        <x:v>678.5063504211889</x:v>
      </x:c>
      <x:c r="BZ131" s="23" t="n">
        <x:v>0</x:v>
      </x:c>
      <x:c r="CA131" s="23" t="n">
        <x:v>0</x:v>
      </x:c>
      <x:c r="CB131" s="23" t="n">
        <x:v>0</x:v>
      </x:c>
      <x:c r="CC131" s="23" t="n">
        <x:v>0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201.89416204964678</x:v>
      </x:c>
      <x:c r="CN131" s="23" t="n">
        <x:v>1003.1554792622455</x:v>
      </x:c>
      <x:c r="CO131" s="23" t="n">
        <x:v>287.0026523518193</x:v>
      </x:c>
      <x:c r="CP131" s="23" t="n">
        <x:v>332.64545409544763</x:v>
      </x:c>
      <x:c r="CQ131" s="23" t="n">
        <x:v>389.40545757146884</x:v>
      </x:c>
      <x:c r="CR131" s="23" t="n">
        <x:v>436.98230731838976</x:v>
      </x:c>
      <x:c r="CS131" s="23" t="n">
        <x:v>480.3308696171124</x:v>
      </x:c>
      <x:c r="CT131" s="23" t="n">
        <x:v>520.2426174100176</x:v>
      </x:c>
      <x:c r="CU131" s="23" t="n">
        <x:v>559.4323865471197</x:v>
      </x:c>
      <x:c r="CV131" s="23" t="n">
        <x:v>600.0207166791714</x:v>
      </x:c>
      <x:c r="CW131" s="23" t="n">
        <x:v>632.0409286736549</x:v>
      </x:c>
      <x:c r="CX131" s="23" t="n">
        <x:v>675.8602046883408</x:v>
      </x:c>
      <x:c r="CY131" s="23" t="n">
        <x:v>726.971074609409</x:v>
      </x:c>
      <x:c r="CZ131" s="23" t="n">
        <x:v>764.4569571249664</x:v>
      </x:c>
      <x:c r="DA131" s="23" t="n">
        <x:v>807.7997183645676</x:v>
      </x:c>
      <x:c r="DB131" s="23" t="n">
        <x:v>844.6109955075649</x:v>
      </x:c>
      <x:c r="DC131" s="23" t="n">
        <x:v>876.2593211287513</x:v>
      </x:c>
      <x:c r="DD131" s="23" t="n">
        <x:v>852.0761782113007</x:v>
      </x:c>
      <x:c r="DE131" s="23" t="n">
        <x:v>663.8600635071739</x:v>
      </x:c>
      <x:c r="DF131" s="23" t="n">
        <x:v>662.5381502324406</x:v>
      </x:c>
      <x:c r="DG131" s="23" t="n">
        <x:v>716.6289513598617</x:v>
      </x:c>
      <x:c r="DH131" s="23" t="n">
        <x:v>750.6965261598313</x:v>
      </x:c>
      <x:c r="DI131" s="23" t="n">
        <x:v>685.3346843638811</x:v>
      </x:c>
      <x:c r="DJ131" s="23" t="n">
        <x:v>56.2692507542838</x:v>
      </x:c>
      <x:c r="DK131" s="23" t="n">
        <x:v>70.5297591145833</x:v>
      </x:c>
      <x:c r="DL131" s="23" t="n">
        <x:v>72.53275546874995</x:v>
      </x:c>
      <x:c r="DM131" s="23" t="n">
        <x:v>55.03916493936913</x:v>
      </x:c>
      <x:c r="DN131" s="23" t="n">
        <x:v>58.89958984375001</x:v>
      </x:c>
      <x:c r="DO131" s="23" t="n">
        <x:v>66.94264713541664</x:v>
      </x:c>
      <x:c r="DP131" s="23" t="n">
        <x:v>846.754638671875</x:v>
      </x:c>
      <x:c r="DQ131" s="23" t="n">
        <x:v>42.545309244791646</x:v>
      </x:c>
      <x:c r="DR131" s="23" t="n">
        <x:v>12.653382942708351</x:v>
      </x:c>
      <x:c r="DS131" s="23" t="n">
        <x:v>83.576915625</x:v>
      </x:c>
      <x:c r="DT131" s="23" t="n">
        <x:v>94.81755859375001</x:v>
      </x:c>
      <x:c r="DU131" s="23" t="n">
        <x:v>70.22459283854171</x:v>
      </x:c>
      <x:c r="DV131" s="23" t="n">
        <x:v>818.0519957031245</x:v>
      </x:c>
      <x:c r="DW131" s="23" t="n">
        <x:v>836.8036295572916</x:v>
      </x:c>
      <x:c r="DX131" s="23" t="n">
        <x:v>848.1775203751928</x:v>
      </x:c>
      <x:c r="DY131" s="23" t="n">
        <x:v>824.7574055989583</x:v>
      </x:c>
      <x:c r="DZ131" s="23" t="n">
        <x:v>838.440185546875</x:v>
      </x:c>
      <x:c r="EA131" s="23" t="n">
        <x:v>834.0978356770834</x:v>
      </x:c>
      <x:c r="EB131" s="23" t="n">
        <x:v>779.1693977864584</x:v>
      </x:c>
      <x:c r="EC131" s="23" t="n">
        <x:v>1499.7785237630208</x:v>
      </x:c>
      <x:c r="ED131" s="23" t="n">
        <x:v>1481.1083577473958</x:v>
      </x:c>
      <x:c r="EE131" s="23" t="n">
        <x:v>660.3941243489583</x:v>
      </x:c>
      <x:c r="EF131" s="23" t="n">
        <x:v>658.3867594401041</x:v>
      </x:c>
      <x:c r="EG131" s="23" t="n">
        <x:v>1457.3441162109375</x:v>
      </x:c>
      <x:c r="EH131" s="23" t="n">
        <x:v>1463.0807698567708</x:v>
      </x:c>
      <x:c r="EI131" s="23" t="n">
        <x:v>1485.0816243489583</x:v>
      </x:c>
      <x:c r="EJ131" s="23" t="n">
        <x:v>661.0740966796875</x:v>
      </x:c>
      <x:c r="EK131" s="23" t="n">
        <x:v>646.0568440755208</x:v>
      </x:c>
      <x:c r="EL131" s="23" t="n">
        <x:v>650.0601399739583</x:v>
      </x:c>
      <x:c r="EM131" s="23" t="n">
        <x:v>655.366943359375</x:v>
      </x:c>
      <x:c r="EN131" s="23" t="n">
        <x:v>945.1488052380721</x:v>
      </x:c>
      <x:c r="EO131" s="23" t="n">
        <x:v>1483.4431966145833</x:v>
      </x:c>
      <x:c r="EP131" s="23" t="n">
        <x:f>SUM(B131:EO131)</x:f>
        <x:v>69754.90412959502</x:v>
      </x:c>
      <x:c r="EQ131" s="23" t="n">
        <x:f>SUMPRODUCT(B131:EO131,{0.5273,0.5147,0.42,0.4727,0.4928,0.4531,0.5084,0.5152,0.4487,0.4458,0.5007,0.5194,0.4321,0.4529,0.5536,0.4926,0.422,0.438,0.4783,0.4793,0.4447,0.4331,0.455,0.4757,0.4558,0.4607,0.4858,0.4647,0.4666,0.4823,0.4338,0.4167,0.421,0.377,0.5568,0.8659,0.9034,0.8477,0.8355,0.8246,0.8236,0.824,0.7974,0.7596,0.7006,0.6474,0.8974,1.2541,1.1908,1.0866,1.1301,1.1355,1.1125,1.1074,1.1289,1.1036,1.0369,1.0077,0.9921,0.9881,1.0143,0.9851,0.9284,0.931,0.7713,0.5228,0.5123,0.5923,0.622,0.6057,0.6062,0.6008,0.5219,0.5107,0.548,0.5086,0.6747,0.9701,1.0009,0.9455,0.9535,0.9918,1.0085,1.0198,1.0697,1.0401,0.9984,1.1101,1.0453,0.8166,0.7855,0.8367,0.8638,0.8807,0.8587,0.8564,0.9602,0.9801,0.9259,0.9886,1.0111,0.9666,1.0002,1.0659,1.0971,1.0853,1.133,1.2281,1.2585,1.2769,1.3322,1.4086,1.4223,1.3897,1.3978,1.3551,1.3024,1.3782,1.4063,1.3454,1.3299,1.3377,1.3718,1.4372,1.2984,1.0351,0.9822,0.9968,1.0077,1.055,0.862,0.5302,0.469,0.491,0.4714,0.4737,0.4508,0.4303,0.4964,0.5467,0.5273,0.4821,0.4583,0.4584})</x:f>
        <x:v>46630.70932091191</x:v>
      </x:c>
    </x:row>
    <x:row r="132" ht="14" customHeight="1">
      <x:c r="A132" s="3">
        <x:v>45819</x:v>
      </x:c>
      <x:c r="B132" s="23" t="n">
        <x:v>644.1435139973958</x:v>
      </x:c>
      <x:c r="C132" s="23" t="n">
        <x:v>647.8150227864583</x:v>
      </x:c>
      <x:c r="D132" s="23" t="n">
        <x:v>662.9352620442708</x:v>
      </x:c>
      <x:c r="E132" s="23" t="n">
        <x:v>669.6844075520833</x:v>
      </x:c>
      <x:c r="F132" s="23" t="n">
        <x:v>641.2041829427083</x:v>
      </x:c>
      <x:c r="G132" s="23" t="n">
        <x:v>630.3778076171875</x:v>
      </x:c>
      <x:c r="H132" s="23" t="n">
        <x:v>658.7835693359375</x:v>
      </x:c>
      <x:c r="I132" s="23" t="n">
        <x:v>668.7293294270833</x:v>
      </x:c>
      <x:c r="J132" s="23" t="n">
        <x:v>646.8900553385416</x:v>
      </x:c>
      <x:c r="K132" s="23" t="n">
        <x:v>630.1982421875</x:v>
      </x:c>
      <x:c r="L132" s="23" t="n">
        <x:v>632.4085693359375</x:v>
      </x:c>
      <x:c r="M132" s="23" t="n">
        <x:v>637.05712890625</x:v>
      </x:c>
      <x:c r="N132" s="23" t="n">
        <x:v>643.1079915364583</x:v>
      </x:c>
      <x:c r="O132" s="23" t="n">
        <x:v>642.0868326822916</x:v>
      </x:c>
      <x:c r="P132" s="23" t="n">
        <x:v>625.82568359375</x:v>
      </x:c>
      <x:c r="Q132" s="23" t="n">
        <x:v>1439.0147705078125</x:v>
      </x:c>
      <x:c r="R132" s="23" t="n">
        <x:v>1439.775431315104</x:v>
      </x:c>
      <x:c r="S132" s="23" t="n">
        <x:v>619.8053792317708</x:v>
      </x:c>
      <x:c r="T132" s="23" t="n">
        <x:v>622.2852783203125</x:v>
      </x:c>
      <x:c r="U132" s="23" t="n">
        <x:v>616.519775390625</x:v>
      </x:c>
      <x:c r="V132" s="23" t="n">
        <x:v>616.9191080729166</x:v>
      </x:c>
      <x:c r="W132" s="23" t="n">
        <x:v>628.3993326822916</x:v>
      </x:c>
      <x:c r="X132" s="23" t="n">
        <x:v>806.8895117283948</x:v>
      </x:c>
      <x:c r="Y132" s="23" t="n">
        <x:v>612.4916178385416</x:v>
      </x:c>
      <x:c r="Z132" s="23" t="n">
        <x:v>1445.1031494140625</x:v>
      </x:c>
      <x:c r="AA132" s="23" t="n">
        <x:v>1437.690185546875</x:v>
      </x:c>
      <x:c r="AB132" s="23" t="n">
        <x:v>1445.1338704427083</x:v>
      </x:c>
      <x:c r="AC132" s="23" t="n">
        <x:v>610.9501613098935</x:v>
      </x:c>
      <x:c r="AD132" s="23" t="n">
        <x:v>628.6860758463541</x:v>
      </x:c>
      <x:c r="AE132" s="23" t="n">
        <x:v>636.5638834635416</x:v>
      </x:c>
      <x:c r="AF132" s="23" t="n">
        <x:v>587.563188446482</x:v>
      </x:c>
      <x:c r="AG132" s="23" t="n">
        <x:v>567.7099993275425</x:v>
      </x:c>
      <x:c r="AH132" s="23" t="n">
        <x:v>1388.876802571641</x:v>
      </x:c>
      <x:c r="AI132" s="23" t="n">
        <x:v>1321.8190022278698</x:v>
      </x:c>
      <x:c r="AJ132" s="23" t="n">
        <x:v>506.4430302214012</x:v>
      </x:c>
      <x:c r="AK132" s="23" t="n">
        <x:v>0</x:v>
      </x:c>
      <x:c r="AL132" s="23" t="n">
        <x:v>0</x:v>
      </x:c>
      <x:c r="AM132" s="23" t="n">
        <x:v>536.8245751681848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358.5585228498283</x:v>
      </x:c>
      <x:c r="AS132" s="23" t="n">
        <x:v>312.03856515188147</x:v>
      </x:c>
      <x:c r="AT132" s="23" t="n">
        <x:v>264.93304737843374</x:v>
      </x:c>
      <x:c r="AU132" s="23" t="n">
        <x:v>198.2166815470598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727.8150100198463</x:v>
      </x:c>
      <x:c r="BP132" s="23" t="n">
        <x:v>713.8342673215591</x:v>
      </x:c>
      <x:c r="BQ132" s="23" t="n">
        <x:v>697.6269343707017</x:v>
      </x:c>
      <x:c r="BR132" s="23" t="n">
        <x:v>691.3250031684203</x:v>
      </x:c>
      <x:c r="BS132" s="23" t="n">
        <x:v>649.7412730933384</x:v>
      </x:c>
      <x:c r="BT132" s="23" t="n">
        <x:v>0</x:v>
      </x:c>
      <x:c r="BU132" s="23" t="n">
        <x:v>0</x:v>
      </x:c>
      <x:c r="BV132" s="23" t="n">
        <x:v>0</x:v>
      </x:c>
      <x:c r="BW132" s="23" t="n">
        <x:v>0</x:v>
      </x:c>
      <x:c r="BX132" s="23" t="n">
        <x:v>686.4226870146673</x:v>
      </x:c>
      <x:c r="BY132" s="23" t="n">
        <x:v>696.3649675261169</x:v>
      </x:c>
      <x:c r="BZ132" s="23" t="n">
        <x:v>0</x:v>
      </x:c>
      <x:c r="CA132" s="23" t="n">
        <x:v>0</x:v>
      </x:c>
      <x:c r="CB132" s="23" t="n">
        <x:v>0</x:v>
      </x:c>
      <x:c r="CC132" s="23" t="n">
        <x:v>0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212.58025484015923</x:v>
      </x:c>
      <x:c r="CN132" s="23" t="n">
        <x:v>1079.2938366507533</x:v>
      </x:c>
      <x:c r="CO132" s="23" t="n">
        <x:v>304.33143146723467</x:v>
      </x:c>
      <x:c r="CP132" s="23" t="n">
        <x:v>351.7248328710146</x:v>
      </x:c>
      <x:c r="CQ132" s="23" t="n">
        <x:v>409.88119211388886</x:v>
      </x:c>
      <x:c r="CR132" s="23" t="n">
        <x:v>455.0448255386601</x:v>
      </x:c>
      <x:c r="CS132" s="23" t="n">
        <x:v>499.00833467210896</x:v>
      </x:c>
      <x:c r="CT132" s="23" t="n">
        <x:v>533.7416436574715</x:v>
      </x:c>
      <x:c r="CU132" s="23" t="n">
        <x:v>574.9890201828636</x:v>
      </x:c>
      <x:c r="CV132" s="23" t="n">
        <x:v>607.6782811216503</x:v>
      </x:c>
      <x:c r="CW132" s="23" t="n">
        <x:v>625.0349458327312</x:v>
      </x:c>
      <x:c r="CX132" s="23" t="n">
        <x:v>672.992471008426</x:v>
      </x:c>
      <x:c r="CY132" s="23" t="n">
        <x:v>721.9912244489726</x:v>
      </x:c>
      <x:c r="CZ132" s="23" t="n">
        <x:v>754.3582728176325</x:v>
      </x:c>
      <x:c r="DA132" s="23" t="n">
        <x:v>802.2188079618174</x:v>
      </x:c>
      <x:c r="DB132" s="23" t="n">
        <x:v>830.366161401797</x:v>
      </x:c>
      <x:c r="DC132" s="23" t="n">
        <x:v>873.5336520619867</x:v>
      </x:c>
      <x:c r="DD132" s="23" t="n">
        <x:v>847.6314829669357</x:v>
      </x:c>
      <x:c r="DE132" s="23" t="n">
        <x:v>593.4188961351178</x:v>
      </x:c>
      <x:c r="DF132" s="23" t="n">
        <x:v>649.4339580410381</x:v>
      </x:c>
      <x:c r="DG132" s="23" t="n">
        <x:v>713.376206558348</x:v>
      </x:c>
      <x:c r="DH132" s="23" t="n">
        <x:v>711.0559348045927</x:v>
      </x:c>
      <x:c r="DI132" s="23" t="n">
        <x:v>781.5295988942522</x:v>
      </x:c>
      <x:c r="DJ132" s="23" t="n">
        <x:v>40.02851785887833</x:v>
      </x:c>
      <x:c r="DK132" s="23" t="n">
        <x:v>61.15890950520831</x:v>
      </x:c>
      <x:c r="DL132" s="23" t="n">
        <x:v>72.57646979166671</x:v>
      </x:c>
      <x:c r="DM132" s="23" t="n">
        <x:v>67.104128043068</x:v>
      </x:c>
      <x:c r="DN132" s="23" t="n">
        <x:v>699.7624787669657</x:v>
      </x:c>
      <x:c r="DO132" s="23" t="n">
        <x:v>60.267110026041635</x:v>
      </x:c>
      <x:c r="DP132" s="23" t="n">
        <x:v>54.975565234375</x:v>
      </x:c>
      <x:c r="DQ132" s="23" t="n">
        <x:v>64.31264322916664</x:v>
      </x:c>
      <x:c r="DR132" s="23" t="n">
        <x:v>61.96837447916671</x:v>
      </x:c>
      <x:c r="DS132" s="23" t="n">
        <x:v>77.34660963541667</x:v>
      </x:c>
      <x:c r="DT132" s="23" t="n">
        <x:v>81.15780924479168</x:v>
      </x:c>
      <x:c r="DU132" s="23" t="n">
        <x:v>60.364810937500046</x:v>
      </x:c>
      <x:c r="DV132" s="23" t="n">
        <x:v>839.025634765625</x:v>
      </x:c>
      <x:c r="DW132" s="23" t="n">
        <x:v>842.33154296875</x:v>
      </x:c>
      <x:c r="DX132" s="23" t="n">
        <x:v>863.3718475919491</x:v>
      </x:c>
      <x:c r="DY132" s="23" t="n">
        <x:v>841.551025390625</x:v>
      </x:c>
      <x:c r="DZ132" s="23" t="n">
        <x:v>827.9608561197916</x:v>
      </x:c>
      <x:c r="EA132" s="23" t="n">
        <x:v>820.319678125</x:v>
      </x:c>
      <x:c r="EB132" s="23" t="n">
        <x:v>774.7381471354167</x:v>
      </x:c>
      <x:c r="EC132" s="23" t="n">
        <x:v>1473.3266194661458</x:v>
      </x:c>
      <x:c r="ED132" s="23" t="n">
        <x:v>1458.753214518229</x:v>
      </x:c>
      <x:c r="EE132" s="23" t="n">
        <x:v>1479.9873046875</x:v>
      </x:c>
      <x:c r="EF132" s="23" t="n">
        <x:v>1479.438273111979</x:v>
      </x:c>
      <x:c r="EG132" s="23" t="n">
        <x:v>1510.1942138671875</x:v>
      </x:c>
      <x:c r="EH132" s="23" t="n">
        <x:v>670.0898844401041</x:v>
      </x:c>
      <x:c r="EI132" s="23" t="n">
        <x:v>663.7829182942708</x:v>
      </x:c>
      <x:c r="EJ132" s="23" t="n">
        <x:v>957.0827263173546</x:v>
      </x:c>
      <x:c r="EK132" s="23" t="n">
        <x:v>678.849853515625</x:v>
      </x:c>
      <x:c r="EL132" s="23" t="n">
        <x:v>646.9450276692708</x:v>
      </x:c>
      <x:c r="EM132" s="23" t="n">
        <x:v>1465.7112630208333</x:v>
      </x:c>
      <x:c r="EN132" s="23" t="n">
        <x:v>646.6349283854166</x:v>
      </x:c>
      <x:c r="EO132" s="23" t="n">
        <x:v>659.2515055338541</x:v>
      </x:c>
      <x:c r="EP132" s="23" t="n">
        <x:f>SUM(B132:EO132)</x:f>
        <x:v>69799.17384552666</x:v>
      </x:c>
      <x:c r="EQ132" s="23" t="n">
        <x:f>SUMPRODUCT(B132:EO132,{0.4555,0.4777,0.5208,0.5379,0.5038,0.4636,0.4921,0.5239,0.5312,0.5406,0.5083,0.4626,0.4781,0.4585,0.4189,0.4724,0.5075,0.4826,0.4613,0.4214,0.3855,0.4114,0.4308,0.427,0.4465,0.4516,0.4336,0.4316,0.4684,0.4944,0.4407,0.4258,0.4088,0.2889,0.5224,0.958,0.9532,0.8785,0.9133,0.8635,0.8442,0.8745,0.8399,0.8001,0.7674,0.7274,0.9113,1.2076,1.2355,1.1546,1.1176,1.1208,1.1202,1.1195,1.1529,1.1532,1.1131,1.0908,1.0669,1.0544,1.0853,1.0624,1.025,1.0736,0.8974,0.5802,0.5478,0.6072,0.6187,0.6267,0.562,0.4827,0.5324,0.5723,0.5522,0.5887,0.8097,1.0587,1.0372,1.006,1.0521,1.0207,1.0459,1.1404,1.1583,1.1088,1.0745,1.1029,0.9863,0.7805,0.7693,0.8402,0.8877,0.9111,0.8929,0.8768,0.9301,0.9524,0.9274,0.9372,0.9509,0.9709,1.0326,1.0571,1.035,1.0493,1.1521,1.27,1.2772,1.2982,1.3509,1.334,1.3434,1.3914,1.3868,1.3632,1.3687,1.4061,1.3726,1.3053,1.3435,1.3757,1.3881,1.442,1.2712,0.986,0.9907,1.0399,1.0488,1.1278,0.8859,0.4595,0.4231,0.4928,0.4837,0.4939,0.4744,0.4381,0.4645,0.4944,0.4851,0.4603,0.4934,0.5396})</x:f>
        <x:v>46638.746804725946</x:v>
      </x:c>
    </x:row>
    <x:row r="133" ht="14" customHeight="1">
      <x:c r="A133" s="3">
        <x:v>45820</x:v>
      </x:c>
      <x:c r="B133" s="23" t="n">
        <x:v>657.3106689453125</x:v>
      </x:c>
      <x:c r="C133" s="23" t="n">
        <x:v>650.3000081380208</x:v>
      </x:c>
      <x:c r="D133" s="23" t="n">
        <x:v>651.0387369791666</x:v>
      </x:c>
      <x:c r="E133" s="23" t="n">
        <x:v>646.5187174479166</x:v>
      </x:c>
      <x:c r="F133" s="23" t="n">
        <x:v>633.8186848958333</x:v>
      </x:c>
      <x:c r="G133" s="23" t="n">
        <x:v>619.6156819661458</x:v>
      </x:c>
      <x:c r="H133" s="23" t="n">
        <x:v>612.9451090494791</x:v>
      </x:c>
      <x:c r="I133" s="23" t="n">
        <x:v>646.9641520182291</x:v>
      </x:c>
      <x:c r="J133" s="23" t="n">
        <x:v>666.7620849609375</x:v>
      </x:c>
      <x:c r="K133" s="23" t="n">
        <x:v>1475.5673014322915</x:v>
      </x:c>
      <x:c r="L133" s="23" t="n">
        <x:v>1470.413370768229</x:v>
      </x:c>
      <x:c r="M133" s="23" t="n">
        <x:v>637.9571940104166</x:v>
      </x:c>
      <x:c r="N133" s="23" t="n">
        <x:v>638.7127278645833</x:v>
      </x:c>
      <x:c r="O133" s="23" t="n">
        <x:v>632.4721272786458</x:v>
      </x:c>
      <x:c r="P133" s="23" t="n">
        <x:v>627.2403971354166</x:v>
      </x:c>
      <x:c r="Q133" s="23" t="n">
        <x:v>623.0503743489583</x:v>
      </x:c>
      <x:c r="R133" s="23" t="n">
        <x:v>622.5918782552083</x:v>
      </x:c>
      <x:c r="S133" s="23" t="n">
        <x:v>628.4547932942708</x:v>
      </x:c>
      <x:c r="T133" s="23" t="n">
        <x:v>633.7431640625</x:v>
      </x:c>
      <x:c r="U133" s="23" t="n">
        <x:v>628.1170654296875</x:v>
      </x:c>
      <x:c r="V133" s="23" t="n">
        <x:v>610.3065592447916</x:v>
      </x:c>
      <x:c r="W133" s="23" t="n">
        <x:v>606.5435384114583</x:v>
      </x:c>
      <x:c r="X133" s="23" t="n">
        <x:v>1443.5490315755208</x:v>
      </x:c>
      <x:c r="Y133" s="23" t="n">
        <x:v>616.13623046875</x:v>
      </x:c>
      <x:c r="Z133" s="23" t="n">
        <x:v>654.7785067676168</x:v>
      </x:c>
      <x:c r="AA133" s="23" t="n">
        <x:v>1440.6332194010415</x:v>
      </x:c>
      <x:c r="AB133" s="23" t="n">
        <x:v>612.0144449869791</x:v>
      </x:c>
      <x:c r="AC133" s="23" t="n">
        <x:v>610.7227489628922</x:v>
      </x:c>
      <x:c r="AD133" s="23" t="n">
        <x:v>1450.2608642578125</x:v>
      </x:c>
      <x:c r="AE133" s="23" t="n">
        <x:v>1458.71923828125</x:v>
      </x:c>
      <x:c r="AF133" s="23" t="n">
        <x:v>606.3534269807402</x:v>
      </x:c>
      <x:c r="AG133" s="23" t="n">
        <x:v>578.841726265807</x:v>
      </x:c>
      <x:c r="AH133" s="23" t="n">
        <x:v>541.8140176549612</x:v>
      </x:c>
      <x:c r="AI133" s="23" t="n">
        <x:v>1322.8797167883185</x:v>
      </x:c>
      <x:c r="AJ133" s="23" t="n">
        <x:v>530.2624302468181</x:v>
      </x:c>
      <x:c r="AK133" s="23" t="n">
        <x:v>0</x:v>
      </x:c>
      <x:c r="AL133" s="23" t="n">
        <x:v>0</x:v>
      </x:c>
      <x:c r="AM133" s="23" t="n">
        <x:v>508.3641369509852</x:v>
      </x:c>
      <x:c r="AN133" s="23" t="n">
        <x:v>0</x:v>
      </x:c>
      <x:c r="AO133" s="23" t="n">
        <x:v>475.15063734088545</x:v>
      </x:c>
      <x:c r="AP133" s="23" t="n">
        <x:v>441.2334648210145</x:v>
      </x:c>
      <x:c r="AQ133" s="23" t="n">
        <x:v>0</x:v>
      </x:c>
      <x:c r="AR133" s="23" t="n">
        <x:v>371.5444802209966</x:v>
      </x:c>
      <x:c r="AS133" s="23" t="n">
        <x:v>325.5967909585154</x:v>
      </x:c>
      <x:c r="AT133" s="23" t="n">
        <x:v>278.4755572855318</x:v>
      </x:c>
      <x:c r="AU133" s="23" t="n">
        <x:v>1052.4159643825492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0</x:v>
      </x:c>
      <x:c r="BP133" s="23" t="n">
        <x:v>732.9539050294745</x:v>
      </x:c>
      <x:c r="BQ133" s="23" t="n">
        <x:v>725.5409490583829</x:v>
      </x:c>
      <x:c r="BR133" s="23" t="n">
        <x:v>0</x:v>
      </x:c>
      <x:c r="BS133" s="23" t="n">
        <x:v>0</x:v>
      </x:c>
      <x:c r="BT133" s="23" t="n">
        <x:v>0</x:v>
      </x:c>
      <x:c r="BU133" s="23" t="n">
        <x:v>0</x:v>
      </x:c>
      <x:c r="BV133" s="23" t="n">
        <x:v>643.3620089349663</x:v>
      </x:c>
      <x:c r="BW133" s="23" t="n">
        <x:v>654.2937252355305</x:v>
      </x:c>
      <x:c r="BX133" s="23" t="n">
        <x:v>697.3384689511455</x:v>
      </x:c>
      <x:c r="BY133" s="23" t="n">
        <x:v>726.173505288386</x:v>
      </x:c>
      <x:c r="BZ133" s="23" t="n">
        <x:v>0</x:v>
      </x:c>
      <x:c r="CA133" s="23" t="n">
        <x:v>0</x:v>
      </x:c>
      <x:c r="CB133" s="23" t="n">
        <x:v>0</x:v>
      </x:c>
      <x:c r="CC133" s="23" t="n">
        <x:v>0</x:v>
      </x:c>
      <x:c r="CD133" s="23" t="n">
        <x:v>12.254839125149829</x:v>
      </x:c>
      <x:c r="CE133" s="23" t="n">
        <x:v>0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200.6882431821141</x:v>
      </x:c>
      <x:c r="CM133" s="23" t="n">
        <x:v>1100.2823101044187</x:v>
      </x:c>
      <x:c r="CN133" s="23" t="n">
        <x:v>456.83679006486454</x:v>
      </x:c>
      <x:c r="CO133" s="23" t="n">
        <x:v>353.1707944072409</x:v>
      </x:c>
      <x:c r="CP133" s="23" t="n">
        <x:v>395.9810653342589</x:v>
      </x:c>
      <x:c r="CQ133" s="23" t="n">
        <x:v>430.96716729310367</x:v>
      </x:c>
      <x:c r="CR133" s="23" t="n">
        <x:v>479.283488904526</x:v>
      </x:c>
      <x:c r="CS133" s="23" t="n">
        <x:v>517.0570868937813</x:v>
      </x:c>
      <x:c r="CT133" s="23" t="n">
        <x:v>536.4234434034571</x:v>
      </x:c>
      <x:c r="CU133" s="23" t="n">
        <x:v>582.943319803797</x:v>
      </x:c>
      <x:c r="CV133" s="23" t="n">
        <x:v>624.6167595165388</x:v>
      </x:c>
      <x:c r="CW133" s="23" t="n">
        <x:v>656.6560428228853</x:v>
      </x:c>
      <x:c r="CX133" s="23" t="n">
        <x:v>694.087466383678</x:v>
      </x:c>
      <x:c r="CY133" s="23" t="n">
        <x:v>741.2704405468878</x:v>
      </x:c>
      <x:c r="CZ133" s="23" t="n">
        <x:v>794.2692104788446</x:v>
      </x:c>
      <x:c r="DA133" s="23" t="n">
        <x:v>830.2656083350545</x:v>
      </x:c>
      <x:c r="DB133" s="23" t="n">
        <x:v>853.4051295632855</x:v>
      </x:c>
      <x:c r="DC133" s="23" t="n">
        <x:v>899.1326989230433</x:v>
      </x:c>
      <x:c r="DD133" s="23" t="n">
        <x:v>846.1746992759183</x:v>
      </x:c>
      <x:c r="DE133" s="23" t="n">
        <x:v>647.2259553198835</x:v>
      </x:c>
      <x:c r="DF133" s="23" t="n">
        <x:v>658.086765027143</x:v>
      </x:c>
      <x:c r="DG133" s="23" t="n">
        <x:v>603.6833220606804</x:v>
      </x:c>
      <x:c r="DH133" s="23" t="n">
        <x:v>3.5683738147023782</x:v>
      </x:c>
      <x:c r="DI133" s="23" t="n">
        <x:v>19.751732319202194</x:v>
      </x:c>
      <x:c r="DJ133" s="23" t="n">
        <x:v>801.1146987621619</x:v>
      </x:c>
      <x:c r="DK133" s="23" t="n">
        <x:v>59.43356770833331</x:v>
      </x:c>
      <x:c r="DL133" s="23" t="n">
        <x:v>78.57996914062505</x:v>
      </x:c>
      <x:c r="DM133" s="23" t="n">
        <x:v>102.00833237615066</x:v>
      </x:c>
      <x:c r="DN133" s="23" t="n">
        <x:v>76.39459960937498</x:v>
      </x:c>
      <x:c r="DO133" s="23" t="n">
        <x:v>836.0975748697916</x:v>
      </x:c>
      <x:c r="DP133" s="23" t="n">
        <x:v>835.9672037760416</x:v>
      </x:c>
      <x:c r="DQ133" s="23" t="n">
        <x:v>69.14980143229164</x:v>
      </x:c>
      <x:c r="DR133" s="23" t="n">
        <x:v>62.268341927083384</x:v>
      </x:c>
      <x:c r="DS133" s="23" t="n">
        <x:v>78.00676588541667</x:v>
      </x:c>
      <x:c r="DT133" s="23" t="n">
        <x:v>80.33570638020834</x:v>
      </x:c>
      <x:c r="DU133" s="23" t="n">
        <x:v>75.39165032552076</x:v>
      </x:c>
      <x:c r="DV133" s="23" t="n">
        <x:v>842.048095703125</x:v>
      </x:c>
      <x:c r="DW133" s="23" t="n">
        <x:v>837.923583984375</x:v>
      </x:c>
      <x:c r="DX133" s="23" t="n">
        <x:v>829.6164290364579</x:v>
      </x:c>
      <x:c r="DY133" s="23" t="n">
        <x:v>815.9957682291666</x:v>
      </x:c>
      <x:c r="DZ133" s="23" t="n">
        <x:v>832.638427734375</x:v>
      </x:c>
      <x:c r="EA133" s="23" t="n">
        <x:v>835.0833279947917</x:v>
      </x:c>
      <x:c r="EB133" s="23" t="n">
        <x:v>777.5341899088542</x:v>
      </x:c>
      <x:c r="EC133" s="23" t="n">
        <x:v>666.9944254557291</x:v>
      </x:c>
      <x:c r="ED133" s="23" t="n">
        <x:v>1486.6050618489583</x:v>
      </x:c>
      <x:c r="EE133" s="23" t="n">
        <x:v>655.7176106770833</x:v>
      </x:c>
      <x:c r="EF133" s="23" t="n">
        <x:v>1479.5569661458333</x:v>
      </x:c>
      <x:c r="EG133" s="23" t="n">
        <x:v>1501.981974283854</x:v>
      </x:c>
      <x:c r="EH133" s="23" t="n">
        <x:v>1498.901123046875</x:v>
      </x:c>
      <x:c r="EI133" s="23" t="n">
        <x:v>914.4567675178433</x:v>
      </x:c>
      <x:c r="EJ133" s="23" t="n">
        <x:v>639.9158528645833</x:v>
      </x:c>
      <x:c r="EK133" s="23" t="n">
        <x:v>642.8099772135416</x:v>
      </x:c>
      <x:c r="EL133" s="23" t="n">
        <x:v>1489.6709798177083</x:v>
      </x:c>
      <x:c r="EM133" s="23" t="n">
        <x:v>673.0885823567708</x:v>
      </x:c>
      <x:c r="EN133" s="23" t="n">
        <x:v>635.6302490234375</x:v>
      </x:c>
      <x:c r="EO133" s="23" t="n">
        <x:v>1382.1543782552083</x:v>
      </x:c>
      <x:c r="EP133" s="23" t="n">
        <x:f>SUM(B133:EO133)</x:f>
        <x:v>71651.00826923041</x:v>
      </x:c>
      <x:c r="EQ133" s="23" t="n">
        <x:f>SUMPRODUCT(B133:EO133,{0.4854,0.4554,0.4835,0.4807,0.4738,0.4829,0.4935,0.5006,0.4841,0.434,0.4446,0.493,0.4656,0.452,0.4688,0.4458,0.4635,0.5174,0.5133,0.4938,0.4972,0.5114,0.4857,0.4398,0.4393,0.4222,0.4063,0.464,0.4451,0.3703,0.411,0.4372,0.3689,0.3069,0.5394,0.8961,0.898,0.8359,0.8611,0.8352,0.805,0.7719,0.6916,0.707,0.7497,0.6452,0.8059,1.1834,1.2756,1.2036,1.1345,1.1051,1.0969,1.0821,1.0487,1.0323,1.0238,0.9818,0.96,0.9729,0.9796,0.9706,0.9718,0.9893,0.8555,0.6261,0.5464,0.5543,0.586,0.6321,0.5942,0.5212,0.5633,0.5988,0.5613,0.5429,0.7515,1.0249,0.9843,0.9556,1.0574,1.084,1.0832,1.084,1.0541,1.0576,1.1276,1.1995,1.0605,0.8183,0.8078,0.8509,0.845,0.8717,0.9187,0.9434,0.9206,0.9082,0.9326,0.9702,1.0066,1.034,1.051,1.0694,1.0842,1.0904,1.1581,1.2556,1.2777,1.3045,1.3533,1.3632,1.3961,1.4394,1.4117,1.3793,1.3656,1.3382,1.3599,1.4032,1.3713,1.3457,1.378,1.4117,1.2758,1.0478,0.9955,1.0449,1.1028,1.109,0.8707,0.5104,0.3927,0.4525,0.5303,0.5246,0.4987,0.5136,0.5559,0.4983,0.4163,0.4971,0.4658,0.3301})</x:f>
        <x:v>48379.45930477543</x:v>
      </x:c>
    </x:row>
    <x:row r="134" ht="14" customHeight="1">
      <x:c r="A134" s="3">
        <x:v>45821</x:v>
      </x:c>
      <x:c r="B134" s="23" t="n">
        <x:v>474.9345703125</x:v>
      </x:c>
      <x:c r="C134" s="23" t="n">
        <x:v>0</x:v>
      </x:c>
      <x:c r="D134" s="23" t="n">
        <x:v>0</x:v>
      </x:c>
      <x:c r="E134" s="23" t="n">
        <x:v>505.8980305989583</x:v>
      </x:c>
      <x:c r="F134" s="23" t="n">
        <x:v>0</x:v>
      </x:c>
      <x:c r="G134" s="23" t="n">
        <x:v>0</x:v>
      </x:c>
      <x:c r="H134" s="23" t="n">
        <x:v>507.084228515625</x:v>
      </x:c>
      <x:c r="I134" s="23" t="n">
        <x:v>491.50634765625</x:v>
      </x:c>
      <x:c r="J134" s="23" t="n">
        <x:v>456.00870768229163</x:v>
      </x:c>
      <x:c r="K134" s="23" t="n">
        <x:v>457.9314778645833</x:v>
      </x:c>
      <x:c r="L134" s="23" t="n">
        <x:v>489.2145589192708</x:v>
      </x:c>
      <x:c r="M134" s="23" t="n">
        <x:v>504.962890625</x:v>
      </x:c>
      <x:c r="N134" s="23" t="n">
        <x:v>0</x:v>
      </x:c>
      <x:c r="O134" s="23" t="n">
        <x:v>0</x:v>
      </x:c>
      <x:c r="P134" s="23" t="n">
        <x:v>448.54386393229163</x:v>
      </x:c>
      <x:c r="Q134" s="23" t="n">
        <x:v>1284.4953206380208</x:v>
      </x:c>
      <x:c r="R134" s="23" t="n">
        <x:v>462.192138671875</x:v>
      </x:c>
      <x:c r="S134" s="23" t="n">
        <x:v>0</x:v>
      </x:c>
      <x:c r="T134" s="23" t="n">
        <x:v>452.83203125</x:v>
      </x:c>
      <x:c r="U134" s="23" t="n">
        <x:v>447.546630859375</x:v>
      </x:c>
      <x:c r="V134" s="23" t="n">
        <x:v>437.2821699568891</x:v>
      </x:c>
      <x:c r="W134" s="23" t="n">
        <x:v>474.48050944010413</x:v>
      </x:c>
      <x:c r="X134" s="23" t="n">
        <x:v>453.16288248697913</x:v>
      </x:c>
      <x:c r="Y134" s="23" t="n">
        <x:v>446.4403076171875</x:v>
      </x:c>
      <x:c r="Z134" s="23" t="n">
        <x:v>451.8404134114583</x:v>
      </x:c>
      <x:c r="AA134" s="23" t="n">
        <x:v>446.7426350911458</x:v>
      </x:c>
      <x:c r="AB134" s="23" t="n">
        <x:v>444.7095947265625</x:v>
      </x:c>
      <x:c r="AC134" s="23" t="n">
        <x:v>446.57518273181114</x:v>
      </x:c>
      <x:c r="AD134" s="23" t="n">
        <x:v>466.55224609375</x:v>
      </x:c>
      <x:c r="AE134" s="23" t="n">
        <x:v>466.55224609375</x:v>
      </x:c>
      <x:c r="AF134" s="23" t="n">
        <x:v>419.86495312017433</x:v>
      </x:c>
      <x:c r="AG134" s="23" t="n">
        <x:v>397.0121106902699</x:v>
      </x:c>
      <x:c r="AH134" s="23" t="n">
        <x:v>371.5197927893877</x:v>
      </x:c>
      <x:c r="AI134" s="23" t="n">
        <x:v>1164.6187450968077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0</x:v>
      </x:c>
      <x:c r="CP134" s="23" t="n">
        <x:v>0</x:v>
      </x:c>
      <x:c r="CQ134" s="23" t="n">
        <x:v>0</x:v>
      </x:c>
      <x:c r="CR134" s="23" t="n">
        <x:v>24.69370939029841</x:v>
      </x:c>
      <x:c r="CS134" s="23" t="n">
        <x:v>50.47283366939412</x:v>
      </x:c>
      <x:c r="CT134" s="23" t="n">
        <x:v>102.93082728939112</x:v>
      </x:c>
      <x:c r="CU134" s="23" t="n">
        <x:v>144.0086844334781</x:v>
      </x:c>
      <x:c r="CV134" s="23" t="n">
        <x:v>172.09781154421808</x:v>
      </x:c>
      <x:c r="CW134" s="23" t="n">
        <x:v>217.7876009608367</x:v>
      </x:c>
      <x:c r="CX134" s="23" t="n">
        <x:v>245.9946153702082</x:v>
      </x:c>
      <x:c r="CY134" s="23" t="n">
        <x:v>196.59808126356108</x:v>
      </x:c>
      <x:c r="CZ134" s="23" t="n">
        <x:v>200.00373315465566</x:v>
      </x:c>
      <x:c r="DA134" s="23" t="n">
        <x:v>235.59610373078618</x:v>
      </x:c>
      <x:c r="DB134" s="23" t="n">
        <x:v>297.4050873699557</x:v>
      </x:c>
      <x:c r="DC134" s="23" t="n">
        <x:v>328.8605765428725</x:v>
      </x:c>
      <x:c r="DD134" s="23" t="n">
        <x:v>348.94308392680614</x:v>
      </x:c>
      <x:c r="DE134" s="23" t="n">
        <x:v>377.0235571856648</x:v>
      </x:c>
      <x:c r="DF134" s="23" t="n">
        <x:v>0</x:v>
      </x:c>
      <x:c r="DG134" s="23" t="n">
        <x:v>101.58780295835186</x:v>
      </x:c>
      <x:c r="DH134" s="23" t="n">
        <x:v>0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562.0388135416666</x:v>
      </x:c>
      <x:c r="DW134" s="23" t="n">
        <x:v>576.4591878255208</x:v>
      </x:c>
      <x:c r="DX134" s="23" t="n">
        <x:v>596.1423043459039</x:v>
      </x:c>
      <x:c r="DY134" s="23" t="n">
        <x:v>579.4303792317708</x:v>
      </x:c>
      <x:c r="DZ134" s="23" t="n">
        <x:v>564.5765787760416</x:v>
      </x:c>
      <x:c r="EA134" s="23" t="n">
        <x:v>556.8859402994792</x:v>
      </x:c>
      <x:c r="EB134" s="23" t="n">
        <x:v>540.3025004557292</x:v>
      </x:c>
      <x:c r="EC134" s="23" t="n">
        <x:v>517.1865641276041</x:v>
      </x:c>
      <x:c r="ED134" s="23" t="n">
        <x:v>1351.053466796875</x:v>
      </x:c>
      <x:c r="EE134" s="23" t="n">
        <x:v>1353.6214192708333</x:v>
      </x:c>
      <x:c r="EF134" s="23" t="n">
        <x:v>497.4974365234375</x:v>
      </x:c>
      <x:c r="EG134" s="23" t="n">
        <x:v>467.2509765625</x:v>
      </x:c>
      <x:c r="EH134" s="23" t="n">
        <x:v>1318.643310546875</x:v>
      </x:c>
      <x:c r="EI134" s="23" t="n">
        <x:v>792.0269579475308</x:v>
      </x:c>
      <x:c r="EJ134" s="23" t="n">
        <x:v>525.06396484375</x:v>
      </x:c>
      <x:c r="EK134" s="23" t="n">
        <x:v>507.8761800130208</x:v>
      </x:c>
      <x:c r="EL134" s="23" t="n">
        <x:v>1334.1044514973958</x:v>
      </x:c>
      <x:c r="EM134" s="23" t="n">
        <x:v>504.0499267578125</x:v>
      </x:c>
      <x:c r="EN134" s="23" t="n">
        <x:v>1330.7369384765625</x:v>
      </x:c>
      <x:c r="EO134" s="23" t="n">
        <x:v>1291.2117513020833</x:v>
      </x:c>
      <x:c r="EP134" s="23" t="n">
        <x:f>SUM(B134:EO134)</x:f>
        <x:v>32680.66774480518</x:v>
      </x:c>
      <x:c r="EQ134" s="23" t="n">
        <x:f>SUMPRODUCT(B134:EO134,{0.376,0.4121,0.3681,0.3692,0.3507,0.3146,0.3422,0.3693,0.3607,0.3466,0.3512,0.3627,0.3545,0.3722,0.3968,0.3625,0.341,0.3757,0.4328,0.43,0.376,0.3586,0.372,0.3695,0.3197,0.3115,0.3599,0.3904,0.389,0.3691,0.3543,0.3595,0.335,0.2565,0.4275,0.7242,0.6962,0.614,0.6356,0.648,0.6471,0.6485,0.6541,0.653,0.6033,0.5081,0.6434,0.921,0.9552,0.8971,0.8576,0.8049,0.8451,0.9304,0.8958,0.8646,0.8732,0.8314,0.7849,0.781,0.8112,0.7897,0.7533,0.7935,0.6679,0.4265,0.3823,0.3973,0.3615,0.3163,0.3223,0.3639,0.3704,0.3667,0.3498,0.3091,0.4044,0.5852,0.6329,0.6632,0.7164,0.7094,0.7037,0.7129,0.6941,0.7217,0.7934,0.8036,0.6715,0.5041,0.5052,0.547,0.5538,0.5728,0.5993,0.6354,0.692,0.7334,0.7526,0.7656,0.7221,0.6569,0.6698,0.7151,0.7487,0.7844,0.9049,1.0656,1.1266,1.1405,1.1498,1.1494,1.179,1.2207,1.2189,1.2363,1.2622,1.229,1.2519,1.298,1.2173,1.1654,1.2236,1.2881,1.1436,0.8942,0.8652,0.8947,0.8989,0.9198,0.7039,0.3767,0.3577,0.4318,0.439,0.4254,0.3879,0.3546,0.3731,0.3914,0.3915,0.4015,0.3969,0.3818})</x:f>
        <x:v>15590.951816296221</x:v>
      </x:c>
    </x:row>
    <x:row r="135" ht="14" customHeight="1">
      <x:c r="A135" s="3">
        <x:v>45822</x:v>
      </x:c>
      <x:c r="B135" s="23" t="n">
        <x:v>477.36881510416663</x:v>
      </x:c>
      <x:c r="C135" s="23" t="n">
        <x:v>500.670166015625</x:v>
      </x:c>
      <x:c r="D135" s="23" t="n">
        <x:v>490.060546875</x:v>
      </x:c>
      <x:c r="E135" s="23" t="n">
        <x:v>0</x:v>
      </x:c>
      <x:c r="F135" s="23" t="n">
        <x:v>0</x:v>
      </x:c>
      <x:c r="G135" s="23" t="n">
        <x:v>0.6414709959634213</x:v>
      </x:c>
      <x:c r="H135" s="23" t="n">
        <x:v>477.9192708333333</x:v>
      </x:c>
      <x:c r="I135" s="23" t="n">
        <x:v>462.6800537109375</x:v>
      </x:c>
      <x:c r="J135" s="23" t="n">
        <x:v>457.5591634114583</x:v>
      </x:c>
      <x:c r="K135" s="23" t="n">
        <x:v>489.8997802734375</x:v>
      </x:c>
      <x:c r="L135" s="23" t="n">
        <x:v>501.676025390625</x:v>
      </x:c>
      <x:c r="M135" s="23" t="n">
        <x:v>487.966796875</x:v>
      </x:c>
      <x:c r="N135" s="23" t="n">
        <x:v>476.97318522135413</x:v>
      </x:c>
      <x:c r="O135" s="23" t="n">
        <x:v>455.4637451171875</x:v>
      </x:c>
      <x:c r="P135" s="23" t="n">
        <x:v>0</x:v>
      </x:c>
      <x:c r="Q135" s="23" t="n">
        <x:v>460.352783203125</x:v>
      </x:c>
      <x:c r="R135" s="23" t="n">
        <x:v>472.5645345052083</x:v>
      </x:c>
      <x:c r="S135" s="23" t="n">
        <x:v>457.2890625</x:v>
      </x:c>
      <x:c r="T135" s="23" t="n">
        <x:v>0</x:v>
      </x:c>
      <x:c r="U135" s="23" t="n">
        <x:v>0</x:v>
      </x:c>
      <x:c r="V135" s="23" t="n">
        <x:v>453.4581298828125</x:v>
      </x:c>
      <x:c r="W135" s="23" t="n">
        <x:v>463.65799967447913</x:v>
      </x:c>
      <x:c r="X135" s="23" t="n">
        <x:v>461.05204264322913</x:v>
      </x:c>
      <x:c r="Y135" s="23" t="n">
        <x:v>465.01554361979163</x:v>
      </x:c>
      <x:c r="Z135" s="23" t="n">
        <x:v>469.8218994140625</x:v>
      </x:c>
      <x:c r="AA135" s="23" t="n">
        <x:v>453.92277018229163</x:v>
      </x:c>
      <x:c r="AB135" s="23" t="n">
        <x:v>452.14579264322913</x:v>
      </x:c>
      <x:c r="AC135" s="23" t="n">
        <x:v>449.58526979001056</x:v>
      </x:c>
      <x:c r="AD135" s="23" t="n">
        <x:v>456.08447265625</x:v>
      </x:c>
      <x:c r="AE135" s="23" t="n">
        <x:v>447.69381574523806</x:v>
      </x:c>
      <x:c r="AF135" s="23" t="n">
        <x:v>442.00325502889757</x:v>
      </x:c>
      <x:c r="AG135" s="23" t="n">
        <x:v>405.37803757370176</x:v>
      </x:c>
      <x:c r="AH135" s="23" t="n">
        <x:v>372.75033701687846</x:v>
      </x:c>
      <x:c r="AI135" s="23" t="n">
        <x:v>1197.638008933086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0</x:v>
      </x:c>
      <x:c r="CQ135" s="23" t="n">
        <x:v>0</x:v>
      </x:c>
      <x:c r="CR135" s="23" t="n">
        <x:v>18.908980003540666</x:v>
      </x:c>
      <x:c r="CS135" s="23" t="n">
        <x:v>57.19416580740592</x:v>
      </x:c>
      <x:c r="CT135" s="23" t="n">
        <x:v>128.023288222875</x:v>
      </x:c>
      <x:c r="CU135" s="23" t="n">
        <x:v>141.99560442685907</x:v>
      </x:c>
      <x:c r="CV135" s="23" t="n">
        <x:v>132.37107538706368</x:v>
      </x:c>
      <x:c r="CW135" s="23" t="n">
        <x:v>171.53784703201563</x:v>
      </x:c>
      <x:c r="CX135" s="23" t="n">
        <x:v>185.80262430235717</x:v>
      </x:c>
      <x:c r="CY135" s="23" t="n">
        <x:v>191.02025229628467</x:v>
      </x:c>
      <x:c r="CZ135" s="23" t="n">
        <x:v>233.518899980935</x:v>
      </x:c>
      <x:c r="DA135" s="23" t="n">
        <x:v>265.5720503286753</x:v>
      </x:c>
      <x:c r="DB135" s="23" t="n">
        <x:v>299.8332303685556</x:v>
      </x:c>
      <x:c r="DC135" s="23" t="n">
        <x:v>351.37670707458994</x:v>
      </x:c>
      <x:c r="DD135" s="23" t="n">
        <x:v>390.93381306212086</x:v>
      </x:c>
      <x:c r="DE135" s="23" t="n">
        <x:v>414.2742083391923</x:v>
      </x:c>
      <x:c r="DF135" s="23" t="n">
        <x:v>30.803183273720983</x:v>
      </x:c>
      <x:c r="DG135" s="23" t="n">
        <x:v>454.50825024449347</x:v>
      </x:c>
      <x:c r="DH135" s="23" t="n">
        <x:v>0</x:v>
      </x:c>
      <x:c r="DI135" s="23" t="n">
        <x:v>0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605.0482584635416</x:v>
      </x:c>
      <x:c r="DW135" s="23" t="n">
        <x:v>591.0384521484375</x:v>
      </x:c>
      <x:c r="DX135" s="23" t="n">
        <x:v>584.4211832682291</x:v>
      </x:c>
      <x:c r="DY135" s="23" t="n">
        <x:v>576.3433199218749</x:v>
      </x:c>
      <x:c r="DZ135" s="23" t="n">
        <x:v>576.9410807291666</x:v>
      </x:c>
      <x:c r="EA135" s="23" t="n">
        <x:v>569.5583089192708</x:v>
      </x:c>
      <x:c r="EB135" s="23" t="n">
        <x:v>544.5198843749998</x:v>
      </x:c>
      <x:c r="EC135" s="23" t="n">
        <x:v>827.3736859206213</x:v>
      </x:c>
      <x:c r="ED135" s="23" t="n">
        <x:v>1342.292521158854</x:v>
      </x:c>
      <x:c r="EE135" s="23" t="n">
        <x:v>1342.2296549479165</x:v>
      </x:c>
      <x:c r="EF135" s="23" t="n">
        <x:v>1340.817667643229</x:v>
      </x:c>
      <x:c r="EG135" s="23" t="n">
        <x:v>1344.295939127604</x:v>
      </x:c>
      <x:c r="EH135" s="23" t="n">
        <x:v>1354.621378580729</x:v>
      </x:c>
      <x:c r="EI135" s="23" t="n">
        <x:v>1314.0562337239583</x:v>
      </x:c>
      <x:c r="EJ135" s="23" t="n">
        <x:v>1297.671142578125</x:v>
      </x:c>
      <x:c r="EK135" s="23" t="n">
        <x:v>499.7816162109375</x:v>
      </x:c>
      <x:c r="EL135" s="23" t="n">
        <x:v>534.8486328125</x:v>
      </x:c>
      <x:c r="EM135" s="23" t="n">
        <x:v>498.5030517578125</x:v>
      </x:c>
      <x:c r="EN135" s="23" t="n">
        <x:v>547.8715413411458</x:v>
      </x:c>
      <x:c r="EO135" s="23" t="n">
        <x:v>0</x:v>
      </x:c>
      <x:c r="EP135" s="23" t="n">
        <x:f>SUM(B135:EO135)</x:f>
        <x:v>33419.20050861603</x:v>
      </x:c>
      <x:c r="EQ135" s="23" t="n">
        <x:f>SUMPRODUCT(B135:EO135,{0.3927,0.4256,0.4336,0.3729,0.3393,0.3622,0.38,0.3731,0.3581,0.3623,0.363,0.3815,0.4507,0.4334,0.3501,0.3548,0.339,0.3062,0.3749,0.4107,0.3685,0.3403,0.3482,0.3631,0.3454,0.3401,0.3651,0.3877,0.3697,0.3313,0.3311,0.3418,0.3206,0.2836,0.443,0.7178,0.7798,0.6862,0.5853,0.5782,0.6113,0.6275,0.6147,0.5999,0.5856,0.5668,0.6381,0.7683,0.8108,0.7652,0.7141,0.7457,0.7914,0.7776,0.7065,0.7355,0.8227,0.77,0.6999,0.712,0.7722,0.7449,0.6707,0.6941,0.5907,0.3851,0.3485,0.3707,0.3699,0.3802,0.3883,0.3877,0.3872,0.3754,0.3255,0.2585,0.4119,0.6948,0.7571,0.7343,0.7449,0.7632,0.7605,0.7589,0.797,0.7902,0.7831,0.8748,0.7603,0.5113,0.5197,0.5555,0.5315,0.598,0.6453,0.6525,0.7111,0.7376,0.715,0.7132,0.7008,0.6782,0.6904,0.7296,0.7357,0.6876,0.8538,1.145,1.1825,1.1453,1.1592,1.1651,1.1574,1.1686,1.2236,1.2334,1.2017,1.2174,1.2254,1.2162,1.238,1.2377,1.2212,1.2347,1.1528,0.9836,0.8804,0.8677,0.911,0.924,0.7237,0.4294,0.3675,0.396,0.4115,0.451,0.4804,0.4684,0.4179,0.3747,0.376,0.4275,0.4875,0.5036})</x:f>
        <x:v>16783.295083250883</x:v>
      </x:c>
    </x:row>
    <x:row r="136" ht="14" customHeight="1">
      <x:c r="A136" s="3">
        <x:v>45823</x:v>
      </x:c>
      <x:c r="B136" s="23" t="n">
        <x:v>709.9043782552083</x:v>
      </x:c>
      <x:c r="C136" s="23" t="n">
        <x:v>676.0027262369791</x:v>
      </x:c>
      <x:c r="D136" s="23" t="n">
        <x:v>702.552978515625</x:v>
      </x:c>
      <x:c r="E136" s="23" t="n">
        <x:v>672.7210286458333</x:v>
      </x:c>
      <x:c r="F136" s="23" t="n">
        <x:v>672.9884033203125</x:v>
      </x:c>
      <x:c r="G136" s="23" t="n">
        <x:v>673.5242106119791</x:v>
      </x:c>
      <x:c r="H136" s="23" t="n">
        <x:v>651.274658203125</x:v>
      </x:c>
      <x:c r="I136" s="23" t="n">
        <x:v>631.4738362630208</x:v>
      </x:c>
      <x:c r="J136" s="23" t="n">
        <x:v>631.2693277994791</x:v>
      </x:c>
      <x:c r="K136" s="23" t="n">
        <x:v>624.8140055338541</x:v>
      </x:c>
      <x:c r="L136" s="23" t="n">
        <x:v>649.3336181640625</x:v>
      </x:c>
      <x:c r="M136" s="23" t="n">
        <x:v>659.9244384765625</x:v>
      </x:c>
      <x:c r="N136" s="23" t="n">
        <x:v>626.2784423828125</x:v>
      </x:c>
      <x:c r="O136" s="23" t="n">
        <x:v>627.0084228515625</x:v>
      </x:c>
      <x:c r="P136" s="23" t="n">
        <x:v>672.8311360677083</x:v>
      </x:c>
      <x:c r="Q136" s="23" t="n">
        <x:v>1422.7210733659667</x:v>
      </x:c>
      <x:c r="R136" s="23" t="n">
        <x:v>631.7455240885416</x:v>
      </x:c>
      <x:c r="S136" s="23" t="n">
        <x:v>646.2625325520833</x:v>
      </x:c>
      <x:c r="T136" s="23" t="n">
        <x:v>638.851318359375</x:v>
      </x:c>
      <x:c r="U136" s="23" t="n">
        <x:v>618.9866943359375</x:v>
      </x:c>
      <x:c r="V136" s="23" t="n">
        <x:v>618.6368001302083</x:v>
      </x:c>
      <x:c r="W136" s="23" t="n">
        <x:v>610.8644612630208</x:v>
      </x:c>
      <x:c r="X136" s="23" t="n">
        <x:v>1441.3314615885415</x:v>
      </x:c>
      <x:c r="Y136" s="23" t="n">
        <x:v>1449.8544108072915</x:v>
      </x:c>
      <x:c r="Z136" s="23" t="n">
        <x:v>619.8745930989583</x:v>
      </x:c>
      <x:c r="AA136" s="23" t="n">
        <x:v>613.3920084635416</x:v>
      </x:c>
      <x:c r="AB136" s="23" t="n">
        <x:v>611.7544352213541</x:v>
      </x:c>
      <x:c r="AC136" s="23" t="n">
        <x:v>607.2611263370585</x:v>
      </x:c>
      <x:c r="AD136" s="23" t="n">
        <x:v>1443.3023274739583</x:v>
      </x:c>
      <x:c r="AE136" s="23" t="n">
        <x:v>1429.288464138006</x:v>
      </x:c>
      <x:c r="AF136" s="23" t="n">
        <x:v>572.9106106169932</x:v>
      </x:c>
      <x:c r="AG136" s="23" t="n">
        <x:v>550.5046340614193</x:v>
      </x:c>
      <x:c r="AH136" s="23" t="n">
        <x:v>1361.2940850721175</x:v>
      </x:c>
      <x:c r="AI136" s="23" t="n">
        <x:v>1327.061567181328</x:v>
      </x:c>
      <x:c r="AJ136" s="23" t="n">
        <x:v>523.0575291085461</x:v>
      </x:c>
      <x:c r="AK136" s="23" t="n">
        <x:v>0</x:v>
      </x:c>
      <x:c r="AL136" s="23" t="n">
        <x:v>0</x:v>
      </x:c>
      <x:c r="AM136" s="23" t="n">
        <x:v>554.4161075187184</x:v>
      </x:c>
      <x:c r="AN136" s="23" t="n">
        <x:v>524.7233529981688</x:v>
      </x:c>
      <x:c r="AO136" s="23" t="n">
        <x:v>487.4424594308117</x:v>
      </x:c>
      <x:c r="AP136" s="23" t="n">
        <x:v>454.638126288965</x:v>
      </x:c>
      <x:c r="AQ136" s="23" t="n">
        <x:v>421.7008378570884</x:v>
      </x:c>
      <x:c r="AR136" s="23" t="n">
        <x:v>390.9852267952231</x:v>
      </x:c>
      <x:c r="AS136" s="23" t="n">
        <x:v>354.6517657868111</x:v>
      </x:c>
      <x:c r="AT136" s="23" t="n">
        <x:v>298.98278878657754</x:v>
      </x:c>
      <x:c r="AU136" s="23" t="n">
        <x:v>1082.2032100033298</x:v>
      </x:c>
      <x:c r="AV136" s="23" t="n">
        <x:v>281.7261613360068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0</x:v>
      </x:c>
      <x:c r="BP136" s="23" t="n">
        <x:v>0</x:v>
      </x:c>
      <x:c r="BQ136" s="23" t="n">
        <x:v>0</x:v>
      </x:c>
      <x:c r="BR136" s="23" t="n">
        <x:v>0</x:v>
      </x:c>
      <x:c r="BS136" s="23" t="n">
        <x:v>757.1410336034833</x:v>
      </x:c>
      <x:c r="BT136" s="23" t="n">
        <x:v>0</x:v>
      </x:c>
      <x:c r="BU136" s="23" t="n">
        <x:v>0</x:v>
      </x:c>
      <x:c r="BV136" s="23" t="n">
        <x:v>277.8622608815542</x:v>
      </x:c>
      <x:c r="BW136" s="23" t="n">
        <x:v>697.8312955326544</x:v>
      </x:c>
      <x:c r="BX136" s="23" t="n">
        <x:v>692.6518596306012</x:v>
      </x:c>
      <x:c r="BY136" s="23" t="n">
        <x:v>715.6790487936717</x:v>
      </x:c>
      <x:c r="BZ136" s="23" t="n">
        <x:v>0</x:v>
      </x:c>
      <x:c r="CA136" s="23" t="n">
        <x:v>0</x:v>
      </x:c>
      <x:c r="CB136" s="23" t="n">
        <x:v>0</x:v>
      </x:c>
      <x:c r="CC136" s="23" t="n">
        <x:v>0</x:v>
      </x:c>
      <x:c r="CD136" s="23" t="n">
        <x:v>41.930313558724414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243.69757684518328</x:v>
      </x:c>
      <x:c r="CM136" s="23" t="n">
        <x:v>1091.5573928280419</x:v>
      </x:c>
      <x:c r="CN136" s="23" t="n">
        <x:v>567.6717953503803</x:v>
      </x:c>
      <x:c r="CO136" s="23" t="n">
        <x:v>345.43239899401624</x:v>
      </x:c>
      <x:c r="CP136" s="23" t="n">
        <x:v>374.9229225434665</x:v>
      </x:c>
      <x:c r="CQ136" s="23" t="n">
        <x:v>426.7402478774919</x:v>
      </x:c>
      <x:c r="CR136" s="23" t="n">
        <x:v>449.53577779472425</x:v>
      </x:c>
      <x:c r="CS136" s="23" t="n">
        <x:v>481.6907746234201</x:v>
      </x:c>
      <x:c r="CT136" s="23" t="n">
        <x:v>542.8844958922264</x:v>
      </x:c>
      <x:c r="CU136" s="23" t="n">
        <x:v>582.5144333576939</x:v>
      </x:c>
      <x:c r="CV136" s="23" t="n">
        <x:v>587.5935543807752</x:v>
      </x:c>
      <x:c r="CW136" s="23" t="n">
        <x:v>644.4468856549589</x:v>
      </x:c>
      <x:c r="CX136" s="23" t="n">
        <x:v>688.3395543759782</x:v>
      </x:c>
      <x:c r="CY136" s="23" t="n">
        <x:v>736.4764045129843</x:v>
      </x:c>
      <x:c r="CZ136" s="23" t="n">
        <x:v>744.2513191748321</x:v>
      </x:c>
      <x:c r="DA136" s="23" t="n">
        <x:v>787.1475845928045</x:v>
      </x:c>
      <x:c r="DB136" s="23" t="n">
        <x:v>854.7259008441706</x:v>
      </x:c>
      <x:c r="DC136" s="23" t="n">
        <x:v>916.4409740270951</x:v>
      </x:c>
      <x:c r="DD136" s="23" t="n">
        <x:v>859.3165127277264</x:v>
      </x:c>
      <x:c r="DE136" s="23" t="n">
        <x:v>692.5647218857696</x:v>
      </x:c>
      <x:c r="DF136" s="23" t="n">
        <x:v>686.8919954257782</x:v>
      </x:c>
      <x:c r="DG136" s="23" t="n">
        <x:v>766.3412795864681</x:v>
      </x:c>
      <x:c r="DH136" s="23" t="n">
        <x:v>789.6443467308225</x:v>
      </x:c>
      <x:c r="DI136" s="23" t="n">
        <x:v>796.4805362283182</x:v>
      </x:c>
      <x:c r="DJ136" s="23" t="n">
        <x:v>67.13873085401958</x:v>
      </x:c>
      <x:c r="DK136" s="23" t="n">
        <x:v>51.943499174391945</x:v>
      </x:c>
      <x:c r="DL136" s="23" t="n">
        <x:v>72.25437526041665</x:v>
      </x:c>
      <x:c r="DM136" s="23" t="n">
        <x:v>106.1596773500828</x:v>
      </x:c>
      <x:c r="DN136" s="23" t="n">
        <x:v>76.09891113281249</x:v>
      </x:c>
      <x:c r="DO136" s="23" t="n">
        <x:v>104.22020119851518</x:v>
      </x:c>
      <x:c r="DP136" s="23" t="n">
        <x:v>849.7916666666666</x:v>
      </x:c>
      <x:c r="DQ136" s="23" t="n">
        <x:v>78.98332031249993</x:v>
      </x:c>
      <x:c r="DR136" s="23" t="n">
        <x:v>85.23618424479173</x:v>
      </x:c>
      <x:c r="DS136" s="23" t="n">
        <x:v>80.83055312500012</x:v>
      </x:c>
      <x:c r="DT136" s="23" t="n">
        <x:v>74.74681966145832</x:v>
      </x:c>
      <x:c r="DU136" s="23" t="n">
        <x:v>61.165196093750026</x:v>
      </x:c>
      <x:c r="DV136" s="23" t="n">
        <x:v>861.689453125</x:v>
      </x:c>
      <x:c r="DW136" s="23" t="n">
        <x:v>902.4554036458333</x:v>
      </x:c>
      <x:c r="DX136" s="23" t="n">
        <x:v>871.3795572916666</x:v>
      </x:c>
      <x:c r="DY136" s="23" t="n">
        <x:v>876.3412272135416</x:v>
      </x:c>
      <x:c r="DZ136" s="23" t="n">
        <x:v>875.6656901041666</x:v>
      </x:c>
      <x:c r="EA136" s="23" t="n">
        <x:v>858.0680589192709</x:v>
      </x:c>
      <x:c r="EB136" s="23" t="n">
        <x:v>842.7132030598956</x:v>
      </x:c>
      <x:c r="EC136" s="23" t="n">
        <x:v>1517.15283203125</x:v>
      </x:c>
      <x:c r="ED136" s="23" t="n">
        <x:v>1493.6256917317708</x:v>
      </x:c>
      <x:c r="EE136" s="23" t="n">
        <x:v>719.191650390625</x:v>
      </x:c>
      <x:c r="EF136" s="23" t="n">
        <x:v>1545.9905598958333</x:v>
      </x:c>
      <x:c r="EG136" s="23" t="n">
        <x:v>670.8874104817708</x:v>
      </x:c>
      <x:c r="EH136" s="23" t="n">
        <x:v>1469.8409016927083</x:v>
      </x:c>
      <x:c r="EI136" s="23" t="n">
        <x:v>1492.3653564453125</x:v>
      </x:c>
      <x:c r="EJ136" s="23" t="n">
        <x:v>700.9369303385416</x:v>
      </x:c>
      <x:c r="EK136" s="23" t="n">
        <x:v>710.0523274739583</x:v>
      </x:c>
      <x:c r="EL136" s="23" t="n">
        <x:v>714.916748046875</x:v>
      </x:c>
      <x:c r="EM136" s="23" t="n">
        <x:v>713.5680338541666</x:v>
      </x:c>
      <x:c r="EN136" s="23" t="n">
        <x:v>970.3508386783051</x:v>
      </x:c>
      <x:c r="EO136" s="23" t="n">
        <x:v>1506.454142252604</x:v>
      </x:c>
      <x:c r="EP136" s="23" t="n">
        <x:f>SUM(B136:EO136)</x:f>
        <x:v>73334.94765539741</x:v>
      </x:c>
      <x:c r="EQ136" s="23" t="n">
        <x:f>SUMPRODUCT(B136:EO136,{0.4587,0.4652,0.5084,0.4712,0.459,0.4795,0.4392,0.4513,0.5063,0.4755,0.4505,0.4632,0.4533,0.4567,0.4772,0.4716,0.4385,0.4149,0.4468,0.5077,0.5434,0.5164,0.4916,0.4852,0.4577,0.4403,0.4439,0.4421,0.4166,0.4128,0.4838,0.4767,0.3777,0.3571,0.5478,0.8265,0.9103,0.8537,0.7749,0.7497,0.7785,0.7912,0.7202,0.7098,0.7389,0.6795,0.8293,1.1444,1.2423,1.1842,1.1279,1.1592,1.1588,1.1102,1.1093,1.0884,1.0201,0.9612,0.9658,1.0052,0.9992,0.9858,1.0149,1.0672,0.9346,0.6732,0.5694,0.5868,0.6239,0.6152,0.561,0.514,0.529,0.5325,0.5117,0.5474,0.7116,0.9283,1.0259,1.0317,1.0242,1.0559,1.0795,1.0818,1.093,1.0827,1.0718,1.0961,0.9952,0.7987,0.7212,0.7539,0.8083,0.8088,0.8155,0.8523,0.8886,0.9526,1.0033,0.9676,0.9788,1.0427,1.0356,1.0322,1.0586,1.0696,1.1336,1.2364,1.2805,1.2819,1.3016,1.3798,1.4153,1.3818,1.3484,1.3225,1.3196,1.366,1.4332,1.4464,1.3521,1.3035,1.3519,1.3774,1.2071,0.9778,1.0089,1.0767,1.0788,1.0867,0.8433,0.4806,0.4408,0.5189,0.5374,0.5189,0.5066,0.5067,0.4958,0.4909,0.4965,0.4988,0.5014,0.5035})</x:f>
        <x:v>50031.826475256195</x:v>
      </x:c>
    </x:row>
    <x:row r="137" ht="14" customHeight="1">
      <x:c r="A137" s="3">
        <x:v>45824</x:v>
      </x:c>
      <x:c r="B137" s="23" t="n">
        <x:v>680.5572916666666</x:v>
      </x:c>
      <x:c r="C137" s="23" t="n">
        <x:v>665.232666015625</x:v>
      </x:c>
      <x:c r="D137" s="23" t="n">
        <x:v>647.2554117838541</x:v>
      </x:c>
      <x:c r="E137" s="23" t="n">
        <x:v>660.3431803385416</x:v>
      </x:c>
      <x:c r="F137" s="23" t="n">
        <x:v>0</x:v>
      </x:c>
      <x:c r="G137" s="23" t="n">
        <x:v>671.4297688802083</x:v>
      </x:c>
      <x:c r="H137" s="23" t="n">
        <x:v>668.9104817708333</x:v>
      </x:c>
      <x:c r="I137" s="23" t="n">
        <x:v>642.0237630208333</x:v>
      </x:c>
      <x:c r="J137" s="23" t="n">
        <x:v>644.9493815104166</x:v>
      </x:c>
      <x:c r="K137" s="23" t="n">
        <x:v>664.3140869140625</x:v>
      </x:c>
      <x:c r="L137" s="23" t="n">
        <x:v>653.983642578125</x:v>
      </x:c>
      <x:c r="M137" s="23" t="n">
        <x:v>626.8654378255208</x:v>
      </x:c>
      <x:c r="N137" s="23" t="n">
        <x:v>638.306396484375</x:v>
      </x:c>
      <x:c r="O137" s="23" t="n">
        <x:v>642.303955078125</x:v>
      </x:c>
      <x:c r="P137" s="23" t="n">
        <x:v>618.5472412109375</x:v>
      </x:c>
      <x:c r="Q137" s="23" t="n">
        <x:v>1454.407958984375</x:v>
      </x:c>
      <x:c r="R137" s="23" t="n">
        <x:v>622.0675048828125</x:v>
      </x:c>
      <x:c r="S137" s="23" t="n">
        <x:v>628.2467854817708</x:v>
      </x:c>
      <x:c r="T137" s="23" t="n">
        <x:v>616.69287109375</x:v>
      </x:c>
      <x:c r="U137" s="23" t="n">
        <x:v>620.74951171875</x:v>
      </x:c>
      <x:c r="V137" s="23" t="n">
        <x:v>637.4030354817708</x:v>
      </x:c>
      <x:c r="W137" s="23" t="n">
        <x:v>615.9268798828125</x:v>
      </x:c>
      <x:c r="X137" s="23" t="n">
        <x:v>616.797119140625</x:v>
      </x:c>
      <x:c r="Y137" s="23" t="n">
        <x:v>635.9509684244791</x:v>
      </x:c>
      <x:c r="Z137" s="23" t="n">
        <x:v>1061.475224051569</x:v>
      </x:c>
      <x:c r="AA137" s="23" t="n">
        <x:v>1444.9243977864583</x:v>
      </x:c>
      <x:c r="AB137" s="23" t="n">
        <x:v>1448.8748779296875</x:v>
      </x:c>
      <x:c r="AC137" s="23" t="n">
        <x:v>617.1673189437117</x:v>
      </x:c>
      <x:c r="AD137" s="23" t="n">
        <x:v>615.3369140625</x:v>
      </x:c>
      <x:c r="AE137" s="23" t="n">
        <x:v>1425.027453299066</x:v>
      </x:c>
      <x:c r="AF137" s="23" t="n">
        <x:v>1407.1009222158955</x:v>
      </x:c>
      <x:c r="AG137" s="23" t="n">
        <x:v>1383.6767054036839</x:v>
      </x:c>
      <x:c r="AH137" s="23" t="n">
        <x:v>521.9457796104259</x:v>
      </x:c>
      <x:c r="AI137" s="23" t="n">
        <x:v>1314.7866673332646</x:v>
      </x:c>
      <x:c r="AJ137" s="23" t="n">
        <x:v>512.1037452073731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475.6787119342106</x:v>
      </x:c>
      <x:c r="AP137" s="23" t="n">
        <x:v>440.301820852637</x:v>
      </x:c>
      <x:c r="AQ137" s="23" t="n">
        <x:v>402.5367254172196</x:v>
      </x:c>
      <x:c r="AR137" s="23" t="n">
        <x:v>370.6876189956323</x:v>
      </x:c>
      <x:c r="AS137" s="23" t="n">
        <x:v>332.2872904940331</x:v>
      </x:c>
      <x:c r="AT137" s="23" t="n">
        <x:v>290.8461361237029</x:v>
      </x:c>
      <x:c r="AU137" s="23" t="n">
        <x:v>217.25798922423064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79.64986929168147</x:v>
      </x:c>
      <x:c r="BP137" s="23" t="n">
        <x:v>788.2999924411022</x:v>
      </x:c>
      <x:c r="BQ137" s="23" t="n">
        <x:v>775.4244167185699</x:v>
      </x:c>
      <x:c r="BR137" s="23" t="n">
        <x:v>760.5369790235088</x:v>
      </x:c>
      <x:c r="BS137" s="23" t="n">
        <x:v>0</x:v>
      </x:c>
      <x:c r="BT137" s="23" t="n">
        <x:v>742.8309562167306</x:v>
      </x:c>
      <x:c r="BU137" s="23" t="n">
        <x:v>698.3723785117609</x:v>
      </x:c>
      <x:c r="BV137" s="23" t="n">
        <x:v>710.93844076888</x:v>
      </x:c>
      <x:c r="BW137" s="23" t="n">
        <x:v>0</x:v>
      </x:c>
      <x:c r="BX137" s="23" t="n">
        <x:v>704.2324869537842</x:v>
      </x:c>
      <x:c r="BY137" s="23" t="n">
        <x:v>728.623597709957</x:v>
      </x:c>
      <x:c r="BZ137" s="23" t="n">
        <x:v>0</x:v>
      </x:c>
      <x:c r="CA137" s="23" t="n">
        <x:v>0</x:v>
      </x:c>
      <x:c r="CB137" s="23" t="n">
        <x:v>0</x:v>
      </x:c>
      <x:c r="CC137" s="23" t="n">
        <x:v>0</x:v>
      </x:c>
      <x:c r="CD137" s="23" t="n">
        <x:v>48.43686669198511</x:v>
      </x:c>
      <x:c r="CE137" s="23" t="n">
        <x:v>0</x:v>
      </x:c>
      <x:c r="CF137" s="23" t="n">
        <x:v>0</x:v>
      </x:c>
      <x:c r="CG137" s="23" t="n">
        <x:v>0</x:v>
      </x:c>
      <x:c r="CH137" s="23" t="n">
        <x:v>109.58193937874026</x:v>
      </x:c>
      <x:c r="CI137" s="23" t="n">
        <x:v>112.1731040489467</x:v>
      </x:c>
      <x:c r="CJ137" s="23" t="n">
        <x:v>0</x:v>
      </x:c>
      <x:c r="CK137" s="23" t="n">
        <x:v>0</x:v>
      </x:c>
      <x:c r="CL137" s="23" t="n">
        <x:v>221.33777714019652</x:v>
      </x:c>
      <x:c r="CM137" s="23" t="n">
        <x:v>1046.7662148987538</x:v>
      </x:c>
      <x:c r="CN137" s="23" t="n">
        <x:v>288.4681463086716</x:v>
      </x:c>
      <x:c r="CO137" s="23" t="n">
        <x:v>337.45384238596245</x:v>
      </x:c>
      <x:c r="CP137" s="23" t="n">
        <x:v>381.78471031544905</x:v>
      </x:c>
      <x:c r="CQ137" s="23" t="n">
        <x:v>432.6204165004022</x:v>
      </x:c>
      <x:c r="CR137" s="23" t="n">
        <x:v>467.71270093955764</x:v>
      </x:c>
      <x:c r="CS137" s="23" t="n">
        <x:v>502.35969800864007</x:v>
      </x:c>
      <x:c r="CT137" s="23" t="n">
        <x:v>545.901350192973</x:v>
      </x:c>
      <x:c r="CU137" s="23" t="n">
        <x:v>597.9918958941436</x:v>
      </x:c>
      <x:c r="CV137" s="23" t="n">
        <x:v>644.1961399315132</x:v>
      </x:c>
      <x:c r="CW137" s="23" t="n">
        <x:v>675.3292647369424</x:v>
      </x:c>
      <x:c r="CX137" s="23" t="n">
        <x:v>711.6663135583144</x:v>
      </x:c>
      <x:c r="CY137" s="23" t="n">
        <x:v>749.0083485845023</x:v>
      </x:c>
      <x:c r="CZ137" s="23" t="n">
        <x:v>802.5171003097714</x:v>
      </x:c>
      <x:c r="DA137" s="23" t="n">
        <x:v>844.5258731905678</x:v>
      </x:c>
      <x:c r="DB137" s="23" t="n">
        <x:v>865.9555852910614</x:v>
      </x:c>
      <x:c r="DC137" s="23" t="n">
        <x:v>899.5032214728296</x:v>
      </x:c>
      <x:c r="DD137" s="23" t="n">
        <x:v>869.5497216447226</x:v>
      </x:c>
      <x:c r="DE137" s="23" t="n">
        <x:v>716.8086469319037</x:v>
      </x:c>
      <x:c r="DF137" s="23" t="n">
        <x:v>643.526495472039</x:v>
      </x:c>
      <x:c r="DG137" s="23" t="n">
        <x:v>750.6169072857252</x:v>
      </x:c>
      <x:c r="DH137" s="23" t="n">
        <x:v>786.932793086967</x:v>
      </x:c>
      <x:c r="DI137" s="23" t="n">
        <x:v>61.64050789727222</x:v>
      </x:c>
      <x:c r="DJ137" s="23" t="n">
        <x:v>99.09319657403678</x:v>
      </x:c>
      <x:c r="DK137" s="23" t="n">
        <x:v>78.35931884493023</x:v>
      </x:c>
      <x:c r="DL137" s="23" t="n">
        <x:v>84.26795742187505</x:v>
      </x:c>
      <x:c r="DM137" s="23" t="n">
        <x:v>92.58754286147405</x:v>
      </x:c>
      <x:c r="DN137" s="23" t="n">
        <x:v>111.45905273437498</x:v>
      </x:c>
      <x:c r="DO137" s="23" t="n">
        <x:v>869.0033365885416</x:v>
      </x:c>
      <x:c r="DP137" s="23" t="n">
        <x:v>731.236695605699</x:v>
      </x:c>
      <x:c r="DQ137" s="23" t="n">
        <x:v>106.4690983072916</x:v>
      </x:c>
      <x:c r="DR137" s="23" t="n">
        <x:v>96.46121002604164</x:v>
      </x:c>
      <x:c r="DS137" s="23" t="n">
        <x:v>114.61174635416667</x:v>
      </x:c>
      <x:c r="DT137" s="23" t="n">
        <x:v>126.14804361979168</x:v>
      </x:c>
      <x:c r="DU137" s="23" t="n">
        <x:v>103.96199003906258</x:v>
      </x:c>
      <x:c r="DV137" s="23" t="n">
        <x:v>847.817280794271</x:v>
      </x:c>
      <x:c r="DW137" s="23" t="n">
        <x:v>873.9226888020833</x:v>
      </x:c>
      <x:c r="DX137" s="23" t="n">
        <x:v>864.1249778967333</x:v>
      </x:c>
      <x:c r="DY137" s="23" t="n">
        <x:v>837.0015462239583</x:v>
      </x:c>
      <x:c r="DZ137" s="23" t="n">
        <x:v>878.8575846354166</x:v>
      </x:c>
      <x:c r="EA137" s="23" t="n">
        <x:v>877.9900662760417</x:v>
      </x:c>
      <x:c r="EB137" s="23" t="n">
        <x:v>783.3493754557292</x:v>
      </x:c>
      <x:c r="EC137" s="23" t="n">
        <x:v>675.8449300130208</x:v>
      </x:c>
      <x:c r="ED137" s="23" t="n">
        <x:v>1507.2393798828125</x:v>
      </x:c>
      <x:c r="EE137" s="23" t="n">
        <x:v>691.11669921875</x:v>
      </x:c>
      <x:c r="EF137" s="23" t="n">
        <x:v>1508.7816569010415</x:v>
      </x:c>
      <x:c r="EG137" s="23" t="n">
        <x:v>672.3936767578125</x:v>
      </x:c>
      <x:c r="EH137" s="23" t="n">
        <x:v>956.9064338589892</x:v>
      </x:c>
      <x:c r="EI137" s="23" t="n">
        <x:v>1511.0692545572915</x:v>
      </x:c>
      <x:c r="EJ137" s="23" t="n">
        <x:v>683.7344563802083</x:v>
      </x:c>
      <x:c r="EK137" s="23" t="n">
        <x:v>686.3655598958333</x:v>
      </x:c>
      <x:c r="EL137" s="23" t="n">
        <x:v>1525.8323567708333</x:v>
      </x:c>
      <x:c r="EM137" s="23" t="n">
        <x:v>721.6299641927083</x:v>
      </x:c>
      <x:c r="EN137" s="23" t="n">
        <x:v>1549.287353515625</x:v>
      </x:c>
      <x:c r="EO137" s="23" t="n">
        <x:v>1522.7399088541665</x:v>
      </x:c>
      <x:c r="EP137" s="23" t="n">
        <x:f>SUM(B137:EO137)</x:f>
        <x:v>73748.2206786497</x:v>
      </x:c>
      <x:c r="EQ137" s="23" t="n">
        <x:f>SUMPRODUCT(B137:EO137,{0.5001,0.5063,0.5046,0.464,0.4467,0.4704,0.4911,0.4915,0.497,0.5343,0.4992,0.424,0.4469,0.4571,0.4314,0.4573,0.4617,0.4438,0.4748,0.4661,0.4282,0.4639,0.4871,0.4749,0.4898,0.4906,0.476,0.491,0.4999,0.4732,0.4231,0.4146,0.3945,0.3023,0.541,0.9598,0.9639,0.8529,0.8401,0.8401,0.8409,0.8353,0.809,0.7873,0.7556,0.7124,0.8928,1.1787,1.1916,1.1492,1.1649,1.1369,1.1294,1.1467,1.1135,1.0512,1.0176,1.0483,1.0529,1.0105,0.983,0.962,0.9552,0.9567,0.7809,0.5414,0.5506,0.5551,0.5145,0.6312,0.6595,0.5864,0.6381,0.6172,0.5248,0.6007,0.8021,0.9884,1.037,0.9945,0.9583,0.9986,1.044,1.0672,1.0928,1.046,1.0059,1.1122,1.0461,0.8204,0.7822,0.8306,0.868,0.9031,0.8911,0.8662,0.9093,0.9228,0.9095,0.9647,0.9787,0.9546,1.0089,1.0551,1.0563,1.0763,1.166,1.2729,1.2921,1.2995,1.3292,1.3446,1.3741,1.3988,1.3655,1.3414,1.351,1.3563,1.3617,1.3642,1.3489,1.3299,1.3413,1.3796,1.2564,1.0426,1.0116,1.0311,1.0407,1.0711,0.8321,0.479,0.486,0.5078,0.4341,0.4999,0.5487,0.5145,0.4954,0.477,0.458,0.4695,0.4997,0.5265})</x:f>
        <x:v>50459.87146992591</x:v>
      </x:c>
    </x:row>
    <x:row r="138" ht="14" customHeight="1">
      <x:c r="A138" s="3">
        <x:v>45825</x:v>
      </x:c>
      <x:c r="B138" s="23" t="n">
        <x:v>711.2100423177083</x:v>
      </x:c>
      <x:c r="C138" s="23" t="n">
        <x:v>701.6678873697916</x:v>
      </x:c>
      <x:c r="D138" s="23" t="n">
        <x:v>668.0087890625</x:v>
      </x:c>
      <x:c r="E138" s="23" t="n">
        <x:v>659.5556640625</x:v>
      </x:c>
      <x:c r="F138" s="23" t="n">
        <x:v>654.0157063802083</x:v>
      </x:c>
      <x:c r="G138" s="23" t="n">
        <x:v>646.8790690104166</x:v>
      </x:c>
      <x:c r="H138" s="23" t="n">
        <x:v>660.3522135416666</x:v>
      </x:c>
      <x:c r="I138" s="23" t="n">
        <x:v>662.9203694661458</x:v>
      </x:c>
      <x:c r="J138" s="23" t="n">
        <x:v>654.6527506510416</x:v>
      </x:c>
      <x:c r="K138" s="23" t="n">
        <x:v>668.986083984375</x:v>
      </x:c>
      <x:c r="L138" s="23" t="n">
        <x:v>656.8922526041666</x:v>
      </x:c>
      <x:c r="M138" s="23" t="n">
        <x:v>658.7651774088541</x:v>
      </x:c>
      <x:c r="N138" s="23" t="n">
        <x:v>625.5703531901041</x:v>
      </x:c>
      <x:c r="O138" s="23" t="n">
        <x:v>634.8509521484375</x:v>
      </x:c>
      <x:c r="P138" s="23" t="n">
        <x:v>647.860107421875</x:v>
      </x:c>
      <x:c r="Q138" s="23" t="n">
        <x:v>644.4211832682291</x:v>
      </x:c>
      <x:c r="R138" s="23" t="n">
        <x:v>624.5263264973958</x:v>
      </x:c>
      <x:c r="S138" s="23" t="n">
        <x:v>622.9427490234375</x:v>
      </x:c>
      <x:c r="T138" s="23" t="n">
        <x:v>619.70751953125</x:v>
      </x:c>
      <x:c r="U138" s="23" t="n">
        <x:v>619.45068359375</x:v>
      </x:c>
      <x:c r="V138" s="23" t="n">
        <x:v>611.3687337239583</x:v>
      </x:c>
      <x:c r="W138" s="23" t="n">
        <x:v>904.4511534794561</x:v>
      </x:c>
      <x:c r="X138" s="23" t="n">
        <x:v>620.1275634765625</x:v>
      </x:c>
      <x:c r="Y138" s="23" t="n">
        <x:v>607.2743733723958</x:v>
      </x:c>
      <x:c r="Z138" s="23" t="n">
        <x:v>605.1577962239583</x:v>
      </x:c>
      <x:c r="AA138" s="23" t="n">
        <x:v>1443.0746256510415</x:v>
      </x:c>
      <x:c r="AB138" s="23" t="n">
        <x:v>604.3274332682291</x:v>
      </x:c>
      <x:c r="AC138" s="23" t="n">
        <x:v>1435.740410046715</x:v>
      </x:c>
      <x:c r="AD138" s="23" t="n">
        <x:v>1448.871622721354</x:v>
      </x:c>
      <x:c r="AE138" s="23" t="n">
        <x:v>1447.9327317482594</x:v>
      </x:c>
      <x:c r="AF138" s="23" t="n">
        <x:v>1409.2290924026286</x:v>
      </x:c>
      <x:c r="AG138" s="23" t="n">
        <x:v>557.3198856394333</x:v>
      </x:c>
      <x:c r="AH138" s="23" t="n">
        <x:v>532.8005843279434</x:v>
      </x:c>
      <x:c r="AI138" s="23" t="n">
        <x:v>1318.6665488186381</x:v>
      </x:c>
      <x:c r="AJ138" s="23" t="n">
        <x:v>531.9589050492639</x:v>
      </x:c>
      <x:c r="AK138" s="23" t="n">
        <x:v>0</x:v>
      </x:c>
      <x:c r="AL138" s="23" t="n">
        <x:v>0</x:v>
      </x:c>
      <x:c r="AM138" s="23" t="n">
        <x:v>541.0941448737735</x:v>
      </x:c>
      <x:c r="AN138" s="23" t="n">
        <x:v>511.73921564031446</x:v>
      </x:c>
      <x:c r="AO138" s="23" t="n">
        <x:v>474.86211612088573</x:v>
      </x:c>
      <x:c r="AP138" s="23" t="n">
        <x:v>438.66336367960326</x:v>
      </x:c>
      <x:c r="AQ138" s="23" t="n">
        <x:v>63.19737555702348</x:v>
      </x:c>
      <x:c r="AR138" s="23" t="n">
        <x:v>369.4530227604529</x:v>
      </x:c>
      <x:c r="AS138" s="23" t="n">
        <x:v>333.3285398211648</x:v>
      </x:c>
      <x:c r="AT138" s="23" t="n">
        <x:v>284.76981803330426</x:v>
      </x:c>
      <x:c r="AU138" s="23" t="n">
        <x:v>208.7317713980066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778.6968391965293</x:v>
      </x:c>
      <x:c r="BP138" s="23" t="n">
        <x:v>772.4451465489398</x:v>
      </x:c>
      <x:c r="BQ138" s="23" t="n">
        <x:v>776.008239169879</x:v>
      </x:c>
      <x:c r="BR138" s="23" t="n">
        <x:v>0</x:v>
      </x:c>
      <x:c r="BS138" s="23" t="n">
        <x:v>0</x:v>
      </x:c>
      <x:c r="BT138" s="23" t="n">
        <x:v>0</x:v>
      </x:c>
      <x:c r="BU138" s="23" t="n">
        <x:v>0</x:v>
      </x:c>
      <x:c r="BV138" s="23" t="n">
        <x:v>720.6557418291877</x:v>
      </x:c>
      <x:c r="BW138" s="23" t="n">
        <x:v>728.4964873028067</x:v>
      </x:c>
      <x:c r="BX138" s="23" t="n">
        <x:v>725.2114792641994</x:v>
      </x:c>
      <x:c r="BY138" s="23" t="n">
        <x:v>750.0577030020504</x:v>
      </x:c>
      <x:c r="BZ138" s="23" t="n">
        <x:v>0</x:v>
      </x:c>
      <x:c r="CA138" s="23" t="n">
        <x:v>0</x:v>
      </x:c>
      <x:c r="CB138" s="23" t="n">
        <x:v>1.0773156034441247</x:v>
      </x:c>
      <x:c r="CC138" s="23" t="n">
        <x:v>18.552284706953287</x:v>
      </x:c>
      <x:c r="CD138" s="23" t="n">
        <x:v>35.01708106026763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945.6535563660406</x:v>
      </x:c>
      <x:c r="CN138" s="23" t="n">
        <x:v>1159.5543121194135</x:v>
      </x:c>
      <x:c r="CO138" s="23" t="n">
        <x:v>366.13355529026285</x:v>
      </x:c>
      <x:c r="CP138" s="23" t="n">
        <x:v>412.7363235172139</x:v>
      </x:c>
      <x:c r="CQ138" s="23" t="n">
        <x:v>445.81962962229437</x:v>
      </x:c>
      <x:c r="CR138" s="23" t="n">
        <x:v>480.417398289663</x:v>
      </x:c>
      <x:c r="CS138" s="23" t="n">
        <x:v>512.4911405656529</x:v>
      </x:c>
      <x:c r="CT138" s="23" t="n">
        <x:v>548.543992311585</x:v>
      </x:c>
      <x:c r="CU138" s="23" t="n">
        <x:v>590.2927406296601</x:v>
      </x:c>
      <x:c r="CV138" s="23" t="n">
        <x:v>629.2045334330028</x:v>
      </x:c>
      <x:c r="CW138" s="23" t="n">
        <x:v>662.0874055521372</x:v>
      </x:c>
      <x:c r="CX138" s="23" t="n">
        <x:v>709.613217668878</x:v>
      </x:c>
      <x:c r="CY138" s="23" t="n">
        <x:v>736.1347199466904</x:v>
      </x:c>
      <x:c r="CZ138" s="23" t="n">
        <x:v>790.8141585319572</x:v>
      </x:c>
      <x:c r="DA138" s="23" t="n">
        <x:v>831.2280248730183</x:v>
      </x:c>
      <x:c r="DB138" s="23" t="n">
        <x:v>853.4826048300122</x:v>
      </x:c>
      <x:c r="DC138" s="23" t="n">
        <x:v>894.7438934370002</x:v>
      </x:c>
      <x:c r="DD138" s="23" t="n">
        <x:v>853.3265678831995</x:v>
      </x:c>
      <x:c r="DE138" s="23" t="n">
        <x:v>672.4067459699664</x:v>
      </x:c>
      <x:c r="DF138" s="23" t="n">
        <x:v>658.2359202220609</x:v>
      </x:c>
      <x:c r="DG138" s="23" t="n">
        <x:v>735.2363964840274</x:v>
      </x:c>
      <x:c r="DH138" s="23" t="n">
        <x:v>789.3638491400062</x:v>
      </x:c>
      <x:c r="DI138" s="23" t="n">
        <x:v>52.955758193164456</x:v>
      </x:c>
      <x:c r="DJ138" s="23" t="n">
        <x:v>81.48623553480896</x:v>
      </x:c>
      <x:c r="DK138" s="23" t="n">
        <x:v>87.28769518368381</x:v>
      </x:c>
      <x:c r="DL138" s="23" t="n">
        <x:v>111.78993007812505</x:v>
      </x:c>
      <x:c r="DM138" s="23" t="n">
        <x:v>112.9822468296185</x:v>
      </x:c>
      <x:c r="DN138" s="23" t="n">
        <x:v>861.263427734375</x:v>
      </x:c>
      <x:c r="DO138" s="23" t="n">
        <x:v>100.14698691406252</x:v>
      </x:c>
      <x:c r="DP138" s="23" t="n">
        <x:v>94.28754166666658</x:v>
      </x:c>
      <x:c r="DQ138" s="23" t="n">
        <x:v>97.43849934895827</x:v>
      </x:c>
      <x:c r="DR138" s="23" t="n">
        <x:v>729.6146010093445</x:v>
      </x:c>
      <x:c r="DS138" s="23" t="n">
        <x:v>118.39885572916667</x:v>
      </x:c>
      <x:c r="DT138" s="23" t="n">
        <x:v>118.59164713541668</x:v>
      </x:c>
      <x:c r="DU138" s="23" t="n">
        <x:v>109.23152128906258</x:v>
      </x:c>
      <x:c r="DV138" s="23" t="n">
        <x:v>860.4234005859377</x:v>
      </x:c>
      <x:c r="DW138" s="23" t="n">
        <x:v>883.5699869791666</x:v>
      </x:c>
      <x:c r="DX138" s="23" t="n">
        <x:v>892.3290794592333</x:v>
      </x:c>
      <x:c r="DY138" s="23" t="n">
        <x:v>880.511962890625</x:v>
      </x:c>
      <x:c r="DZ138" s="23" t="n">
        <x:v>855.9717610677083</x:v>
      </x:c>
      <x:c r="EA138" s="23" t="n">
        <x:v>865.0996854166667</x:v>
      </x:c>
      <x:c r="EB138" s="23" t="n">
        <x:v>811.2240499348959</x:v>
      </x:c>
      <x:c r="EC138" s="23" t="n">
        <x:v>717.707275390625</x:v>
      </x:c>
      <x:c r="ED138" s="23" t="n">
        <x:v>1518.8038736979165</x:v>
      </x:c>
      <x:c r="EE138" s="23" t="n">
        <x:v>674.0549723307291</x:v>
      </x:c>
      <x:c r="EF138" s="23" t="n">
        <x:v>928.1620490933642</x:v>
      </x:c>
      <x:c r="EG138" s="23" t="n">
        <x:v>1499.0423990885415</x:v>
      </x:c>
      <x:c r="EH138" s="23" t="n">
        <x:v>1514.067667643229</x:v>
      </x:c>
      <x:c r="EI138" s="23" t="n">
        <x:v>1518.71240234375</x:v>
      </x:c>
      <x:c r="EJ138" s="23" t="n">
        <x:v>704.9441731770833</x:v>
      </x:c>
      <x:c r="EK138" s="23" t="n">
        <x:v>713.37109375</x:v>
      </x:c>
      <x:c r="EL138" s="23" t="n">
        <x:v>684.8492024739583</x:v>
      </x:c>
      <x:c r="EM138" s="23" t="n">
        <x:v>671.0536295572916</x:v>
      </x:c>
      <x:c r="EN138" s="23" t="n">
        <x:v>1510.1397298177083</x:v>
      </x:c>
      <x:c r="EO138" s="23" t="n">
        <x:v>1528.212158203125</x:v>
      </x:c>
      <x:c r="EP138" s="23" t="n">
        <x:f>SUM(B138:EO138)</x:f>
        <x:v>73838.8412122842</x:v>
      </x:c>
      <x:c r="EQ138" s="23" t="n">
        <x:f>SUMPRODUCT(B138:EO138,{0.5318,0.5062,0.4708,0.4652,0.4902,0.5115,0.4901,0.468,0.4591,0.4447,0.4661,0.4997,0.4779,0.4778,0.4892,0.4373,0.4759,0.565,0.5055,0.4588,0.4774,0.4555,0.4569,0.4803,0.4484,0.4149,0.4157,0.4346,0.4543,0.4681,0.4751,0.4559,0.3964,0.3465,0.5541,0.8908,0.9446,0.865,0.8219,0.8376,0.844,0.8089,0.7604,0.7356,0.7079,0.6667,0.9013,1.2576,1.253,1.1559,1.1367,1.1036,1.0777,1.0737,1.0632,1.0044,0.9454,0.9797,1.0131,0.9974,0.978,0.9947,1.0445,1.0631,0.9152,0.6734,0.5749,0.6116,0.6766,0.6605,0.5818,0.5313,0.5852,0.611,0.593,0.6653,0.8758,1.0937,1.1197,1.0978,1.1345,1.1863,1.1206,1.0179,1.0869,1.1263,1.1039,1.154,1.0002,0.711,0.6789,0.7888,0.856,0.8206,0.8623,0.9637,0.9356,0.9181,0.9592,0.9632,0.968,0.9887,0.9978,1.0227,1.0417,1.0178,1.0947,1.2383,1.2663,1.2933,1.3551,1.3621,1.3467,1.3499,1.3765,1.3839,1.3662,1.3591,1.3714,1.3909,1.3966,1.3883,1.4043,1.4509,1.2895,1.0136,0.9748,0.9925,0.9955,1.0567,0.8618,0.4951,0.3972,0.447,0.4903,0.4967,0.4787,0.4674,0.4909,0.5309,0.5386,0.4835,0.4738,0.5104})</x:f>
        <x:v>50307.20318130073</x:v>
      </x:c>
    </x:row>
    <x:row r="139" ht="14" customHeight="1">
      <x:c r="A139" s="3">
        <x:v>45826</x:v>
      </x:c>
      <x:c r="B139" s="23" t="n">
        <x:v>685.4927571614583</x:v>
      </x:c>
      <x:c r="C139" s="23" t="n">
        <x:v>691.720703125</x:v>
      </x:c>
      <x:c r="D139" s="23" t="n">
        <x:v>0</x:v>
      </x:c>
      <x:c r="E139" s="23" t="n">
        <x:v>705.1473795572916</x:v>
      </x:c>
      <x:c r="F139" s="23" t="n">
        <x:v>675.8308919270833</x:v>
      </x:c>
      <x:c r="G139" s="23" t="n">
        <x:v>656.6942545572916</x:v>
      </x:c>
      <x:c r="H139" s="23" t="n">
        <x:v>678.6874593098958</x:v>
      </x:c>
      <x:c r="I139" s="23" t="n">
        <x:v>691.6338704427083</x:v>
      </x:c>
      <x:c r="J139" s="23" t="n">
        <x:v>702.2511393229166</x:v>
      </x:c>
      <x:c r="K139" s="23" t="n">
        <x:v>646.767578125</x:v>
      </x:c>
      <x:c r="L139" s="23" t="n">
        <x:v>643.4603678385416</x:v>
      </x:c>
      <x:c r="M139" s="23" t="n">
        <x:v>658.632568359375</x:v>
      </x:c>
      <x:c r="N139" s="23" t="n">
        <x:v>680.8011881510416</x:v>
      </x:c>
      <x:c r="O139" s="23" t="n">
        <x:v>670.845703125</x:v>
      </x:c>
      <x:c r="P139" s="23" t="n">
        <x:v>639.9427083333333</x:v>
      </x:c>
      <x:c r="Q139" s="23" t="n">
        <x:v>614.6086018880208</x:v>
      </x:c>
      <x:c r="R139" s="23" t="n">
        <x:v>605.6087646484375</x:v>
      </x:c>
      <x:c r="S139" s="23" t="n">
        <x:v>616.8651529947916</x:v>
      </x:c>
      <x:c r="T139" s="23" t="n">
        <x:v>624.5906982421875</x:v>
      </x:c>
      <x:c r="U139" s="23" t="n">
        <x:v>622.3238932291666</x:v>
      </x:c>
      <x:c r="V139" s="23" t="n">
        <x:v>619.1239013671875</x:v>
      </x:c>
      <x:c r="W139" s="23" t="n">
        <x:v>1460.0706380208333</x:v>
      </x:c>
      <x:c r="X139" s="23" t="n">
        <x:v>1456.29296875</x:v>
      </x:c>
      <x:c r="Y139" s="23" t="n">
        <x:v>609.3683268229166</x:v>
      </x:c>
      <x:c r="Z139" s="23" t="n">
        <x:v>1446.2292073567708</x:v>
      </x:c>
      <x:c r="AA139" s="23" t="n">
        <x:v>1445.3925374348958</x:v>
      </x:c>
      <x:c r="AB139" s="23" t="n">
        <x:v>1441.1090901692708</x:v>
      </x:c>
      <x:c r="AC139" s="23" t="n">
        <x:v>1436.4195421654185</x:v>
      </x:c>
      <x:c r="AD139" s="23" t="n">
        <x:v>614.9374186197916</x:v>
      </x:c>
      <x:c r="AE139" s="23" t="n">
        <x:v>620.9119518712806</x:v>
      </x:c>
      <x:c r="AF139" s="23" t="n">
        <x:v>589.4324680475736</x:v>
      </x:c>
      <x:c r="AG139" s="23" t="n">
        <x:v>564.4697486778522</x:v>
      </x:c>
      <x:c r="AH139" s="23" t="n">
        <x:v>1186.2320544381566</x:v>
      </x:c>
      <x:c r="AI139" s="23" t="n">
        <x:v>1317.3991893070445</x:v>
      </x:c>
      <x:c r="AJ139" s="23" t="n">
        <x:v>504.2954226870985</x:v>
      </x:c>
      <x:c r="AK139" s="23" t="n">
        <x:v>0</x:v>
      </x:c>
      <x:c r="AL139" s="23" t="n">
        <x:v>0</x:v>
      </x:c>
      <x:c r="AM139" s="23" t="n">
        <x:v>549.1605913058826</x:v>
      </x:c>
      <x:c r="AN139" s="23" t="n">
        <x:v>0</x:v>
      </x:c>
      <x:c r="AO139" s="23" t="n">
        <x:v>473.12836000389035</x:v>
      </x:c>
      <x:c r="AP139" s="23" t="n">
        <x:v>435.0853626223264</x:v>
      </x:c>
      <x:c r="AQ139" s="23" t="n">
        <x:v>0</x:v>
      </x:c>
      <x:c r="AR139" s="23" t="n">
        <x:v>368.96148912049085</x:v>
      </x:c>
      <x:c r="AS139" s="23" t="n">
        <x:v>336.47971666358205</x:v>
      </x:c>
      <x:c r="AT139" s="23" t="n">
        <x:v>300.8520179314701</x:v>
      </x:c>
      <x:c r="AU139" s="23" t="n">
        <x:v>230.5381135622124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0</x:v>
      </x:c>
      <x:c r="BO139" s="23" t="n">
        <x:v>784.8765299903363</x:v>
      </x:c>
      <x:c r="BP139" s="23" t="n">
        <x:v>774.140873506054</x:v>
      </x:c>
      <x:c r="BQ139" s="23" t="n">
        <x:v>772.9820199993064</x:v>
      </x:c>
      <x:c r="BR139" s="23" t="n">
        <x:v>774.1466986165162</x:v>
      </x:c>
      <x:c r="BS139" s="23" t="n">
        <x:v>0</x:v>
      </x:c>
      <x:c r="BT139" s="23" t="n">
        <x:v>66.76181252222234</x:v>
      </x:c>
      <x:c r="BU139" s="23" t="n">
        <x:v>716.4202504010575</x:v>
      </x:c>
      <x:c r="BV139" s="23" t="n">
        <x:v>0</x:v>
      </x:c>
      <x:c r="BW139" s="23" t="n">
        <x:v>709.3714918636612</x:v>
      </x:c>
      <x:c r="BX139" s="23" t="n">
        <x:v>727.3066830935732</x:v>
      </x:c>
      <x:c r="BY139" s="23" t="n">
        <x:v>781.1865880826082</x:v>
      </x:c>
      <x:c r="BZ139" s="23" t="n">
        <x:v>10.272840124968752</x:v>
      </x:c>
      <x:c r="CA139" s="23" t="n">
        <x:v>0</x:v>
      </x:c>
      <x:c r="CB139" s="23" t="n">
        <x:v>0</x:v>
      </x:c>
      <x:c r="CC139" s="23" t="n">
        <x:v>44.43282534387081</x:v>
      </x:c>
      <x:c r="CD139" s="23" t="n">
        <x:v>0</x:v>
      </x:c>
      <x:c r="CE139" s="23" t="n">
        <x:v>0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238.92283799815868</x:v>
      </x:c>
      <x:c r="CM139" s="23" t="n">
        <x:v>1106.1876223989627</x:v>
      </x:c>
      <x:c r="CN139" s="23" t="n">
        <x:v>1139.804316927394</x:v>
      </x:c>
      <x:c r="CO139" s="23" t="n">
        <x:v>352.34719616109425</x:v>
      </x:c>
      <x:c r="CP139" s="23" t="n">
        <x:v>405.27777926801656</x:v>
      </x:c>
      <x:c r="CQ139" s="23" t="n">
        <x:v>443.35332159453174</x:v>
      </x:c>
      <x:c r="CR139" s="23" t="n">
        <x:v>475.3376600698725</x:v>
      </x:c>
      <x:c r="CS139" s="23" t="n">
        <x:v>508.9365888735147</x:v>
      </x:c>
      <x:c r="CT139" s="23" t="n">
        <x:v>557.3258381730247</x:v>
      </x:c>
      <x:c r="CU139" s="23" t="n">
        <x:v>598.6697077590542</x:v>
      </x:c>
      <x:c r="CV139" s="23" t="n">
        <x:v>640.9693651839417</x:v>
      </x:c>
      <x:c r="CW139" s="23" t="n">
        <x:v>660.4419495992413</x:v>
      </x:c>
      <x:c r="CX139" s="23" t="n">
        <x:v>697.772582348435</x:v>
      </x:c>
      <x:c r="CY139" s="23" t="n">
        <x:v>738.7593233585451</x:v>
      </x:c>
      <x:c r="CZ139" s="23" t="n">
        <x:v>773.124634949642</x:v>
      </x:c>
      <x:c r="DA139" s="23" t="n">
        <x:v>819.3444623746645</x:v>
      </x:c>
      <x:c r="DB139" s="23" t="n">
        <x:v>843.3109136328483</x:v>
      </x:c>
      <x:c r="DC139" s="23" t="n">
        <x:v>888.6531158118771</x:v>
      </x:c>
      <x:c r="DD139" s="23" t="n">
        <x:v>853.8847877567028</x:v>
      </x:c>
      <x:c r="DE139" s="23" t="n">
        <x:v>691.5008274838693</x:v>
      </x:c>
      <x:c r="DF139" s="23" t="n">
        <x:v>662.2655396368332</x:v>
      </x:c>
      <x:c r="DG139" s="23" t="n">
        <x:v>755.2413806795164</x:v>
      </x:c>
      <x:c r="DH139" s="23" t="n">
        <x:v>757.1375059368775</x:v>
      </x:c>
      <x:c r="DI139" s="23" t="n">
        <x:v>822.4916995364126</x:v>
      </x:c>
      <x:c r="DJ139" s="23" t="n">
        <x:v>96.13039314066812</x:v>
      </x:c>
      <x:c r="DK139" s="23" t="n">
        <x:v>91.51403441289631</x:v>
      </x:c>
      <x:c r="DL139" s="23" t="n">
        <x:v>96.65337408854171</x:v>
      </x:c>
      <x:c r="DM139" s="23" t="n">
        <x:v>109.42924390070098</x:v>
      </x:c>
      <x:c r="DN139" s="23" t="n">
        <x:v>740.2578419831121</x:v>
      </x:c>
      <x:c r="DO139" s="23" t="n">
        <x:v>106.6471496744792</x:v>
      </x:c>
      <x:c r="DP139" s="23" t="n">
        <x:v>104.51890559895824</x:v>
      </x:c>
      <x:c r="DQ139" s="23" t="n">
        <x:v>84.87884765624995</x:v>
      </x:c>
      <x:c r="DR139" s="23" t="n">
        <x:v>98.36257721354164</x:v>
      </x:c>
      <x:c r="DS139" s="23" t="n">
        <x:v>114.0778921875</x:v>
      </x:c>
      <x:c r="DT139" s="23" t="n">
        <x:v>124.11386393229168</x:v>
      </x:c>
      <x:c r="DU139" s="23" t="n">
        <x:v>135.6468858723959</x:v>
      </x:c>
      <x:c r="DV139" s="23" t="n">
        <x:v>890.8837684244793</x:v>
      </x:c>
      <x:c r="DW139" s="23" t="n">
        <x:v>860.3561197916666</x:v>
      </x:c>
      <x:c r="DX139" s="23" t="n">
        <x:v>884.1562278967333</x:v>
      </x:c>
      <x:c r="DY139" s="23" t="n">
        <x:v>891.948974609375</x:v>
      </x:c>
      <x:c r="DZ139" s="23" t="n">
        <x:v>889.3631184895833</x:v>
      </x:c>
      <x:c r="EA139" s="23" t="n">
        <x:v>865.0843045572917</x:v>
      </x:c>
      <x:c r="EB139" s="23" t="n">
        <x:v>782.7778422526042</x:v>
      </x:c>
      <x:c r="EC139" s="23" t="n">
        <x:v>1498.1014811197915</x:v>
      </x:c>
      <x:c r="ED139" s="23" t="n">
        <x:v>1490.496337890625</x:v>
      </x:c>
      <x:c r="EE139" s="23" t="n">
        <x:v>1529.25439453125</x:v>
      </x:c>
      <x:c r="EF139" s="23" t="n">
        <x:v>723.6265462239583</x:v>
      </x:c>
      <x:c r="EG139" s="23" t="n">
        <x:v>730.19140625</x:v>
      </x:c>
      <x:c r="EH139" s="23" t="n">
        <x:v>688.642822265625</x:v>
      </x:c>
      <x:c r="EI139" s="23" t="n">
        <x:v>660.3472900390625</x:v>
      </x:c>
      <x:c r="EJ139" s="23" t="n">
        <x:v>1526.6210123697915</x:v>
      </x:c>
      <x:c r="EK139" s="23" t="n">
        <x:v>725.5643717447916</x:v>
      </x:c>
      <x:c r="EL139" s="23" t="n">
        <x:v>969.1296597704475</x:v>
      </x:c>
      <x:c r="EM139" s="23" t="n">
        <x:v>1502.1264241536458</x:v>
      </x:c>
      <x:c r="EN139" s="23" t="n">
        <x:v>1505.9239501953125</x:v>
      </x:c>
      <x:c r="EO139" s="23" t="n">
        <x:v>676.4541829427083</x:v>
      </x:c>
      <x:c r="EP139" s="23" t="n">
        <x:f>SUM(B139:EO139)</x:f>
        <x:v>75304.03661352175</x:v>
      </x:c>
      <x:c r="EQ139" s="23" t="n">
        <x:f>SUMPRODUCT(B139:EO139,{0.494,0.4863,0.4885,0.437,0.4142,0.4508,0.49,0.4871,0.4549,0.4445,0.4454,0.4554,0.4823,0.4798,0.4611,0.4818,0.4771,0.4505,0.4704,0.4731,0.4446,0.4397,0.4539,0.467,0.4632,0.4455,0.4325,0.4458,0.4702,0.4808,0.4649,0.4563,0.4242,0.3499,0.5475,0.8907,0.9149,0.8839,0.9014,0.8117,0.8017,0.8666,0.8098,0.7801,0.778,0.6831,0.8221,1.1193,1.1423,1.09,1.1044,1.1174,1.0981,1.063,1.0513,1.0506,1.0248,0.9617,0.9761,1.0425,1.019,0.9854,1.0051,1.0242,0.8291,0.5777,0.6469,0.6718,0.5658,0.6015,0.6245,0.581,0.5923,0.6288,0.606,0.5202,0.7262,1.0834,1.0762,1.0136,1.0533,1.0381,1.0068,1.0038,1.0208,1.0322,1.0533,1.0948,0.9803,0.7811,0.761,0.7838,0.8021,0.8968,0.9029,0.8435,0.9047,0.9295,0.9017,0.9704,1.0348,1.0368,1.025,1.04,1.0712,1.0915,1.1895,1.3056,1.2813,1.2684,1.33,1.375,1.3724,1.3484,1.3551,1.3855,1.3947,1.3514,1.3633,1.4109,1.3689,1.3349,1.3523,1.342,1.1879,0.9868,0.972,1.0424,1.1111,1.1352,0.8658,0.4817,0.4531,0.5062,0.4671,0.439,0.4672,0.5135,0.5058,0.4983,0.5053,0.4887,0.488,0.5079})</x:f>
        <x:v>51360.25017448527</x:v>
      </x:c>
    </x:row>
    <x:row r="140" ht="14" customHeight="1">
      <x:c r="A140" s="3">
        <x:v>45827</x:v>
      </x:c>
      <x:c r="B140" s="23" t="n">
        <x:v>677.4989827473958</x:v>
      </x:c>
      <x:c r="C140" s="23" t="n">
        <x:v>672.1344807942708</x:v>
      </x:c>
      <x:c r="D140" s="23" t="n">
        <x:v>693.6398111979166</x:v>
      </x:c>
      <x:c r="E140" s="23" t="n">
        <x:v>707.0189615885416</x:v>
      </x:c>
      <x:c r="F140" s="23" t="n">
        <x:v>645.2348225911458</x:v>
      </x:c>
      <x:c r="G140" s="23" t="n">
        <x:v>624.2383626302083</x:v>
      </x:c>
      <x:c r="H140" s="23" t="n">
        <x:v>640.2788899739583</x:v>
      </x:c>
      <x:c r="I140" s="23" t="n">
        <x:v>666.334716796875</x:v>
      </x:c>
      <x:c r="J140" s="23" t="n">
        <x:v>656.7507731119791</x:v>
      </x:c>
      <x:c r="K140" s="23" t="n">
        <x:v>645.5669759114583</x:v>
      </x:c>
      <x:c r="L140" s="23" t="n">
        <x:v>656.3858235677083</x:v>
      </x:c>
      <x:c r="M140" s="23" t="n">
        <x:v>656.7504475911458</x:v>
      </x:c>
      <x:c r="N140" s="23" t="n">
        <x:v>639.9949544270833</x:v>
      </x:c>
      <x:c r="O140" s="23" t="n">
        <x:v>638.8241373697916</x:v>
      </x:c>
      <x:c r="P140" s="23" t="n">
        <x:v>658.3084309895833</x:v>
      </x:c>
      <x:c r="Q140" s="23" t="n">
        <x:v>629.5220540364583</x:v>
      </x:c>
      <x:c r="R140" s="23" t="n">
        <x:v>626.0122477213541</x:v>
      </x:c>
      <x:c r="S140" s="23" t="n">
        <x:v>647.7547607421875</x:v>
      </x:c>
      <x:c r="T140" s="23" t="n">
        <x:v>646.8453369140625</x:v>
      </x:c>
      <x:c r="U140" s="23" t="n">
        <x:v>623.8660074869791</x:v>
      </x:c>
      <x:c r="V140" s="23" t="n">
        <x:v>627.3329671223958</x:v>
      </x:c>
      <x:c r="W140" s="23" t="n">
        <x:v>631.6295166015625</x:v>
      </x:c>
      <x:c r="X140" s="23" t="n">
        <x:v>619.2180989583333</x:v>
      </x:c>
      <x:c r="Y140" s="23" t="n">
        <x:v>609.3754069010416</x:v>
      </x:c>
      <x:c r="Z140" s="23" t="n">
        <x:v>1003.9115751864704</x:v>
      </x:c>
      <x:c r="AA140" s="23" t="n">
        <x:v>1438.1142578125</x:v>
      </x:c>
      <x:c r="AB140" s="23" t="n">
        <x:v>1437.693155924479</x:v>
      </x:c>
      <x:c r="AC140" s="23" t="n">
        <x:v>598.191328159782</x:v>
      </x:c>
      <x:c r="AD140" s="23" t="n">
        <x:v>1443.5643310546875</x:v>
      </x:c>
      <x:c r="AE140" s="23" t="n">
        <x:v>1442.2115420977525</x:v>
      </x:c>
      <x:c r="AF140" s="23" t="n">
        <x:v>596.9895575635098</x:v>
      </x:c>
      <x:c r="AG140" s="23" t="n">
        <x:v>570.604285933623</x:v>
      </x:c>
      <x:c r="AH140" s="23" t="n">
        <x:v>1361.7641829623503</x:v>
      </x:c>
      <x:c r="AI140" s="23" t="n">
        <x:v>1321.5457849996403</x:v>
      </x:c>
      <x:c r="AJ140" s="23" t="n">
        <x:v>526.1202162229818</x:v>
      </x:c>
      <x:c r="AK140" s="23" t="n">
        <x:v>0</x:v>
      </x:c>
      <x:c r="AL140" s="23" t="n">
        <x:v>0</x:v>
      </x:c>
      <x:c r="AM140" s="23" t="n">
        <x:v>550.5108992181913</x:v>
      </x:c>
      <x:c r="AN140" s="23" t="n">
        <x:v>367.31264634728586</x:v>
      </x:c>
      <x:c r="AO140" s="23" t="n">
        <x:v>484.5524632088236</x:v>
      </x:c>
      <x:c r="AP140" s="23" t="n">
        <x:v>445.4612211364372</x:v>
      </x:c>
      <x:c r="AQ140" s="23" t="n">
        <x:v>404.60081080649536</x:v>
      </x:c>
      <x:c r="AR140" s="23" t="n">
        <x:v>370.59429730865156</x:v>
      </x:c>
      <x:c r="AS140" s="23" t="n">
        <x:v>337.44974844471204</x:v>
      </x:c>
      <x:c r="AT140" s="23" t="n">
        <x:v>300.9802364057516</x:v>
      </x:c>
      <x:c r="AU140" s="23" t="n">
        <x:v>1066.5179631895803</x:v>
      </x:c>
      <x:c r="AV140" s="23" t="n">
        <x:v>299.6717883229001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0</x:v>
      </x:c>
      <x:c r="BP140" s="23" t="n">
        <x:v>762.5633943079375</x:v>
      </x:c>
      <x:c r="BQ140" s="23" t="n">
        <x:v>756.5516839218301</x:v>
      </x:c>
      <x:c r="BR140" s="23" t="n">
        <x:v>0</x:v>
      </x:c>
      <x:c r="BS140" s="23" t="n">
        <x:v>0</x:v>
      </x:c>
      <x:c r="BT140" s="23" t="n">
        <x:v>0</x:v>
      </x:c>
      <x:c r="BU140" s="23" t="n">
        <x:v>0</x:v>
      </x:c>
      <x:c r="BV140" s="23" t="n">
        <x:v>0</x:v>
      </x:c>
      <x:c r="BW140" s="23" t="n">
        <x:v>729.8638789708499</x:v>
      </x:c>
      <x:c r="BX140" s="23" t="n">
        <x:v>738.650222187883</x:v>
      </x:c>
      <x:c r="BY140" s="23" t="n">
        <x:v>787.6896649179025</x:v>
      </x:c>
      <x:c r="BZ140" s="23" t="n">
        <x:v>4.237181629066223</x:v>
      </x:c>
      <x:c r="CA140" s="23" t="n">
        <x:v>25.27593318771172</x:v>
      </x:c>
      <x:c r="CB140" s="23" t="n">
        <x:v>43.59982631795583</x:v>
      </x:c>
      <x:c r="CC140" s="23" t="n">
        <x:v>58.073350138213755</x:v>
      </x:c>
      <x:c r="CD140" s="23" t="n">
        <x:v>88.69695839101178</x:v>
      </x:c>
      <x:c r="CE140" s="23" t="n">
        <x:v>87.79566927118749</x:v>
      </x:c>
      <x:c r="CF140" s="23" t="n">
        <x:v>0</x:v>
      </x:c>
      <x:c r="CG140" s="23" t="n">
        <x:v>0</x:v>
      </x:c>
      <x:c r="CH140" s="23" t="n">
        <x:v>136.96575990076613</x:v>
      </x:c>
      <x:c r="CI140" s="23" t="n">
        <x:v>154.83303405683938</x:v>
      </x:c>
      <x:c r="CJ140" s="23" t="n">
        <x:v>0</x:v>
      </x:c>
      <x:c r="CK140" s="23" t="n">
        <x:v>0</x:v>
      </x:c>
      <x:c r="CL140" s="23" t="n">
        <x:v>244.98722188424563</x:v>
      </x:c>
      <x:c r="CM140" s="23" t="n">
        <x:v>1089.981940986438</x:v>
      </x:c>
      <x:c r="CN140" s="23" t="n">
        <x:v>289.2811308526258</x:v>
      </x:c>
      <x:c r="CO140" s="23" t="n">
        <x:v>347.98418494445195</x:v>
      </x:c>
      <x:c r="CP140" s="23" t="n">
        <x:v>399.74564111587824</x:v>
      </x:c>
      <x:c r="CQ140" s="23" t="n">
        <x:v>446.4698190023549</x:v>
      </x:c>
      <x:c r="CR140" s="23" t="n">
        <x:v>499.23049284251084</x:v>
      </x:c>
      <x:c r="CS140" s="23" t="n">
        <x:v>531.7589736266798</x:v>
      </x:c>
      <x:c r="CT140" s="23" t="n">
        <x:v>571.204226378055</x:v>
      </x:c>
      <x:c r="CU140" s="23" t="n">
        <x:v>606.812530046715</x:v>
      </x:c>
      <x:c r="CV140" s="23" t="n">
        <x:v>643.4012936486492</x:v>
      </x:c>
      <x:c r="CW140" s="23" t="n">
        <x:v>673.5755242704433</x:v>
      </x:c>
      <x:c r="CX140" s="23" t="n">
        <x:v>716.1896995961474</x:v>
      </x:c>
      <x:c r="CY140" s="23" t="n">
        <x:v>740.226711253688</x:v>
      </x:c>
      <x:c r="CZ140" s="23" t="n">
        <x:v>781.8581395061931</x:v>
      </x:c>
      <x:c r="DA140" s="23" t="n">
        <x:v>821.8933667975871</x:v>
      </x:c>
      <x:c r="DB140" s="23" t="n">
        <x:v>844.6267543439608</x:v>
      </x:c>
      <x:c r="DC140" s="23" t="n">
        <x:v>893.968022041083</x:v>
      </x:c>
      <x:c r="DD140" s="23" t="n">
        <x:v>861.0996618928377</x:v>
      </x:c>
      <x:c r="DE140" s="23" t="n">
        <x:v>719.316286231214</x:v>
      </x:c>
      <x:c r="DF140" s="23" t="n">
        <x:v>712.5752980402694</x:v>
      </x:c>
      <x:c r="DG140" s="23" t="n">
        <x:v>758.6701573451458</x:v>
      </x:c>
      <x:c r="DH140" s="23" t="n">
        <x:v>33.62185293840123</x:v>
      </x:c>
      <x:c r="DI140" s="23" t="n">
        <x:v>818.8417944375824</x:v>
      </x:c>
      <x:c r="DJ140" s="23" t="n">
        <x:v>80.67141334078208</x:v>
      </x:c>
      <x:c r="DK140" s="23" t="n">
        <x:v>83.15108298422274</x:v>
      </x:c>
      <x:c r="DL140" s="23" t="n">
        <x:v>107.79375494791671</x:v>
      </x:c>
      <x:c r="DM140" s="23" t="n">
        <x:v>107.44056580574518</x:v>
      </x:c>
      <x:c r="DN140" s="23" t="n">
        <x:v>106.36041992187498</x:v>
      </x:c>
      <x:c r="DO140" s="23" t="n">
        <x:v>709.8317913789066</x:v>
      </x:c>
      <x:c r="DP140" s="23" t="n">
        <x:v>871.3719889322916</x:v>
      </x:c>
      <x:c r="DQ140" s="23" t="n">
        <x:v>111.75873046874995</x:v>
      </x:c>
      <x:c r="DR140" s="23" t="n">
        <x:v>104.90871979166664</x:v>
      </x:c>
      <x:c r="DS140" s="23" t="n">
        <x:v>116.10930494791667</x:v>
      </x:c>
      <x:c r="DT140" s="23" t="n">
        <x:v>119.80372395833334</x:v>
      </x:c>
      <x:c r="DU140" s="23" t="n">
        <x:v>109.20499134114591</x:v>
      </x:c>
      <x:c r="DV140" s="23" t="n">
        <x:v>853.5774533203127</x:v>
      </x:c>
      <x:c r="DW140" s="23" t="n">
        <x:v>866.6663411458333</x:v>
      </x:c>
      <x:c r="DX140" s="23" t="n">
        <x:v>871.2857851884</x:v>
      </x:c>
      <x:c r="DY140" s="23" t="n">
        <x:v>857.95947265625</x:v>
      </x:c>
      <x:c r="DZ140" s="23" t="n">
        <x:v>883.350341796875</x:v>
      </x:c>
      <x:c r="EA140" s="23" t="n">
        <x:v>874.5041450520835</x:v>
      </x:c>
      <x:c r="EB140" s="23" t="n">
        <x:v>788.1941833984375</x:v>
      </x:c>
      <x:c r="EC140" s="23" t="n">
        <x:v>687.4390462239583</x:v>
      </x:c>
      <x:c r="ED140" s="23" t="n">
        <x:v>1490.608154296875</x:v>
      </x:c>
      <x:c r="EE140" s="23" t="n">
        <x:v>1517.248779296875</x:v>
      </x:c>
      <x:c r="EF140" s="23" t="n">
        <x:v>995.7488817756558</x:v>
      </x:c>
      <x:c r="EG140" s="23" t="n">
        <x:v>694.6758626302083</x:v>
      </x:c>
      <x:c r="EH140" s="23" t="n">
        <x:v>1511.539347330729</x:v>
      </x:c>
      <x:c r="EI140" s="23" t="n">
        <x:v>676.8715413411458</x:v>
      </x:c>
      <x:c r="EJ140" s="23" t="n">
        <x:v>667.2742106119791</x:v>
      </x:c>
      <x:c r="EK140" s="23" t="n">
        <x:v>667.1068522135416</x:v>
      </x:c>
      <x:c r="EL140" s="23" t="n">
        <x:v>1533.564208984375</x:v>
      </x:c>
      <x:c r="EM140" s="23" t="n">
        <x:v>723.6490885416666</x:v>
      </x:c>
      <x:c r="EN140" s="23" t="n">
        <x:v>1497.2522786458333</x:v>
      </x:c>
      <x:c r="EO140" s="23" t="n">
        <x:v>1374.5557454427083</x:v>
      </x:c>
      <x:c r="EP140" s="23" t="n">
        <x:f>SUM(B140:EO140)</x:f>
        <x:v>73992.47474901564</x:v>
      </x:c>
      <x:c r="EQ140" s="23" t="n">
        <x:f>SUMPRODUCT(B140:EO140,{0.5109,0.5099,0.5073,0.4903,0.4805,0.4805,0.475,0.4879,0.5012,0.4699,0.4467,0.4594,0.4819,0.476,0.4467,0.4359,0.4517,0.471,0.4606,0.4349,0.4189,0.4233,0.4095,0.3952,0.4359,0.4656,0.4647,0.4759,0.481,0.4722,0.4642,0.4553,0.4141,0.3554,0.5599,0.9087,0.9696,0.9125,0.8711,0.8076,0.7643,0.7523,0.7443,0.7617,0.7341,0.6108,0.8114,1.2096,1.2324,1.1656,1.1721,1.1236,1.0971,1.1093,1.0885,1.0688,1.0495,0.9964,0.9851,1.0073,0.9741,0.9236,0.9284,0.9911,0.8427,0.5686,0.5386,0.5828,0.5876,0.606,0.5748,0.4996,0.4669,0.4862,0.5116,0.5171,0.6795,0.9054,0.9069,0.8922,0.9422,0.9339,0.944,0.9889,1,1.0199,1.0526,1.0374,0.9324,0.8068,0.7851,0.7927,0.7855,0.7981,0.8542,0.938,1.0001,1.0022,0.964,0.9482,0.967,0.9931,0.992,1.0037,1.04,1.0806,1.1643,1.2612,1.2919,1.3109,1.334,1.3261,1.3413,1.3908,1.4236,1.405,1.3623,1.3579,1.3639,1.3564,1.3394,1.3187,1.3336,1.3963,1.2906,1.069,1.0134,1.0258,1.0477,1.0842,0.8626,0.496,0.4114,0.4681,0.5,0.4842,0.4813,0.5029,0.5059,0.5018,0.484,0.4373,0.4354,0.4506})</x:f>
        <x:v>50562.68854293828</x:v>
      </x:c>
    </x:row>
    <x:row r="141" ht="14" customHeight="1">
      <x:c r="A141" s="3">
        <x:v>45828</x:v>
      </x:c>
      <x:c r="B141" s="23" t="n">
        <x:v>0</x:v>
      </x:c>
      <x:c r="C141" s="23" t="n">
        <x:v>0</x:v>
      </x:c>
      <x:c r="D141" s="23" t="n">
        <x:v>0</x:v>
      </x:c>
      <x:c r="E141" s="23" t="n">
        <x:v>492.81005859375</x:v>
      </x:c>
      <x:c r="F141" s="23" t="n">
        <x:v>0</x:v>
      </x:c>
      <x:c r="G141" s="23" t="n">
        <x:v>0</x:v>
      </x:c>
      <x:c r="H141" s="23" t="n">
        <x:v>494.552001953125</x:v>
      </x:c>
      <x:c r="I141" s="23" t="n">
        <x:v>473.0460205078125</x:v>
      </x:c>
      <x:c r="J141" s="23" t="n">
        <x:v>479.017333984375</x:v>
      </x:c>
      <x:c r="K141" s="23" t="n">
        <x:v>498.33984375</x:v>
      </x:c>
      <x:c r="L141" s="23" t="n">
        <x:v>510.5728352864583</x:v>
      </x:c>
      <x:c r="M141" s="23" t="n">
        <x:v>507.0615234375</x:v>
      </x:c>
      <x:c r="N141" s="23" t="n">
        <x:v>478.2499593098958</x:v>
      </x:c>
      <x:c r="O141" s="23" t="n">
        <x:v>453.0424397786458</x:v>
      </x:c>
      <x:c r="P141" s="23" t="n">
        <x:v>454.60697428385413</x:v>
      </x:c>
      <x:c r="Q141" s="23" t="n">
        <x:v>464.60378662685855</x:v>
      </x:c>
      <x:c r="R141" s="23" t="n">
        <x:v>468.0682373046875</x:v>
      </x:c>
      <x:c r="S141" s="23" t="n">
        <x:v>0</x:v>
      </x:c>
      <x:c r="T141" s="23" t="n">
        <x:v>0</x:v>
      </x:c>
      <x:c r="U141" s="23" t="n">
        <x:v>0</x:v>
      </x:c>
      <x:c r="V141" s="23" t="n">
        <x:v>451.26220703125</x:v>
      </x:c>
      <x:c r="W141" s="23" t="n">
        <x:v>450.607666015625</x:v>
      </x:c>
      <x:c r="X141" s="23" t="n">
        <x:v>457.6243896484375</x:v>
      </x:c>
      <x:c r="Y141" s="23" t="n">
        <x:v>446.5802001953125</x:v>
      </x:c>
      <x:c r="Z141" s="23" t="n">
        <x:v>445.7230224609375</x:v>
      </x:c>
      <x:c r="AA141" s="23" t="n">
        <x:v>1278.3780517578125</x:v>
      </x:c>
      <x:c r="AB141" s="23" t="n">
        <x:v>446.2809651692708</x:v>
      </x:c>
      <x:c r="AC141" s="23" t="n">
        <x:v>450.7547411410146</x:v>
      </x:c>
      <x:c r="AD141" s="23" t="n">
        <x:v>465.7814534505208</x:v>
      </x:c>
      <x:c r="AE141" s="23" t="n">
        <x:v>455.77631079402937</x:v>
      </x:c>
      <x:c r="AF141" s="23" t="n">
        <x:v>420.6248032209138</x:v>
      </x:c>
      <x:c r="AG141" s="23" t="n">
        <x:v>401.6146439955811</x:v>
      </x:c>
      <x:c r="AH141" s="23" t="n">
        <x:v>374.23162794860013</x:v>
      </x:c>
      <x:c r="AI141" s="23" t="n">
        <x:v>1170.7088100822032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45.161306932442734</x:v>
      </x:c>
      <x:c r="CR141" s="23" t="n">
        <x:v>99.49349551733317</x:v>
      </x:c>
      <x:c r="CS141" s="23" t="n">
        <x:v>138.57133482176755</x:v>
      </x:c>
      <x:c r="CT141" s="23" t="n">
        <x:v>177.46740280757163</x:v>
      </x:c>
      <x:c r="CU141" s="23" t="n">
        <x:v>211.91163211331914</x:v>
      </x:c>
      <x:c r="CV141" s="23" t="n">
        <x:v>242.5713722313915</x:v>
      </x:c>
      <x:c r="CW141" s="23" t="n">
        <x:v>287.49862494963395</x:v>
      </x:c>
      <x:c r="CX141" s="23" t="n">
        <x:v>301.2732505046438</x:v>
      </x:c>
      <x:c r="CY141" s="23" t="n">
        <x:v>207.05518337537356</x:v>
      </x:c>
      <x:c r="CZ141" s="23" t="n">
        <x:v>217.915320692336</x:v>
      </x:c>
      <x:c r="DA141" s="23" t="n">
        <x:v>271.8821919171121</x:v>
      </x:c>
      <x:c r="DB141" s="23" t="n">
        <x:v>387.8058379112018</x:v>
      </x:c>
      <x:c r="DC141" s="23" t="n">
        <x:v>398.68220840061105</x:v>
      </x:c>
      <x:c r="DD141" s="23" t="n">
        <x:v>391.44055348008396</x:v>
      </x:c>
      <x:c r="DE141" s="23" t="n">
        <x:v>400.6944704538756</x:v>
      </x:c>
      <x:c r="DF141" s="23" t="n">
        <x:v>142.77425212849232</x:v>
      </x:c>
      <x:c r="DG141" s="23" t="n">
        <x:v>476.5233420273301</x:v>
      </x:c>
      <x:c r="DH141" s="23" t="n">
        <x:v>0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651.0734494140623</x:v>
      </x:c>
      <x:c r="DW141" s="23" t="n">
        <x:v>662.5483805338541</x:v>
      </x:c>
      <x:c r="DX141" s="23" t="n">
        <x:v>625.7220177670073</x:v>
      </x:c>
      <x:c r="DY141" s="23" t="n">
        <x:v>589.851318359375</x:v>
      </x:c>
      <x:c r="DZ141" s="23" t="n">
        <x:v>586.5753987630208</x:v>
      </x:c>
      <x:c r="EA141" s="23" t="n">
        <x:v>578.6584012369792</x:v>
      </x:c>
      <x:c r="EB141" s="23" t="n">
        <x:v>557.5137634765625</x:v>
      </x:c>
      <x:c r="EC141" s="23" t="n">
        <x:v>785.3259488329475</x:v>
      </x:c>
      <x:c r="ED141" s="23" t="n">
        <x:v>1371.9711507161458</x:v>
      </x:c>
      <x:c r="EE141" s="23" t="n">
        <x:v>546.3697509765625</x:v>
      </x:c>
      <x:c r="EF141" s="23" t="n">
        <x:v>519.0926920572916</x:v>
      </x:c>
      <x:c r="EG141" s="23" t="n">
        <x:v>510.61328125</x:v>
      </x:c>
      <x:c r="EH141" s="23" t="n">
        <x:v>1333.6099853515625</x:v>
      </x:c>
      <x:c r="EI141" s="23" t="n">
        <x:v>1342.6656494140625</x:v>
      </x:c>
      <x:c r="EJ141" s="23" t="n">
        <x:v>509.66092936197913</x:v>
      </x:c>
      <x:c r="EK141" s="23" t="n">
        <x:v>526.9287516276041</x:v>
      </x:c>
      <x:c r="EL141" s="23" t="n">
        <x:v>1369.9844563802083</x:v>
      </x:c>
      <x:c r="EM141" s="23" t="n">
        <x:v>507.9693196614583</x:v>
      </x:c>
      <x:c r="EN141" s="23" t="n">
        <x:v>1313.9425862630208</x:v>
      </x:c>
      <x:c r="EO141" s="23" t="n">
        <x:v>1341.8586018880208</x:v>
      </x:c>
      <x:c r="EP141" s="23" t="n">
        <x:f>SUM(B141:EO141)</x:f>
        <x:v>34120.577521324725</x:v>
      </x:c>
      <x:c r="EQ141" s="23" t="n">
        <x:f>SUMPRODUCT(B141:EO141,{0.3806,0.3174,0.3238,0.3729,0.3966,0.3766,0.3542,0.3733,0.4238,0.4471,0.4092,0.3519,0.3557,0.3801,0.3795,0.348,0.3311,0.3453,0.3705,0.4042,0.4287,0.416,0.3796,0.3452,0.3325,0.3305,0.3317,0.3368,0.3378,0.3258,0.3047,0.32,0.3334,0.2902,0.4295,0.6888,0.7355,0.6577,0.5736,0.5289,0.5889,0.6651,0.5962,0.5577,0.5496,0.4336,0.5407,0.8159,0.8462,0.7991,0.7888,0.7594,0.7812,0.8228,0.7765,0.7652,0.803,0.7786,0.7458,0.7377,0.727,0.7034,0.7014,0.7305,0.5597,0.2894,0.2746,0.3298,0.3382,0.3602,0.3391,0.3142,0.3865,0.3998,0.3109,0.2668,0.4447,0.6981,0.6963,0.675,0.7288,0.7214,0.7305,0.7635,0.7411,0.7403,0.776,0.7665,0.6595,0.5233,0.4883,0.4909,0.5157,0.6017,0.6207,0.5798,0.6092,0.6257,0.6326,0.7188,0.7533,0.7072,0.6909,0.7354,0.7641,0.7098,0.864,1.1548,1.195,1.1437,1.1368,1.1514,1.1879,1.2135,1.1862,1.1866,1.2088,1.1737,1.1764,1.216,1.1923,1.1669,1.1944,1.2402,1.1218,0.9076,0.8578,0.8574,0.8771,0.9672,0.7901,0.4394,0.3718,0.3886,0.3708,0.4099,0.4418,0.4229,0.38,0.3716,0.3895,0.3785,0.3828,0.3917})</x:f>
        <x:v>17035.420332102236</x:v>
      </x:c>
    </x:row>
    <x:row r="142" ht="14" customHeight="1">
      <x:c r="A142" s="3">
        <x:v>45829</x:v>
      </x:c>
      <x:c r="B142" s="23" t="n">
        <x:v>538.091796875</x:v>
      </x:c>
      <x:c r="C142" s="23" t="n">
        <x:v>0</x:v>
      </x:c>
      <x:c r="D142" s="23" t="n">
        <x:v>0</x:v>
      </x:c>
      <x:c r="E142" s="23" t="n">
        <x:v>0</x:v>
      </x:c>
      <x:c r="F142" s="23" t="n">
        <x:v>0</x:v>
      </x:c>
      <x:c r="G142" s="23" t="n">
        <x:v>527.0036214192708</x:v>
      </x:c>
      <x:c r="H142" s="23" t="n">
        <x:v>516.687744140625</x:v>
      </x:c>
      <x:c r="I142" s="23" t="n">
        <x:v>499.21533203125</x:v>
      </x:c>
      <x:c r="J142" s="23" t="n">
        <x:v>366.37464930522634</x:v>
      </x:c>
      <x:c r="K142" s="23" t="n">
        <x:v>514.9160563151041</x:v>
      </x:c>
      <x:c r="L142" s="23" t="n">
        <x:v>478.300537109375</x:v>
      </x:c>
      <x:c r="M142" s="23" t="n">
        <x:v>477.8487548828125</x:v>
      </x:c>
      <x:c r="N142" s="23" t="n">
        <x:v>484.4730224609375</x:v>
      </x:c>
      <x:c r="O142" s="23" t="n">
        <x:v>481.6241048177083</x:v>
      </x:c>
      <x:c r="P142" s="23" t="n">
        <x:v>454.67325846354163</x:v>
      </x:c>
      <x:c r="Q142" s="23" t="n">
        <x:v>456.94767252604163</x:v>
      </x:c>
      <x:c r="R142" s="23" t="n">
        <x:v>453.8321126302083</x:v>
      </x:c>
      <x:c r="S142" s="23" t="n">
        <x:v>452.2934163411458</x:v>
      </x:c>
      <x:c r="T142" s="23" t="n">
        <x:v>0</x:v>
      </x:c>
      <x:c r="U142" s="23" t="n">
        <x:v>0</x:v>
      </x:c>
      <x:c r="V142" s="23" t="n">
        <x:v>454.4769287109375</x:v>
      </x:c>
      <x:c r="W142" s="23" t="n">
        <x:v>474.60546875</x:v>
      </x:c>
      <x:c r="X142" s="23" t="n">
        <x:v>490.0032552083333</x:v>
      </x:c>
      <x:c r="Y142" s="23" t="n">
        <x:v>451.479248046875</x:v>
      </x:c>
      <x:c r="Z142" s="23" t="n">
        <x:v>464.38578287760413</x:v>
      </x:c>
      <x:c r="AA142" s="23" t="n">
        <x:v>463.54252115885413</x:v>
      </x:c>
      <x:c r="AB142" s="23" t="n">
        <x:v>452.7825927734375</x:v>
      </x:c>
      <x:c r="AC142" s="23" t="n">
        <x:v>447.3626022967669</x:v>
      </x:c>
      <x:c r="AD142" s="23" t="n">
        <x:v>453.37174479166663</x:v>
      </x:c>
      <x:c r="AE142" s="23" t="n">
        <x:v>441.48744542574315</x:v>
      </x:c>
      <x:c r="AF142" s="23" t="n">
        <x:v>424.25405700262473</x:v>
      </x:c>
      <x:c r="AG142" s="23" t="n">
        <x:v>391.27710073423043</x:v>
      </x:c>
      <x:c r="AH142" s="23" t="n">
        <x:v>361.620121334219</x:v>
      </x:c>
      <x:c r="AI142" s="23" t="n">
        <x:v>1178.5563887755502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15.714029375538907</x:v>
      </x:c>
      <x:c r="CR142" s="23" t="n">
        <x:v>57.43002944167968</x:v>
      </x:c>
      <x:c r="CS142" s="23" t="n">
        <x:v>110.75861801474957</x:v>
      </x:c>
      <x:c r="CT142" s="23" t="n">
        <x:v>177.61834480157134</x:v>
      </x:c>
      <x:c r="CU142" s="23" t="n">
        <x:v>198.11449848542694</x:v>
      </x:c>
      <x:c r="CV142" s="23" t="n">
        <x:v>160.40360927241</x:v>
      </x:c>
      <x:c r="CW142" s="23" t="n">
        <x:v>239.87310613272575</x:v>
      </x:c>
      <x:c r="CX142" s="23" t="n">
        <x:v>246.1138999189483</x:v>
      </x:c>
      <x:c r="CY142" s="23" t="n">
        <x:v>197.557537498882</x:v>
      </x:c>
      <x:c r="CZ142" s="23" t="n">
        <x:v>232.10966912275313</x:v>
      </x:c>
      <x:c r="DA142" s="23" t="n">
        <x:v>277.36279922165045</x:v>
      </x:c>
      <x:c r="DB142" s="23" t="n">
        <x:v>309.52790586436805</x:v>
      </x:c>
      <x:c r="DC142" s="23" t="n">
        <x:v>338.42824811608114</x:v>
      </x:c>
      <x:c r="DD142" s="23" t="n">
        <x:v>378.9265058628035</x:v>
      </x:c>
      <x:c r="DE142" s="23" t="n">
        <x:v>387.8930391414025</x:v>
      </x:c>
      <x:c r="DF142" s="23" t="n">
        <x:v>92.84987060536692</x:v>
      </x:c>
      <x:c r="DG142" s="23" t="n">
        <x:v>464.0481342915382</x:v>
      </x:c>
      <x:c r="DH142" s="23" t="n">
        <x:v>0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654.7840983072916</x:v>
      </x:c>
      <x:c r="DW142" s="23" t="n">
        <x:v>596.8357009114585</x:v>
      </x:c>
      <x:c r="DX142" s="23" t="n">
        <x:v>584.5691324869791</x:v>
      </x:c>
      <x:c r="DY142" s="23" t="n">
        <x:v>584.1265055338541</x:v>
      </x:c>
      <x:c r="DZ142" s="23" t="n">
        <x:v>567.398695377604</x:v>
      </x:c>
      <x:c r="EA142" s="23" t="n">
        <x:v>585.9234212239583</x:v>
      </x:c>
      <x:c r="EB142" s="23" t="n">
        <x:v>563.6075346354165</x:v>
      </x:c>
      <x:c r="EC142" s="23" t="n">
        <x:v>559.6482747395833</x:v>
      </x:c>
      <x:c r="ED142" s="23" t="n">
        <x:v>1370.5201009114583</x:v>
      </x:c>
      <x:c r="EE142" s="23" t="n">
        <x:v>1357.4044596354165</x:v>
      </x:c>
      <x:c r="EF142" s="23" t="n">
        <x:v>1351.0553385416665</x:v>
      </x:c>
      <x:c r="EG142" s="23" t="n">
        <x:v>827.9764897199717</x:v>
      </x:c>
      <x:c r="EH142" s="23" t="n">
        <x:v>1404.952392578125</x:v>
      </x:c>
      <x:c r="EI142" s="23" t="n">
        <x:v>549.4359537760416</x:v>
      </x:c>
      <x:c r="EJ142" s="23" t="n">
        <x:v>1357.3238118489583</x:v>
      </x:c>
      <x:c r="EK142" s="23" t="n">
        <x:v>1328.83642578125</x:v>
      </x:c>
      <x:c r="EL142" s="23" t="n">
        <x:v>529.6960042317708</x:v>
      </x:c>
      <x:c r="EM142" s="23" t="n">
        <x:v>527.2998453776041</x:v>
      </x:c>
      <x:c r="EN142" s="23" t="n">
        <x:v>578.7478841145833</x:v>
      </x:c>
      <x:c r="EO142" s="23" t="n">
        <x:v>648.0343424479166</x:v>
      </x:c>
      <x:c r="EP142" s="23" t="n">
        <x:f>SUM(B142:EO142)</x:f>
        <x:v>34064.39359455389</x:v>
      </x:c>
      <x:c r="EQ142" s="23" t="n">
        <x:f>SUMPRODUCT(B142:EO142,{0.3564,0.3908,0.4598,0.409,0.3618,0.3786,0.3988,0.4164,0.4254,0.4165,0.4295,0.4451,0.405,0.3784,0.3917,0.3964,0.3495,0.3048,0.3585,0.4058,0.4053,0.4087,0.3866,0.3566,0.3708,0.3532,0.3096,0.3237,0.3321,0.3143,0.3191,0.3488,0.3395,0.2621,0.4169,0.7087,0.7158,0.6144,0.5732,0.586,0.6004,0.5991,0.598,0.5678,0.5032,0.4634,0.6087,0.8359,0.8537,0.7708,0.7264,0.7632,0.8305,0.8764,0.8731,0.8073,0.7234,0.6977,0.7164,0.7212,0.6702,0.6649,0.7152,0.7053,0.5367,0.3314,0.3161,0.2901,0.2072,0.2258,0.2711,0.2744,0.2473,0.2497,0.2484,0.1828,0.2868,0.5464,0.681,0.6383,0.5716,0.6829,0.797,0.8133,0.7993,0.8114,0.8574,0.8672,0.6527,0.3818,0.4347,0.5156,0.4952,0.5311,0.5692,0.5723,0.5744,0.599,0.6284,0.6239,0.6144,0.6289,0.6705,0.7075,0.7038,0.6796,0.8445,1.1012,1.1314,1.1374,1.1803,1.1266,1.153,1.2618,1.2633,1.2161,1.1876,1.1812,1.1704,1.1558,1.1611,1.1692,1.198,1.2507,1.1066,0.857,0.8345,0.871,0.8848,0.9243,0.7155,0.3942,0.4048,0.4701,0.4227,0.374,0.3646,0.3809,0.3872,0.3936,0.3844,0.3399,0.3684,0.4712})</x:f>
        <x:v>16646.259431926857</x:v>
      </x:c>
    </x:row>
    <x:row r="143" ht="14" customHeight="1">
      <x:c r="A143" s="3">
        <x:v>45830</x:v>
      </x:c>
      <x:c r="B143" s="23" t="n">
        <x:v>688.7222493489583</x:v>
      </x:c>
      <x:c r="C143" s="23" t="n">
        <x:v>679.0340576171875</x:v>
      </x:c>
      <x:c r="D143" s="23" t="n">
        <x:v>673.7861328125</x:v>
      </x:c>
      <x:c r="E143" s="23" t="n">
        <x:v>654.7277018229166</x:v>
      </x:c>
      <x:c r="F143" s="23" t="n">
        <x:v>645.1374104817708</x:v>
      </x:c>
      <x:c r="G143" s="23" t="n">
        <x:v>657.0793863932291</x:v>
      </x:c>
      <x:c r="H143" s="23" t="n">
        <x:v>629.9875081380208</x:v>
      </x:c>
      <x:c r="I143" s="23" t="n">
        <x:v>607.9387613932291</x:v>
      </x:c>
      <x:c r="J143" s="23" t="n">
        <x:v>614.7888590494791</x:v>
      </x:c>
      <x:c r="K143" s="23" t="n">
        <x:v>630.7052815755208</x:v>
      </x:c>
      <x:c r="L143" s="23" t="n">
        <x:v>648.8964436848958</x:v>
      </x:c>
      <x:c r="M143" s="23" t="n">
        <x:v>640.7311604817708</x:v>
      </x:c>
      <x:c r="N143" s="23" t="n">
        <x:v>608.6084798177083</x:v>
      </x:c>
      <x:c r="O143" s="23" t="n">
        <x:v>619.0648193359375</x:v>
      </x:c>
      <x:c r="P143" s="23" t="n">
        <x:v>669.4385579427083</x:v>
      </x:c>
      <x:c r="Q143" s="23" t="n">
        <x:v>632.4073486328125</x:v>
      </x:c>
      <x:c r="R143" s="23" t="n">
        <x:v>689.2004533084684</x:v>
      </x:c>
      <x:c r="S143" s="23" t="n">
        <x:v>619.4512125651041</x:v>
      </x:c>
      <x:c r="T143" s="23" t="n">
        <x:v>620.8987630208333</x:v>
      </x:c>
      <x:c r="U143" s="23" t="n">
        <x:v>616.4237467447916</x:v>
      </x:c>
      <x:c r="V143" s="23" t="n">
        <x:v>615.4827067057291</x:v>
      </x:c>
      <x:c r="W143" s="23" t="n">
        <x:v>614.4285888671875</x:v>
      </x:c>
      <x:c r="X143" s="23" t="n">
        <x:v>613.236328125</x:v>
      </x:c>
      <x:c r="Y143" s="23" t="n">
        <x:v>1444.0211588541665</x:v>
      </x:c>
      <x:c r="Z143" s="23" t="n">
        <x:v>631.6188557942708</x:v>
      </x:c>
      <x:c r="AA143" s="23" t="n">
        <x:v>630.8797607421875</x:v>
      </x:c>
      <x:c r="AB143" s="23" t="n">
        <x:v>613.3999837239583</x:v>
      </x:c>
      <x:c r="AC143" s="23" t="n">
        <x:v>1429.133561780313</x:v>
      </x:c>
      <x:c r="AD143" s="23" t="n">
        <x:v>1439.4184163411458</x:v>
      </x:c>
      <x:c r="AE143" s="23" t="n">
        <x:v>1431.6158163926393</x:v>
      </x:c>
      <x:c r="AF143" s="23" t="n">
        <x:v>575.2666860818094</x:v>
      </x:c>
      <x:c r="AG143" s="23" t="n">
        <x:v>546.8560653156532</x:v>
      </x:c>
      <x:c r="AH143" s="23" t="n">
        <x:v>1360.1713812016537</x:v>
      </x:c>
      <x:c r="AI143" s="23" t="n">
        <x:v>1322.8641510883776</x:v>
      </x:c>
      <x:c r="AJ143" s="23" t="n">
        <x:v>524.5307790220355</x:v>
      </x:c>
      <x:c r="AK143" s="23" t="n">
        <x:v>320.99988441716175</x:v>
      </x:c>
      <x:c r="AL143" s="23" t="n">
        <x:v>0</x:v>
      </x:c>
      <x:c r="AM143" s="23" t="n">
        <x:v>0</x:v>
      </x:c>
      <x:c r="AN143" s="23" t="n">
        <x:v>524.9510137412482</x:v>
      </x:c>
      <x:c r="AO143" s="23" t="n">
        <x:v>471.40212097971386</x:v>
      </x:c>
      <x:c r="AP143" s="23" t="n">
        <x:v>439.9516243650852</x:v>
      </x:c>
      <x:c r="AQ143" s="23" t="n">
        <x:v>391.18908864110256</x:v>
      </x:c>
      <x:c r="AR143" s="23" t="n">
        <x:v>354.7927418231664</x:v>
      </x:c>
      <x:c r="AS143" s="23" t="n">
        <x:v>316.9140733248957</x:v>
      </x:c>
      <x:c r="AT143" s="23" t="n">
        <x:v>280.67965387502943</x:v>
      </x:c>
      <x:c r="AU143" s="23" t="n">
        <x:v>210.45639705129227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0</x:v>
      </x:c>
      <x:c r="BP143" s="23" t="n">
        <x:v>731.5166542263125</x:v>
      </x:c>
      <x:c r="BQ143" s="23" t="n">
        <x:v>733.9259697160296</x:v>
      </x:c>
      <x:c r="BR143" s="23" t="n">
        <x:v>0</x:v>
      </x:c>
      <x:c r="BS143" s="23" t="n">
        <x:v>0</x:v>
      </x:c>
      <x:c r="BT143" s="23" t="n">
        <x:v>0</x:v>
      </x:c>
      <x:c r="BU143" s="23" t="n">
        <x:v>663.4314709267051</x:v>
      </x:c>
      <x:c r="BV143" s="23" t="n">
        <x:v>659.9319405111152</x:v>
      </x:c>
      <x:c r="BW143" s="23" t="n">
        <x:v>0</x:v>
      </x:c>
      <x:c r="BX143" s="23" t="n">
        <x:v>649.4956338928637</x:v>
      </x:c>
      <x:c r="BY143" s="23" t="n">
        <x:v>679.0232691225694</x:v>
      </x:c>
      <x:c r="BZ143" s="23" t="n">
        <x:v>0</x:v>
      </x:c>
      <x:c r="CA143" s="23" t="n">
        <x:v>0</x:v>
      </x:c>
      <x:c r="CB143" s="23" t="n">
        <x:v>0</x:v>
      </x:c>
      <x:c r="CC143" s="23" t="n">
        <x:v>0</x:v>
      </x:c>
      <x:c r="CD143" s="23" t="n">
        <x:v>27.311231553701266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199.0355023089936</x:v>
      </x:c>
      <x:c r="CM143" s="23" t="n">
        <x:v>350.390681950748</x:v>
      </x:c>
      <x:c r="CN143" s="23" t="n">
        <x:v>1087.1698976363139</x:v>
      </x:c>
      <x:c r="CO143" s="23" t="n">
        <x:v>296.30662835756993</x:v>
      </x:c>
      <x:c r="CP143" s="23" t="n">
        <x:v>344.4837852974277</x:v>
      </x:c>
      <x:c r="CQ143" s="23" t="n">
        <x:v>373.3906447164451</x:v>
      </x:c>
      <x:c r="CR143" s="23" t="n">
        <x:v>421.4999621637865</x:v>
      </x:c>
      <x:c r="CS143" s="23" t="n">
        <x:v>494.8213962772294</x:v>
      </x:c>
      <x:c r="CT143" s="23" t="n">
        <x:v>534.9447753213582</x:v>
      </x:c>
      <x:c r="CU143" s="23" t="n">
        <x:v>564.7920413402089</x:v>
      </x:c>
      <x:c r="CV143" s="23" t="n">
        <x:v>590.9581133020944</x:v>
      </x:c>
      <x:c r="CW143" s="23" t="n">
        <x:v>619.7764222588062</x:v>
      </x:c>
      <x:c r="CX143" s="23" t="n">
        <x:v>654.161043721025</x:v>
      </x:c>
      <x:c r="CY143" s="23" t="n">
        <x:v>718.1822903393943</x:v>
      </x:c>
      <x:c r="CZ143" s="23" t="n">
        <x:v>762.463979040988</x:v>
      </x:c>
      <x:c r="DA143" s="23" t="n">
        <x:v>791.0510601878036</x:v>
      </x:c>
      <x:c r="DB143" s="23" t="n">
        <x:v>822.865210943578</x:v>
      </x:c>
      <x:c r="DC143" s="23" t="n">
        <x:v>890.5745097890303</x:v>
      </x:c>
      <x:c r="DD143" s="23" t="n">
        <x:v>866.4411503699272</x:v>
      </x:c>
      <x:c r="DE143" s="23" t="n">
        <x:v>672.9880404890433</x:v>
      </x:c>
      <x:c r="DF143" s="23" t="n">
        <x:v>665.0015728954173</x:v>
      </x:c>
      <x:c r="DG143" s="23" t="n">
        <x:v>759.4085369685281</x:v>
      </x:c>
      <x:c r="DH143" s="23" t="n">
        <x:v>813.5616388830522</x:v>
      </x:c>
      <x:c r="DI143" s="23" t="n">
        <x:v>66.139502769863</x:v>
      </x:c>
      <x:c r="DJ143" s="23" t="n">
        <x:v>71.25465822173858</x:v>
      </x:c>
      <x:c r="DK143" s="23" t="n">
        <x:v>48.91613491539768</x:v>
      </x:c>
      <x:c r="DL143" s="23" t="n">
        <x:v>118.14157890624998</x:v>
      </x:c>
      <x:c r="DM143" s="23" t="n">
        <x:v>155.94699278983276</x:v>
      </x:c>
      <x:c r="DN143" s="23" t="n">
        <x:v>101.02884277343749</x:v>
      </x:c>
      <x:c r="DO143" s="23" t="n">
        <x:v>855.4056159794616</x:v>
      </x:c>
      <x:c r="DP143" s="23" t="n">
        <x:v>70.75242239583334</x:v>
      </x:c>
      <x:c r="DQ143" s="23" t="n">
        <x:v>75.86678385416658</x:v>
      </x:c>
      <x:c r="DR143" s="23" t="n">
        <x:v>79.59970963541673</x:v>
      </x:c>
      <x:c r="DS143" s="23" t="n">
        <x:v>862.3224283854166</x:v>
      </x:c>
      <x:c r="DT143" s="23" t="n">
        <x:v>97.65274414062499</x:v>
      </x:c>
      <x:c r="DU143" s="23" t="n">
        <x:v>72.49771562500003</x:v>
      </x:c>
      <x:c r="DV143" s="23" t="n">
        <x:v>861.6598307291666</x:v>
      </x:c>
      <x:c r="DW143" s="23" t="n">
        <x:v>891.1065266927083</x:v>
      </x:c>
      <x:c r="DX143" s="23" t="n">
        <x:v>881.0631510416666</x:v>
      </x:c>
      <x:c r="DY143" s="23" t="n">
        <x:v>862.137939453125</x:v>
      </x:c>
      <x:c r="DZ143" s="23" t="n">
        <x:v>866.982666015625</x:v>
      </x:c>
      <x:c r="EA143" s="23" t="n">
        <x:v>877.5590626302084</x:v>
      </x:c>
      <x:c r="EB143" s="23" t="n">
        <x:v>823.3953764322915</x:v>
      </x:c>
      <x:c r="EC143" s="23" t="n">
        <x:v>1515.6365966796875</x:v>
      </x:c>
      <x:c r="ED143" s="23" t="n">
        <x:v>1501.0858561197915</x:v>
      </x:c>
      <x:c r="EE143" s="23" t="n">
        <x:v>1542.51806640625</x:v>
      </x:c>
      <x:c r="EF143" s="23" t="n">
        <x:v>984.3571863345551</x:v>
      </x:c>
      <x:c r="EG143" s="23" t="n">
        <x:v>685.8700358072916</x:v>
      </x:c>
      <x:c r="EH143" s="23" t="n">
        <x:v>1525.29736328125</x:v>
      </x:c>
      <x:c r="EI143" s="23" t="n">
        <x:v>710.4256998697916</x:v>
      </x:c>
      <x:c r="EJ143" s="23" t="n">
        <x:v>722.204345703125</x:v>
      </x:c>
      <x:c r="EK143" s="23" t="n">
        <x:v>708.405517578125</x:v>
      </x:c>
      <x:c r="EL143" s="23" t="n">
        <x:v>673.1029459635416</x:v>
      </x:c>
      <x:c r="EM143" s="23" t="n">
        <x:v>695.696533203125</x:v>
      </x:c>
      <x:c r="EN143" s="23" t="n">
        <x:v>1529.0396321614583</x:v>
      </x:c>
      <x:c r="EO143" s="23" t="n">
        <x:v>1496.9110921223958</x:v>
      </x:c>
      <x:c r="EP143" s="23" t="n">
        <x:f>SUM(B143:EO143)</x:f>
        <x:v>71420.17478154832</x:v>
      </x:c>
      <x:c r="EQ143" s="23" t="n">
        <x:f>SUMPRODUCT(B143:EO143,{0.5344,0.5427,0.5063,0.4472,0.4327,0.4825,0.5488,0.5499,0.4947,0.4646,0.4385,0.4239,0.4537,0.4473,0.4212,0.4729,0.5194,0.5047,0.4521,0.4101,0.4282,0.5058,0.4716,0.3775,0.4409,0.4845,0.4457,0.4408,0.4359,0.412,0.4007,0.418,0.4071,0.3355,0.5187,0.8567,0.9075,0.8644,0.8725,0.8648,0.7814,0.6944,0.7373,0.78,0.7172,0.6172,0.8436,1.2077,1.1412,1.037,1.0725,1.0378,1.0185,1.0441,1.0338,1.0078,0.9901,0.9776,0.9498,0.91,0.886,0.8914,0.9171,0.9132,0.7502,0.5501,0.5821,0.6331,0.6194,0.653,0.6233,0.5383,0.539,0.5907,0.584,0.4785,0.6016,0.9165,1.0458,1.069,1.0624,1.0047,0.9707,1.0301,1.1658,1.1491,1.0457,1.1187,1.0516,0.8272,0.7712,0.7934,0.8087,0.8305,0.8131,0.7894,0.8464,0.9133,0.9323,0.9161,0.9405,1.0002,1.0237,1.0562,1.0927,1.0884,1.1524,1.2656,1.2863,1.255,1.2579,1.3373,1.3746,1.3457,1.3409,1.3658,1.3906,1.3899,1.4029,1.4122,1.3631,1.3399,1.3744,1.3936,1.2657,1.0636,1.0032,1.0036,1.0403,1.1205,0.8749,0.4618,0.4454,0.5311,0.5191,0.5014,0.4737,0.454,0.4803,0.4766,0.4618,0.5272,0.5608,0.5059})</x:f>
        <x:v>48511.38073361593</x:v>
      </x:c>
    </x:row>
    <x:row r="144" ht="14" customHeight="1">
      <x:c r="A144" s="3">
        <x:v>45831</x:v>
      </x:c>
      <x:c r="B144" s="23" t="n">
        <x:v>675.9529215494791</x:v>
      </x:c>
      <x:c r="C144" s="23" t="n">
        <x:v>666.7543131510416</x:v>
      </x:c>
      <x:c r="D144" s="23" t="n">
        <x:v>680.5050862630208</x:v>
      </x:c>
      <x:c r="E144" s="23" t="n">
        <x:v>684.3191731770833</x:v>
      </x:c>
      <x:c r="F144" s="23" t="n">
        <x:v>677.8132731119791</x:v>
      </x:c>
      <x:c r="G144" s="23" t="n">
        <x:v>680.0048421223958</x:v>
      </x:c>
      <x:c r="H144" s="23" t="n">
        <x:v>695.6780598958333</x:v>
      </x:c>
      <x:c r="I144" s="23" t="n">
        <x:v>684.7389322916666</x:v>
      </x:c>
      <x:c r="J144" s="23" t="n">
        <x:v>648.0216471354166</x:v>
      </x:c>
      <x:c r="K144" s="23" t="n">
        <x:v>660.1510416666666</x:v>
      </x:c>
      <x:c r="L144" s="23" t="n">
        <x:v>636.1615804036458</x:v>
      </x:c>
      <x:c r="M144" s="23" t="n">
        <x:v>617.2536214192708</x:v>
      </x:c>
      <x:c r="N144" s="23" t="n">
        <x:v>636.3563639322916</x:v>
      </x:c>
      <x:c r="O144" s="23" t="n">
        <x:v>636.9547526041666</x:v>
      </x:c>
      <x:c r="P144" s="23" t="n">
        <x:v>615.7106526692708</x:v>
      </x:c>
      <x:c r="Q144" s="23" t="n">
        <x:v>1452.5252685546875</x:v>
      </x:c>
      <x:c r="R144" s="23" t="n">
        <x:v>628.4149983723958</x:v>
      </x:c>
      <x:c r="S144" s="23" t="n">
        <x:v>634.1106363932291</x:v>
      </x:c>
      <x:c r="T144" s="23" t="n">
        <x:v>609.9862467447916</x:v>
      </x:c>
      <x:c r="U144" s="23" t="n">
        <x:v>606.4073893229166</x:v>
      </x:c>
      <x:c r="V144" s="23" t="n">
        <x:v>622.5946451822916</x:v>
      </x:c>
      <x:c r="W144" s="23" t="n">
        <x:v>617.7740885416666</x:v>
      </x:c>
      <x:c r="X144" s="23" t="n">
        <x:v>610.1969807942708</x:v>
      </x:c>
      <x:c r="Y144" s="23" t="n">
        <x:v>620.0105387369791</x:v>
      </x:c>
      <x:c r="Z144" s="23" t="n">
        <x:v>609.3304850260416</x:v>
      </x:c>
      <x:c r="AA144" s="23" t="n">
        <x:v>1442.5978190104165</x:v>
      </x:c>
      <x:c r="AB144" s="23" t="n">
        <x:v>606.3824869791666</x:v>
      </x:c>
      <x:c r="AC144" s="23" t="n">
        <x:v>604.103144516117</x:v>
      </x:c>
      <x:c r="AD144" s="23" t="n">
        <x:v>605.8548177083333</x:v>
      </x:c>
      <x:c r="AE144" s="23" t="n">
        <x:v>913.8670095991486</x:v>
      </x:c>
      <x:c r="AF144" s="23" t="n">
        <x:v>1405.7356467414825</x:v>
      </x:c>
      <x:c r="AG144" s="23" t="n">
        <x:v>1381.026620303759</x:v>
      </x:c>
      <x:c r="AH144" s="23" t="n">
        <x:v>1353.9311183014397</x:v>
      </x:c>
      <x:c r="AI144" s="23" t="n">
        <x:v>1315.328899548193</x:v>
      </x:c>
      <x:c r="AJ144" s="23" t="n">
        <x:v>551.028768541556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464.3967220402922</x:v>
      </x:c>
      <x:c r="AP144" s="23" t="n">
        <x:v>419.8779213664453</x:v>
      </x:c>
      <x:c r="AQ144" s="23" t="n">
        <x:v>367.45076601961375</x:v>
      </x:c>
      <x:c r="AR144" s="23" t="n">
        <x:v>333.07694979342216</x:v>
      </x:c>
      <x:c r="AS144" s="23" t="n">
        <x:v>299.2852338467085</x:v>
      </x:c>
      <x:c r="AT144" s="23" t="n">
        <x:v>235.76078319859477</x:v>
      </x:c>
      <x:c r="AU144" s="23" t="n">
        <x:v>162.76401635428675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0</x:v>
      </x:c>
      <x:c r="BP144" s="23" t="n">
        <x:v>730.1951214011885</x:v>
      </x:c>
      <x:c r="BQ144" s="23" t="n">
        <x:v>727.4252368624343</x:v>
      </x:c>
      <x:c r="BR144" s="23" t="n">
        <x:v>725.2608463070183</x:v>
      </x:c>
      <x:c r="BS144" s="23" t="n">
        <x:v>0</x:v>
      </x:c>
      <x:c r="BT144" s="23" t="n">
        <x:v>0</x:v>
      </x:c>
      <x:c r="BU144" s="23" t="n">
        <x:v>705.0740728929718</x:v>
      </x:c>
      <x:c r="BV144" s="23" t="n">
        <x:v>0</x:v>
      </x:c>
      <x:c r="BW144" s="23" t="n">
        <x:v>454.69830546735426</x:v>
      </x:c>
      <x:c r="BX144" s="23" t="n">
        <x:v>675.5058481415687</x:v>
      </x:c>
      <x:c r="BY144" s="23" t="n">
        <x:v>692.7313962311548</x:v>
      </x:c>
      <x:c r="BZ144" s="23" t="n">
        <x:v>0</x:v>
      </x:c>
      <x:c r="CA144" s="23" t="n">
        <x:v>0</x:v>
      </x:c>
      <x:c r="CB144" s="23" t="n">
        <x:v>0</x:v>
      </x:c>
      <x:c r="CC144" s="23" t="n">
        <x:v>0</x:v>
      </x:c>
      <x:c r="CD144" s="23" t="n">
        <x:v>26.190771491089283</x:v>
      </x:c>
      <x:c r="CE144" s="23" t="n">
        <x:v>0</x:v>
      </x:c>
      <x:c r="CF144" s="23" t="n">
        <x:v>0</x:v>
      </x:c>
      <x:c r="CG144" s="23" t="n">
        <x:v>0</x:v>
      </x:c>
      <x:c r="CH144" s="23" t="n">
        <x:v>121.34406299371736</x:v>
      </x:c>
      <x:c r="CI144" s="23" t="n">
        <x:v>0</x:v>
      </x:c>
      <x:c r="CJ144" s="23" t="n">
        <x:v>94.70295609552545</x:v>
      </x:c>
      <x:c r="CK144" s="23" t="n">
        <x:v>0</x:v>
      </x:c>
      <x:c r="CL144" s="23" t="n">
        <x:v>197.5406383481789</x:v>
      </x:c>
      <x:c r="CM144" s="23" t="n">
        <x:v>220.0617089111276</x:v>
      </x:c>
      <x:c r="CN144" s="23" t="n">
        <x:v>1094.436096266979</x:v>
      </x:c>
      <x:c r="CO144" s="23" t="n">
        <x:v>299.27812692447924</x:v>
      </x:c>
      <x:c r="CP144" s="23" t="n">
        <x:v>359.17964174058335</x:v>
      </x:c>
      <x:c r="CQ144" s="23" t="n">
        <x:v>409.3115622279127</x:v>
      </x:c>
      <x:c r="CR144" s="23" t="n">
        <x:v>442.7832361457702</x:v>
      </x:c>
      <x:c r="CS144" s="23" t="n">
        <x:v>486.59949492967314</x:v>
      </x:c>
      <x:c r="CT144" s="23" t="n">
        <x:v>523.5286650369671</x:v>
      </x:c>
      <x:c r="CU144" s="23" t="n">
        <x:v>557.4759134650609</x:v>
      </x:c>
      <x:c r="CV144" s="23" t="n">
        <x:v>591.0055699331868</x:v>
      </x:c>
      <x:c r="CW144" s="23" t="n">
        <x:v>626.7791614163473</x:v>
      </x:c>
      <x:c r="CX144" s="23" t="n">
        <x:v>675.92118707704</x:v>
      </x:c>
      <x:c r="CY144" s="23" t="n">
        <x:v>716.4936755321623</x:v>
      </x:c>
      <x:c r="CZ144" s="23" t="n">
        <x:v>764.5011843030125</x:v>
      </x:c>
      <x:c r="DA144" s="23" t="n">
        <x:v>804.729870835609</x:v>
      </x:c>
      <x:c r="DB144" s="23" t="n">
        <x:v>831.0565223676465</x:v>
      </x:c>
      <x:c r="DC144" s="23" t="n">
        <x:v>883.793770501052</x:v>
      </x:c>
      <x:c r="DD144" s="23" t="n">
        <x:v>847.2627041001615</x:v>
      </x:c>
      <x:c r="DE144" s="23" t="n">
        <x:v>695.8336432090406</x:v>
      </x:c>
      <x:c r="DF144" s="23" t="n">
        <x:v>633.1162874344141</x:v>
      </x:c>
      <x:c r="DG144" s="23" t="n">
        <x:v>699.9559871545886</x:v>
      </x:c>
      <x:c r="DH144" s="23" t="n">
        <x:v>756.0412143900785</x:v>
      </x:c>
      <x:c r="DI144" s="23" t="n">
        <x:v>44.81538760699125</x:v>
      </x:c>
      <x:c r="DJ144" s="23" t="n">
        <x:v>80.20324703981728</x:v>
      </x:c>
      <x:c r="DK144" s="23" t="n">
        <x:v>87.80823890604566</x:v>
      </x:c>
      <x:c r="DL144" s="23" t="n">
        <x:v>102.48654466145838</x:v>
      </x:c>
      <x:c r="DM144" s="23" t="n">
        <x:v>774.2609507940456</x:v>
      </x:c>
      <x:c r="DN144" s="23" t="n">
        <x:v>880.3330078125</x:v>
      </x:c>
      <x:c r="DO144" s="23" t="n">
        <x:v>81.53232220052087</x:v>
      </x:c>
      <x:c r="DP144" s="23" t="n">
        <x:v>76.22528580729158</x:v>
      </x:c>
      <x:c r="DQ144" s="23" t="n">
        <x:v>109.86957031249995</x:v>
      </x:c>
      <x:c r="DR144" s="23" t="n">
        <x:v>98.07457265624998</x:v>
      </x:c>
      <x:c r="DS144" s="23" t="n">
        <x:v>108.22584140625</x:v>
      </x:c>
      <x:c r="DT144" s="23" t="n">
        <x:v>111.64869466145834</x:v>
      </x:c>
      <x:c r="DU144" s="23" t="n">
        <x:v>106.34333769531258</x:v>
      </x:c>
      <x:c r="DV144" s="23" t="n">
        <x:v>878.2158647786459</x:v>
      </x:c>
      <x:c r="DW144" s="23" t="n">
        <x:v>874.1275227864583</x:v>
      </x:c>
      <x:c r="DX144" s="23" t="n">
        <x:v>870.8398969987782</x:v>
      </x:c>
      <x:c r="DY144" s="23" t="n">
        <x:v>840.6114095052083</x:v>
      </x:c>
      <x:c r="DZ144" s="23" t="n">
        <x:v>876.9661458333333</x:v>
      </x:c>
      <x:c r="EA144" s="23" t="n">
        <x:v>863.2793729166667</x:v>
      </x:c>
      <x:c r="EB144" s="23" t="n">
        <x:v>787.6914164713542</x:v>
      </x:c>
      <x:c r="EC144" s="23" t="n">
        <x:v>1493.9716389973958</x:v>
      </x:c>
      <x:c r="ED144" s="23" t="n">
        <x:v>1470.0924072265625</x:v>
      </x:c>
      <x:c r="EE144" s="23" t="n">
        <x:v>651.6067301432291</x:v>
      </x:c>
      <x:c r="EF144" s="23" t="n">
        <x:v>1493.803955078125</x:v>
      </x:c>
      <x:c r="EG144" s="23" t="n">
        <x:v>1493.0912272135415</x:v>
      </x:c>
      <x:c r="EH144" s="23" t="n">
        <x:v>689.2464192708333</x:v>
      </x:c>
      <x:c r="EI144" s="23" t="n">
        <x:v>698.546875</x:v>
      </x:c>
      <x:c r="EJ144" s="23" t="n">
        <x:v>672.7814127604166</x:v>
      </x:c>
      <x:c r="EK144" s="23" t="n">
        <x:v>662.8941650390625</x:v>
      </x:c>
      <x:c r="EL144" s="23" t="n">
        <x:v>1486.877726236979</x:v>
      </x:c>
      <x:c r="EM144" s="23" t="n">
        <x:v>687.3872884114583</x:v>
      </x:c>
      <x:c r="EN144" s="23" t="n">
        <x:v>957.9599820360725</x:v>
      </x:c>
      <x:c r="EO144" s="23" t="n">
        <x:v>1498.1315511067708</x:v>
      </x:c>
      <x:c r="EP144" s="23" t="n">
        <x:f>SUM(B144:EO144)</x:f>
        <x:v>71049.96075243791</x:v>
      </x:c>
      <x:c r="EQ144" s="23" t="n">
        <x:f>SUMPRODUCT(B144:EO144,{0.4269,0.4355,0.4996,0.483,0.4485,0.4404,0.4368,0.4315,0.4368,0.4651,0.473,0.4517,0.4352,0.4365,0.449,0.458,0.4693,0.4842,0.4935,0.4904,0.4741,0.4577,0.481,0.507,0.4596,0.4331,0.4522,0.4533,0.471,0.4901,0.4556,0.4474,0.4362,0.3539,0.5304,0.8626,0.8905,0.8491,0.8677,0.8285,0.7644,0.7254,0.7283,0.7493,0.7196,0.6269,0.8038,1.1436,1.1806,1.1073,1.0968,1.1213,1.1074,1.0702,1.0859,1.0876,1.051,1.0158,0.9661,0.9268,0.9428,0.9186,0.8643,0.8684,0.7774,0.6034,0.5349,0.554,0.5704,0.5129,0.4571,0.4693,0.5448,0.5799,0.5342,0.4925,0.6739,0.9409,0.9332,0.9411,1.0418,1.0237,1.0309,1.101,1.1123,1.1054,1.1342,1.1661,0.9633,0.6851,0.7461,0.8037,0.737,0.7615,0.7787,0.7813,0.8754,0.9308,0.9187,0.9466,1.0158,1.0684,1.0507,1.0456,1.0585,1.0361,1.1263,1.2937,1.3311,1.2851,1.265,1.3307,1.3642,1.3386,1.3424,1.3768,1.4016,1.3821,1.3765,1.3895,1.3717,1.3623,1.3864,1.4023,1.26,1.0431,0.9982,0.9929,0.9956,1.0654,0.8552,0.4986,0.5011,0.5406,0.4828,0.5123,0.4942,0.4401,0.5097,0.5408,0.4955,0.4995,0.5071,0.4859})</x:f>
        <x:v>47872.429126034076</x:v>
      </x:c>
    </x:row>
    <x:row r="145" ht="14" customHeight="1">
      <x:c r="A145" s="3">
        <x:v>45832</x:v>
      </x:c>
      <x:c r="B145" s="23" t="n">
        <x:v>675.5789388020833</x:v>
      </x:c>
      <x:c r="C145" s="23" t="n">
        <x:v>681.6309000651041</x:v>
      </x:c>
      <x:c r="D145" s="23" t="n">
        <x:v>656.7194010416666</x:v>
      </x:c>
      <x:c r="E145" s="23" t="n">
        <x:v>659.8428141276041</x:v>
      </x:c>
      <x:c r="F145" s="23" t="n">
        <x:v>685.3743489583333</x:v>
      </x:c>
      <x:c r="G145" s="23" t="n">
        <x:v>670.3260498046875</x:v>
      </x:c>
      <x:c r="H145" s="23" t="n">
        <x:v>651.4024658203125</x:v>
      </x:c>
      <x:c r="I145" s="23" t="n">
        <x:v>639.7230631510416</x:v>
      </x:c>
      <x:c r="J145" s="23" t="n">
        <x:v>633.7499593098958</x:v>
      </x:c>
      <x:c r="K145" s="23" t="n">
        <x:v>635.447998046875</x:v>
      </x:c>
      <x:c r="L145" s="23" t="n">
        <x:v>631.1351318359375</x:v>
      </x:c>
      <x:c r="M145" s="23" t="n">
        <x:v>635.758056640625</x:v>
      </x:c>
      <x:c r="N145" s="23" t="n">
        <x:v>611.3251546223958</x:v>
      </x:c>
      <x:c r="O145" s="23" t="n">
        <x:v>616.6326090494791</x:v>
      </x:c>
      <x:c r="P145" s="23" t="n">
        <x:v>655.5267740885416</x:v>
      </x:c>
      <x:c r="Q145" s="23" t="n">
        <x:v>631.6975911458333</x:v>
      </x:c>
      <x:c r="R145" s="23" t="n">
        <x:v>617.1875813802083</x:v>
      </x:c>
      <x:c r="S145" s="23" t="n">
        <x:v>632.662109375</x:v>
      </x:c>
      <x:c r="T145" s="23" t="n">
        <x:v>623.7821451822916</x:v>
      </x:c>
      <x:c r="U145" s="23" t="n">
        <x:v>619.7122395833333</x:v>
      </x:c>
      <x:c r="V145" s="23" t="n">
        <x:v>616.7078043619791</x:v>
      </x:c>
      <x:c r="W145" s="23" t="n">
        <x:v>622.6790771484375</x:v>
      </x:c>
      <x:c r="X145" s="23" t="n">
        <x:v>620.0212809244791</x:v>
      </x:c>
      <x:c r="Y145" s="23" t="n">
        <x:v>613.9458414713541</x:v>
      </x:c>
      <x:c r="Z145" s="23" t="n">
        <x:v>1436.8988037109375</x:v>
      </x:c>
      <x:c r="AA145" s="23" t="n">
        <x:v>1434.3888753255208</x:v>
      </x:c>
      <x:c r="AB145" s="23" t="n">
        <x:v>1438.6267903645833</x:v>
      </x:c>
      <x:c r="AC145" s="23" t="n">
        <x:v>1117.3501343314056</x:v>
      </x:c>
      <x:c r="AD145" s="23" t="n">
        <x:v>609.7958577473958</x:v>
      </x:c>
      <x:c r="AE145" s="23" t="n">
        <x:v>614.6046438274917</x:v>
      </x:c>
      <x:c r="AF145" s="23" t="n">
        <x:v>579.5542904361305</x:v>
      </x:c>
      <x:c r="AG145" s="23" t="n">
        <x:v>1379.0105624414027</x:v>
      </x:c>
      <x:c r="AH145" s="23" t="n">
        <x:v>1357.6714529632732</x:v>
      </x:c>
      <x:c r="AI145" s="23" t="n">
        <x:v>1312.1081543327869</x:v>
      </x:c>
      <x:c r="AJ145" s="23" t="n">
        <x:v>515.9549407866295</x:v>
      </x:c>
      <x:c r="AK145" s="23" t="n">
        <x:v>0</x:v>
      </x:c>
      <x:c r="AL145" s="23" t="n">
        <x:v>0</x:v>
      </x:c>
      <x:c r="AM145" s="23" t="n">
        <x:v>0</x:v>
      </x:c>
      <x:c r="AN145" s="23" t="n">
        <x:v>498.73233106345674</x:v>
      </x:c>
      <x:c r="AO145" s="23" t="n">
        <x:v>461.29044901847993</x:v>
      </x:c>
      <x:c r="AP145" s="23" t="n">
        <x:v>413.5888451948467</x:v>
      </x:c>
      <x:c r="AQ145" s="23" t="n">
        <x:v>365.0058858819649</x:v>
      </x:c>
      <x:c r="AR145" s="23" t="n">
        <x:v>322.1660254896961</x:v>
      </x:c>
      <x:c r="AS145" s="23" t="n">
        <x:v>291.55744336332674</x:v>
      </x:c>
      <x:c r="AT145" s="23" t="n">
        <x:v>242.94826784681783</x:v>
      </x:c>
      <x:c r="AU145" s="23" t="n">
        <x:v>469.1236319936902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0</x:v>
      </x:c>
      <x:c r="BP145" s="23" t="n">
        <x:v>715.0161709007245</x:v>
      </x:c>
      <x:c r="BQ145" s="23" t="n">
        <x:v>711.8861973262581</x:v>
      </x:c>
      <x:c r="BR145" s="23" t="n">
        <x:v>0</x:v>
      </x:c>
      <x:c r="BS145" s="23" t="n">
        <x:v>0</x:v>
      </x:c>
      <x:c r="BT145" s="23" t="n">
        <x:v>0</x:v>
      </x:c>
      <x:c r="BU145" s="23" t="n">
        <x:v>0</x:v>
      </x:c>
      <x:c r="BV145" s="23" t="n">
        <x:v>661.7740729885247</x:v>
      </x:c>
      <x:c r="BW145" s="23" t="n">
        <x:v>649.8066158393212</x:v>
      </x:c>
      <x:c r="BX145" s="23" t="n">
        <x:v>652.9501902884691</x:v>
      </x:c>
      <x:c r="BY145" s="23" t="n">
        <x:v>0</x:v>
      </x:c>
      <x:c r="BZ145" s="23" t="n">
        <x:v>0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199.8256250329726</x:v>
      </x:c>
      <x:c r="CM145" s="23" t="n">
        <x:v>734.1371490078898</x:v>
      </x:c>
      <x:c r="CN145" s="23" t="n">
        <x:v>1087.1383273983229</x:v>
      </x:c>
      <x:c r="CO145" s="23" t="n">
        <x:v>284.91383194215734</x:v>
      </x:c>
      <x:c r="CP145" s="23" t="n">
        <x:v>341.32023243686365</x:v>
      </x:c>
      <x:c r="CQ145" s="23" t="n">
        <x:v>391.1771120402942</x:v>
      </x:c>
      <x:c r="CR145" s="23" t="n">
        <x:v>425.74116797142534</x:v>
      </x:c>
      <x:c r="CS145" s="23" t="n">
        <x:v>473.02294250152863</x:v>
      </x:c>
      <x:c r="CT145" s="23" t="n">
        <x:v>541.6918499845483</x:v>
      </x:c>
      <x:c r="CU145" s="23" t="n">
        <x:v>589.6254537419404</x:v>
      </x:c>
      <x:c r="CV145" s="23" t="n">
        <x:v>608.303453645577</x:v>
      </x:c>
      <x:c r="CW145" s="23" t="n">
        <x:v>633.0052760245558</x:v>
      </x:c>
      <x:c r="CX145" s="23" t="n">
        <x:v>673.5677537350717</x:v>
      </x:c>
      <x:c r="CY145" s="23" t="n">
        <x:v>704.3870471778642</x:v>
      </x:c>
      <x:c r="CZ145" s="23" t="n">
        <x:v>748.8279796670878</x:v>
      </x:c>
      <x:c r="DA145" s="23" t="n">
        <x:v>780.1449326332097</x:v>
      </x:c>
      <x:c r="DB145" s="23" t="n">
        <x:v>827.9860737037043</x:v>
      </x:c>
      <x:c r="DC145" s="23" t="n">
        <x:v>883.2657197053709</x:v>
      </x:c>
      <x:c r="DD145" s="23" t="n">
        <x:v>854.3034409646381</x:v>
      </x:c>
      <x:c r="DE145" s="23" t="n">
        <x:v>653.0011460543601</x:v>
      </x:c>
      <x:c r="DF145" s="23" t="n">
        <x:v>636.4156532621382</x:v>
      </x:c>
      <x:c r="DG145" s="23" t="n">
        <x:v>740.2659931633303</x:v>
      </x:c>
      <x:c r="DH145" s="23" t="n">
        <x:v>794.6955983260623</x:v>
      </x:c>
      <x:c r="DI145" s="23" t="n">
        <x:v>48.14368291578618</x:v>
      </x:c>
      <x:c r="DJ145" s="23" t="n">
        <x:v>79.9721238588742</x:v>
      </x:c>
      <x:c r="DK145" s="23" t="n">
        <x:v>71.66821652964002</x:v>
      </x:c>
      <x:c r="DL145" s="23" t="n">
        <x:v>77.49142747395838</x:v>
      </x:c>
      <x:c r="DM145" s="23" t="n">
        <x:v>107.70763107114786</x:v>
      </x:c>
      <x:c r="DN145" s="23" t="n">
        <x:v>866.3749186197916</x:v>
      </x:c>
      <x:c r="DO145" s="23" t="n">
        <x:v>760.3141474384681</x:v>
      </x:c>
      <x:c r="DP145" s="23" t="n">
        <x:v>91.56317643229158</x:v>
      </x:c>
      <x:c r="DQ145" s="23" t="n">
        <x:v>117.3873111979166</x:v>
      </x:c>
      <x:c r="DR145" s="23" t="n">
        <x:v>90.36925039062498</x:v>
      </x:c>
      <x:c r="DS145" s="23" t="n">
        <x:v>111.94963697916667</x:v>
      </x:c>
      <x:c r="DT145" s="23" t="n">
        <x:v>125.74293294270834</x:v>
      </x:c>
      <x:c r="DU145" s="23" t="n">
        <x:v>127.61238066406258</x:v>
      </x:c>
      <x:c r="DV145" s="23" t="n">
        <x:v>885.3264604817709</x:v>
      </x:c>
      <x:c r="DW145" s="23" t="n">
        <x:v>880.7030436197916</x:v>
      </x:c>
      <x:c r="DX145" s="23" t="n">
        <x:v>886.7471235612782</x:v>
      </x:c>
      <x:c r="DY145" s="23" t="n">
        <x:v>875.890869140625</x:v>
      </x:c>
      <x:c r="DZ145" s="23" t="n">
        <x:v>866.3636067708333</x:v>
      </x:c>
      <x:c r="EA145" s="23" t="n">
        <x:v>873.0178169270835</x:v>
      </x:c>
      <x:c r="EB145" s="23" t="n">
        <x:v>795.9530538411459</x:v>
      </x:c>
      <x:c r="EC145" s="23" t="n">
        <x:v>716.9208170572916</x:v>
      </x:c>
      <x:c r="ED145" s="23" t="n">
        <x:v>1514.0722249348958</x:v>
      </x:c>
      <x:c r="EE145" s="23" t="n">
        <x:v>1513.349853515625</x:v>
      </x:c>
      <x:c r="EF145" s="23" t="n">
        <x:v>1499.7084554036458</x:v>
      </x:c>
      <x:c r="EG145" s="23" t="n">
        <x:v>710.1097819010416</x:v>
      </x:c>
      <x:c r="EH145" s="23" t="n">
        <x:v>1536.5812174479165</x:v>
      </x:c>
      <x:c r="EI145" s="23" t="n">
        <x:v>1505.8564453125</x:v>
      </x:c>
      <x:c r="EJ145" s="23" t="n">
        <x:v>719.3603515625</x:v>
      </x:c>
      <x:c r="EK145" s="23" t="n">
        <x:v>723.8412272135416</x:v>
      </x:c>
      <x:c r="EL145" s="23" t="n">
        <x:v>702.7941080729166</x:v>
      </x:c>
      <x:c r="EM145" s="23" t="n">
        <x:v>669.7151285807291</x:v>
      </x:c>
      <x:c r="EN145" s="23" t="n">
        <x:v>1510.566162109375</x:v>
      </x:c>
      <x:c r="EO145" s="23" t="n">
        <x:v>950.4073290412808</x:v>
      </x:c>
      <x:c r="EP145" s="23" t="n">
        <x:f>SUM(B145:EO145)</x:f>
        <x:v>71210.72564253176</x:v>
      </x:c>
      <x:c r="EQ145" s="23" t="n">
        <x:f>SUMPRODUCT(B145:EO145,{0.4611,0.452,0.4707,0.5037,0.4636,0.3998,0.4557,0.5327,0.5376,0.4785,0.4907,0.5551,0.5255,0.4874,0.4739,0.4353,0.4337,0.4575,0.4326,0.443,0.4853,0.4671,0.4473,0.447,0.4248,0.397,0.4006,0.4532,0.4789,0.4613,0.4545,0.459,0.4274,0.3611,0.5719,0.9225,0.9333,0.8502,0.8501,0.8633,0.8609,0.8253,0.7593,0.7442,0.736,0.6596,0.8695,1.2354,1.2384,1.1681,1.1743,1.1212,1.1152,1.1619,1.1476,1.1375,1.1384,1.0897,1.075,1.1014,1.0923,1.0875,1.1163,1.1286,0.9344,0.6683,0.6708,0.6843,0.6345,0.6997,0.7299,0.6765,0.6527,0.6657,0.6485,0.5688,0.6998,0.9754,1.0409,1.0405,1.0781,1.0969,1.0793,1.0535,1.0635,1.0804,1.1119,1.162,1.0148,0.7775,0.7899,0.8208,0.7907,0.851,0.8875,0.8866,0.9536,0.9959,0.9811,0.9718,0.9673,0.9741,1.0141,1.0737,1.1061,1.0851,1.1556,1.2907,1.3125,1.2957,1.3046,1.3299,1.3704,1.4031,1.3988,1.3999,1.4089,1.3859,1.3544,1.3589,1.4125,1.3917,1.3467,1.4158,1.2783,0.9982,0.9836,1.0214,1.0065,1.0179,0.8157,0.5084,0.4772,0.4868,0.4443,0.4943,0.5322,0.5154,0.5141,0.5366,0.538,0.4773,0.4661,0.5013})</x:f>
        <x:v>49046.18198702794</x:v>
      </x:c>
    </x:row>
    <x:row r="146" ht="14" customHeight="1">
      <x:c r="A146" s="3">
        <x:v>45833</x:v>
      </x:c>
      <x:c r="B146" s="23" t="n">
        <x:v>669.1649983723958</x:v>
      </x:c>
      <x:c r="C146" s="23" t="n">
        <x:v>678.7652994791666</x:v>
      </x:c>
      <x:c r="D146" s="23" t="n">
        <x:v>0</x:v>
      </x:c>
      <x:c r="E146" s="23" t="n">
        <x:v>666.9621988932291</x:v>
      </x:c>
      <x:c r="F146" s="23" t="n">
        <x:v>652.6519368489583</x:v>
      </x:c>
      <x:c r="G146" s="23" t="n">
        <x:v>646.7677001953125</x:v>
      </x:c>
      <x:c r="H146" s="23" t="n">
        <x:v>663.7956136067708</x:v>
      </x:c>
      <x:c r="I146" s="23" t="n">
        <x:v>681.5423177083333</x:v>
      </x:c>
      <x:c r="J146" s="23" t="n">
        <x:v>673.9813232421875</x:v>
      </x:c>
      <x:c r="K146" s="23" t="n">
        <x:v>648.4563802083333</x:v>
      </x:c>
      <x:c r="L146" s="23" t="n">
        <x:v>645.139892578125</x:v>
      </x:c>
      <x:c r="M146" s="23" t="n">
        <x:v>672.3470458984375</x:v>
      </x:c>
      <x:c r="N146" s="23" t="n">
        <x:v>647.1183675130208</x:v>
      </x:c>
      <x:c r="O146" s="23" t="n">
        <x:v>628.12744140625</x:v>
      </x:c>
      <x:c r="P146" s="23" t="n">
        <x:v>622.9032389322916</x:v>
      </x:c>
      <x:c r="Q146" s="23" t="n">
        <x:v>621.1815999348958</x:v>
      </x:c>
      <x:c r="R146" s="23" t="n">
        <x:v>624.2481689453125</x:v>
      </x:c>
      <x:c r="S146" s="23" t="n">
        <x:v>613.8821207682291</x:v>
      </x:c>
      <x:c r="T146" s="23" t="n">
        <x:v>609.9685872395833</x:v>
      </x:c>
      <x:c r="U146" s="23" t="n">
        <x:v>608.8451334635416</x:v>
      </x:c>
      <x:c r="V146" s="23" t="n">
        <x:v>610.6194661458333</x:v>
      </x:c>
      <x:c r="W146" s="23" t="n">
        <x:v>1445.1116943359375</x:v>
      </x:c>
      <x:c r="X146" s="23" t="n">
        <x:v>916.2155691349996</x:v>
      </x:c>
      <x:c r="Y146" s="23" t="n">
        <x:v>602.9709065755208</x:v>
      </x:c>
      <x:c r="Z146" s="23" t="n">
        <x:v>1432.4136555989583</x:v>
      </x:c>
      <x:c r="AA146" s="23" t="n">
        <x:v>1433.8016764322915</x:v>
      </x:c>
      <x:c r="AB146" s="23" t="n">
        <x:v>1438.687744140625</x:v>
      </x:c>
      <x:c r="AC146" s="23" t="n">
        <x:v>1440.1316514632676</x:v>
      </x:c>
      <x:c r="AD146" s="23" t="n">
        <x:v>618.3038330078125</x:v>
      </x:c>
      <x:c r="AE146" s="23" t="n">
        <x:v>609.5399188209728</x:v>
      </x:c>
      <x:c r="AF146" s="23" t="n">
        <x:v>576.5227650206622</x:v>
      </x:c>
      <x:c r="AG146" s="23" t="n">
        <x:v>548.0848732170771</x:v>
      </x:c>
      <x:c r="AH146" s="23" t="n">
        <x:v>1363.4402854623845</x:v>
      </x:c>
      <x:c r="AI146" s="23" t="n">
        <x:v>1307.6613458345576</x:v>
      </x:c>
      <x:c r="AJ146" s="23" t="n">
        <x:v>501.68400748279083</x:v>
      </x:c>
      <x:c r="AK146" s="23" t="n">
        <x:v>0</x:v>
      </x:c>
      <x:c r="AL146" s="23" t="n">
        <x:v>0</x:v>
      </x:c>
      <x:c r="AM146" s="23" t="n">
        <x:v>534.6189004047322</x:v>
      </x:c>
      <x:c r="AN146" s="23" t="n">
        <x:v>0</x:v>
      </x:c>
      <x:c r="AO146" s="23" t="n">
        <x:v>466.16377916293624</x:v>
      </x:c>
      <x:c r="AP146" s="23" t="n">
        <x:v>418.6995558201012</x:v>
      </x:c>
      <x:c r="AQ146" s="23" t="n">
        <x:v>0</x:v>
      </x:c>
      <x:c r="AR146" s="23" t="n">
        <x:v>331.0896829991005</x:v>
      </x:c>
      <x:c r="AS146" s="23" t="n">
        <x:v>294.45717194994097</x:v>
      </x:c>
      <x:c r="AT146" s="23" t="n">
        <x:v>258.3026095687149</x:v>
      </x:c>
      <x:c r="AU146" s="23" t="n">
        <x:v>200.02495095661757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746.3968632499748</x:v>
      </x:c>
      <x:c r="BP146" s="23" t="n">
        <x:v>751.0040667780577</x:v>
      </x:c>
      <x:c r="BQ146" s="23" t="n">
        <x:v>120.04050963813805</x:v>
      </x:c>
      <x:c r="BR146" s="23" t="n">
        <x:v>750.9032754606965</x:v>
      </x:c>
      <x:c r="BS146" s="23" t="n">
        <x:v>0</x:v>
      </x:c>
      <x:c r="BT146" s="23" t="n">
        <x:v>0</x:v>
      </x:c>
      <x:c r="BU146" s="23" t="n">
        <x:v>703.5497319378134</x:v>
      </x:c>
      <x:c r="BV146" s="23" t="n">
        <x:v>709.4134997826397</x:v>
      </x:c>
      <x:c r="BW146" s="23" t="n">
        <x:v>0</x:v>
      </x:c>
      <x:c r="BX146" s="23" t="n">
        <x:v>701.5682328666846</x:v>
      </x:c>
      <x:c r="BY146" s="23" t="n">
        <x:v>678.0910453711217</x:v>
      </x:c>
      <x:c r="BZ146" s="23" t="n">
        <x:v>0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214.08407475870564</x:v>
      </x:c>
      <x:c r="CM146" s="23" t="n">
        <x:v>732.3279910489944</x:v>
      </x:c>
      <x:c r="CN146" s="23" t="n">
        <x:v>1119.1407845503772</x:v>
      </x:c>
      <x:c r="CO146" s="23" t="n">
        <x:v>331.3619973411329</x:v>
      </x:c>
      <x:c r="CP146" s="23" t="n">
        <x:v>375.1006201941321</x:v>
      </x:c>
      <x:c r="CQ146" s="23" t="n">
        <x:v>423.1353700712531</x:v>
      </x:c>
      <x:c r="CR146" s="23" t="n">
        <x:v>458.2118331670884</x:v>
      </x:c>
      <x:c r="CS146" s="23" t="n">
        <x:v>489.13784206490584</x:v>
      </x:c>
      <x:c r="CT146" s="23" t="n">
        <x:v>549.5185228575112</x:v>
      </x:c>
      <x:c r="CU146" s="23" t="n">
        <x:v>591.0925131138683</x:v>
      </x:c>
      <x:c r="CV146" s="23" t="n">
        <x:v>610.6173912141226</x:v>
      </x:c>
      <x:c r="CW146" s="23" t="n">
        <x:v>639.6934894120243</x:v>
      </x:c>
      <x:c r="CX146" s="23" t="n">
        <x:v>662.2591957503976</x:v>
      </x:c>
      <x:c r="CY146" s="23" t="n">
        <x:v>691.3805015698665</x:v>
      </x:c>
      <x:c r="CZ146" s="23" t="n">
        <x:v>741.2723042833425</x:v>
      </x:c>
      <x:c r="DA146" s="23" t="n">
        <x:v>796.816160291272</x:v>
      </x:c>
      <x:c r="DB146" s="23" t="n">
        <x:v>847.1851610072456</x:v>
      </x:c>
      <x:c r="DC146" s="23" t="n">
        <x:v>893.5826012866694</x:v>
      </x:c>
      <x:c r="DD146" s="23" t="n">
        <x:v>863.8312406167731</x:v>
      </x:c>
      <x:c r="DE146" s="23" t="n">
        <x:v>727.9905794557508</x:v>
      </x:c>
      <x:c r="DF146" s="23" t="n">
        <x:v>692.1821889862169</x:v>
      </x:c>
      <x:c r="DG146" s="23" t="n">
        <x:v>746.7005181788991</x:v>
      </x:c>
      <x:c r="DH146" s="23" t="n">
        <x:v>766.8759421879113</x:v>
      </x:c>
      <x:c r="DI146" s="23" t="n">
        <x:v>39.08578020147312</x:v>
      </x:c>
      <x:c r="DJ146" s="23" t="n">
        <x:v>79.9671417404182</x:v>
      </x:c>
      <x:c r="DK146" s="23" t="n">
        <x:v>69.61403073417053</x:v>
      </x:c>
      <x:c r="DL146" s="23" t="n">
        <x:v>88.89922369791671</x:v>
      </x:c>
      <x:c r="DM146" s="23" t="n">
        <x:v>109.6923171152821</x:v>
      </x:c>
      <x:c r="DN146" s="23" t="n">
        <x:v>123.5423404947916</x:v>
      </x:c>
      <x:c r="DO146" s="23" t="n">
        <x:v>79.9218078776042</x:v>
      </x:c>
      <x:c r="DP146" s="23" t="n">
        <x:v>72.99611914062491</x:v>
      </x:c>
      <x:c r="DQ146" s="23" t="n">
        <x:v>76.17938476562495</x:v>
      </x:c>
      <x:c r="DR146" s="23" t="n">
        <x:v>873.8307291666666</x:v>
      </x:c>
      <x:c r="DS146" s="23" t="n">
        <x:v>757.0966208108645</x:v>
      </x:c>
      <x:c r="DT146" s="23" t="n">
        <x:v>110.82952148437501</x:v>
      </x:c>
      <x:c r="DU146" s="23" t="n">
        <x:v>99.12816842447924</x:v>
      </x:c>
      <x:c r="DV146" s="23" t="n">
        <x:v>845.0191688151042</x:v>
      </x:c>
      <x:c r="DW146" s="23" t="n">
        <x:v>828.343017578125</x:v>
      </x:c>
      <x:c r="DX146" s="23" t="n">
        <x:v>905.7481815039865</x:v>
      </x:c>
      <x:c r="DY146" s="23" t="n">
        <x:v>891.251708984375</x:v>
      </x:c>
      <x:c r="DZ146" s="23" t="n">
        <x:v>879.8890787760416</x:v>
      </x:c>
      <x:c r="EA146" s="23" t="n">
        <x:v>870.3733670572917</x:v>
      </x:c>
      <x:c r="EB146" s="23" t="n">
        <x:v>786.7929789713542</x:v>
      </x:c>
      <x:c r="EC146" s="23" t="n">
        <x:v>680.3694661458333</x:v>
      </x:c>
      <x:c r="ED146" s="23" t="n">
        <x:v>1500.703409830729</x:v>
      </x:c>
      <x:c r="EE146" s="23" t="n">
        <x:v>686.16259765625</x:v>
      </x:c>
      <x:c r="EF146" s="23" t="n">
        <x:v>1530.0013834635415</x:v>
      </x:c>
      <x:c r="EG146" s="23" t="n">
        <x:v>1546.9549153645833</x:v>
      </x:c>
      <x:c r="EH146" s="23" t="n">
        <x:v>1535.4943033854165</x:v>
      </x:c>
      <x:c r="EI146" s="23" t="n">
        <x:v>932.2992968147183</x:v>
      </x:c>
      <x:c r="EJ146" s="23" t="n">
        <x:v>1505.796915690104</x:v>
      </x:c>
      <x:c r="EK146" s="23" t="n">
        <x:v>690.9986979166666</x:v>
      </x:c>
      <x:c r="EL146" s="23" t="n">
        <x:v>686.6625162760416</x:v>
      </x:c>
      <x:c r="EM146" s="23" t="n">
        <x:v>670.6918131510416</x:v>
      </x:c>
      <x:c r="EN146" s="23" t="n">
        <x:v>1503.321533203125</x:v>
      </x:c>
      <x:c r="EO146" s="23" t="n">
        <x:v>676.1091715494791</x:v>
      </x:c>
      <x:c r="EP146" s="23" t="n">
        <x:f>SUM(B146:EO146)</x:f>
        <x:v>72482.62816505194</x:v>
      </x:c>
      <x:c r="EQ146" s="23" t="n">
        <x:f>SUMPRODUCT(B146:EO146,{0.4725,0.449,0.4742,0.5107,0.4944,0.4452,0.4444,0.4607,0.4677,0.4702,0.4614,0.4467,0.4415,0.4414,0.4391,0.4365,0.4598,0.4704,0.4114,0.4248,0.4954,0.4665,0.4431,0.4602,0.4464,0.4496,0.448,0.3744,0.3753,0.4484,0.4429,0.423,0.3952,0.3384,0.5516,0.9048,0.9314,0.8501,0.8434,0.8655,0.8195,0.7358,0.7357,0.7533,0.7235,0.6856,0.8792,1.1815,1.2031,1.128,1.1088,1.121,1.1495,1.147,1.0745,1.0647,1.1001,1.0392,1.007,1.0507,1.0786,1.0373,0.9938,1.0358,0.9137,0.6874,0.6853,0.7361,0.7086,0.6452,0.602,0.5875,0.5701,0.5541,0.5261,0.5031,0.7126,1.0237,1.0443,0.9759,0.9606,0.9498,0.9782,1.0193,1.0016,1.0067,1.0979,1.2113,1.0267,0.6904,0.6931,0.7959,0.8289,0.8547,0.8417,0.8194,0.8655,0.9039,0.9051,0.9157,0.9408,0.9724,1.0018,1.0246,1.0408,1.0666,1.1626,1.2842,1.3176,1.3325,1.3552,1.3474,1.3681,1.3944,1.3485,1.357,1.4004,1.3352,1.3072,1.3642,1.3968,1.3603,1.3271,1.3775,1.244,1.0112,1.0408,1.0635,1.0207,1.085,0.8865,0.5111,0.4553,0.4847,0.4741,0.5338,0.5313,0.4552,0.4379,0.4513,0.4671,0.489,0.4829,0.4744})</x:f>
        <x:v>48766.239120342645</x:v>
      </x:c>
    </x:row>
    <x:row r="147" ht="14" customHeight="1">
      <x:c r="A147" s="3">
        <x:v>45834</x:v>
      </x:c>
      <x:c r="B147" s="23" t="n">
        <x:v>689.9733072916666</x:v>
      </x:c>
      <x:c r="C147" s="23" t="n">
        <x:v>669.7383626302083</x:v>
      </x:c>
      <x:c r="D147" s="23" t="n">
        <x:v>311.50549747981887</x:v>
      </x:c>
      <x:c r="E147" s="23" t="n">
        <x:v>677.65283203125</x:v>
      </x:c>
      <x:c r="F147" s="23" t="n">
        <x:v>682.9083658854166</x:v>
      </x:c>
      <x:c r="G147" s="23" t="n">
        <x:v>632.0015869140625</x:v>
      </x:c>
      <x:c r="H147" s="23" t="n">
        <x:v>646.9974772135416</x:v>
      </x:c>
      <x:c r="I147" s="23" t="n">
        <x:v>658.7972819010416</x:v>
      </x:c>
      <x:c r="J147" s="23" t="n">
        <x:v>640.9109700520833</x:v>
      </x:c>
      <x:c r="K147" s="23" t="n">
        <x:v>625.4046630859375</x:v>
      </x:c>
      <x:c r="L147" s="23" t="n">
        <x:v>627.9726969401041</x:v>
      </x:c>
      <x:c r="M147" s="23" t="n">
        <x:v>633.64599609375</x:v>
      </x:c>
      <x:c r="N147" s="23" t="n">
        <x:v>636.789306640625</x:v>
      </x:c>
      <x:c r="O147" s="23" t="n">
        <x:v>630.52099609375</x:v>
      </x:c>
      <x:c r="P147" s="23" t="n">
        <x:v>632.07666015625</x:v>
      </x:c>
      <x:c r="Q147" s="23" t="n">
        <x:v>621.91845703125</x:v>
      </x:c>
      <x:c r="R147" s="23" t="n">
        <x:v>624.69140625</x:v>
      </x:c>
      <x:c r="S147" s="23" t="n">
        <x:v>648.4106852213541</x:v>
      </x:c>
      <x:c r="T147" s="23" t="n">
        <x:v>630.6619466145833</x:v>
      </x:c>
      <x:c r="U147" s="23" t="n">
        <x:v>623.4004313151041</x:v>
      </x:c>
      <x:c r="V147" s="23" t="n">
        <x:v>630.5376790364583</x:v>
      </x:c>
      <x:c r="W147" s="23" t="n">
        <x:v>615.9536946614583</x:v>
      </x:c>
      <x:c r="X147" s="23" t="n">
        <x:v>606.2365315755208</x:v>
      </x:c>
      <x:c r="Y147" s="23" t="n">
        <x:v>1440.760294596354</x:v>
      </x:c>
      <x:c r="Z147" s="23" t="n">
        <x:v>1434.6595458984375</x:v>
      </x:c>
      <x:c r="AA147" s="23" t="n">
        <x:v>1434.6325276692708</x:v>
      </x:c>
      <x:c r="AB147" s="23" t="n">
        <x:v>1438.6471354166665</x:v>
      </x:c>
      <x:c r="AC147" s="23" t="n">
        <x:v>596.5378116941104</x:v>
      </x:c>
      <x:c r="AD147" s="23" t="n">
        <x:v>606.0717366536458</x:v>
      </x:c>
      <x:c r="AE147" s="23" t="n">
        <x:v>1432.5545686314917</x:v>
      </x:c>
      <x:c r="AF147" s="23" t="n">
        <x:v>568.6075646556793</x:v>
      </x:c>
      <x:c r="AG147" s="23" t="n">
        <x:v>542.3820727882617</x:v>
      </x:c>
      <x:c r="AH147" s="23" t="n">
        <x:v>1349.2739369622732</x:v>
      </x:c>
      <x:c r="AI147" s="23" t="n">
        <x:v>1304.7475352383199</x:v>
      </x:c>
      <x:c r="AJ147" s="23" t="n">
        <x:v>519.9053810912246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469.4587511289934</x:v>
      </x:c>
      <x:c r="AP147" s="23" t="n">
        <x:v>425.3235473345403</x:v>
      </x:c>
      <x:c r="AQ147" s="23" t="n">
        <x:v>371.5898865156828</x:v>
      </x:c>
      <x:c r="AR147" s="23" t="n">
        <x:v>323.9872797824469</x:v>
      </x:c>
      <x:c r="AS147" s="23" t="n">
        <x:v>289.67484480080077</x:v>
      </x:c>
      <x:c r="AT147" s="23" t="n">
        <x:v>254.5123723412984</x:v>
      </x:c>
      <x:c r="AU147" s="23" t="n">
        <x:v>1030.6081984433188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0</x:v>
      </x:c>
      <x:c r="BP147" s="23" t="n">
        <x:v>779.9525719406076</x:v>
      </x:c>
      <x:c r="BQ147" s="23" t="n">
        <x:v>772.0559890199999</x:v>
      </x:c>
      <x:c r="BR147" s="23" t="n">
        <x:v>0</x:v>
      </x:c>
      <x:c r="BS147" s="23" t="n">
        <x:v>0</x:v>
      </x:c>
      <x:c r="BT147" s="23" t="n">
        <x:v>0</x:v>
      </x:c>
      <x:c r="BU147" s="23" t="n">
        <x:v>698.7796290359429</x:v>
      </x:c>
      <x:c r="BV147" s="23" t="n">
        <x:v>692.6531839096642</x:v>
      </x:c>
      <x:c r="BW147" s="23" t="n">
        <x:v>674.7683770918086</x:v>
      </x:c>
      <x:c r="BX147" s="23" t="n">
        <x:v>656.0399951476062</x:v>
      </x:c>
      <x:c r="BY147" s="23" t="n">
        <x:v>279.06694677016776</x:v>
      </x:c>
      <x:c r="BZ147" s="23" t="n">
        <x:v>0</x:v>
      </x:c>
      <x:c r="CA147" s="23" t="n">
        <x:v>0</x:v>
      </x:c>
      <x:c r="CB147" s="23" t="n">
        <x:v>0</x:v>
      </x:c>
      <x:c r="CC147" s="23" t="n">
        <x:v>0</x:v>
      </x:c>
      <x:c r="CD147" s="23" t="n">
        <x:v>28.108177272421166</x:v>
      </x:c>
      <x:c r="CE147" s="23" t="n">
        <x:v>24.141291677586555</x:v>
      </x:c>
      <x:c r="CF147" s="23" t="n">
        <x:v>0</x:v>
      </x:c>
      <x:c r="CG147" s="23" t="n">
        <x:v>0</x:v>
      </x:c>
      <x:c r="CH147" s="23" t="n">
        <x:v>121.70748014351405</x:v>
      </x:c>
      <x:c r="CI147" s="23" t="n">
        <x:v>155.883500046761</x:v>
      </x:c>
      <x:c r="CJ147" s="23" t="n">
        <x:v>0</x:v>
      </x:c>
      <x:c r="CK147" s="23" t="n">
        <x:v>0</x:v>
      </x:c>
      <x:c r="CL147" s="23" t="n">
        <x:v>246.3206765297727</x:v>
      </x:c>
      <x:c r="CM147" s="23" t="n">
        <x:v>233.01753749759592</x:v>
      </x:c>
      <x:c r="CN147" s="23" t="n">
        <x:v>1095.743416319858</x:v>
      </x:c>
      <x:c r="CO147" s="23" t="n">
        <x:v>292.40903206324157</x:v>
      </x:c>
      <x:c r="CP147" s="23" t="n">
        <x:v>332.39217830598955</x:v>
      </x:c>
      <x:c r="CQ147" s="23" t="n">
        <x:v>387.4864844094621</x:v>
      </x:c>
      <x:c r="CR147" s="23" t="n">
        <x:v>433.90946781834447</x:v>
      </x:c>
      <x:c r="CS147" s="23" t="n">
        <x:v>466.1112688810263</x:v>
      </x:c>
      <x:c r="CT147" s="23" t="n">
        <x:v>527.9587779581616</x:v>
      </x:c>
      <x:c r="CU147" s="23" t="n">
        <x:v>582.7943495554034</x:v>
      </x:c>
      <x:c r="CV147" s="23" t="n">
        <x:v>604.9329050318723</x:v>
      </x:c>
      <x:c r="CW147" s="23" t="n">
        <x:v>638.2545771841912</x:v>
      </x:c>
      <x:c r="CX147" s="23" t="n">
        <x:v>661.1953738455928</x:v>
      </x:c>
      <x:c r="CY147" s="23" t="n">
        <x:v>693.6442774146203</x:v>
      </x:c>
      <x:c r="CZ147" s="23" t="n">
        <x:v>736.351212700764</x:v>
      </x:c>
      <x:c r="DA147" s="23" t="n">
        <x:v>790.4550021016204</x:v>
      </x:c>
      <x:c r="DB147" s="23" t="n">
        <x:v>840.6566440948463</x:v>
      </x:c>
      <x:c r="DC147" s="23" t="n">
        <x:v>885.5284370888937</x:v>
      </x:c>
      <x:c r="DD147" s="23" t="n">
        <x:v>848.0164653368244</x:v>
      </x:c>
      <x:c r="DE147" s="23" t="n">
        <x:v>660.888685156485</x:v>
      </x:c>
      <x:c r="DF147" s="23" t="n">
        <x:v>675.0439471072136</x:v>
      </x:c>
      <x:c r="DG147" s="23" t="n">
        <x:v>761.0126720501084</x:v>
      </x:c>
      <x:c r="DH147" s="23" t="n">
        <x:v>674.1481449445951</x:v>
      </x:c>
      <x:c r="DI147" s="23" t="n">
        <x:v>47.391341920908715</x:v>
      </x:c>
      <x:c r="DJ147" s="23" t="n">
        <x:v>66.51105079323193</x:v>
      </x:c>
      <x:c r="DK147" s="23" t="n">
        <x:v>73.05238942129759</x:v>
      </x:c>
      <x:c r="DL147" s="23" t="n">
        <x:v>107.17909023437505</x:v>
      </x:c>
      <x:c r="DM147" s="23" t="n">
        <x:v>105.72271271020539</x:v>
      </x:c>
      <x:c r="DN147" s="23" t="n">
        <x:v>109.53875976562495</x:v>
      </x:c>
      <x:c r="DO147" s="23" t="n">
        <x:v>850.659912109375</x:v>
      </x:c>
      <x:c r="DP147" s="23" t="n">
        <x:v>62.23244726562491</x:v>
      </x:c>
      <x:c r="DQ147" s="23" t="n">
        <x:v>106.18719726562495</x:v>
      </x:c>
      <x:c r="DR147" s="23" t="n">
        <x:v>103.73594960937498</x:v>
      </x:c>
      <x:c r="DS147" s="23" t="n">
        <x:v>860.266845703125</x:v>
      </x:c>
      <x:c r="DT147" s="23" t="n">
        <x:v>107.78907552083334</x:v>
      </x:c>
      <x:c r="DU147" s="23" t="n">
        <x:v>109.96882597656258</x:v>
      </x:c>
      <x:c r="DV147" s="23" t="n">
        <x:v>877.0718218098959</x:v>
      </x:c>
      <x:c r="DW147" s="23" t="n">
        <x:v>882.3128255208333</x:v>
      </x:c>
      <x:c r="DX147" s="23" t="n">
        <x:v>882.4606652279449</x:v>
      </x:c>
      <x:c r="DY147" s="23" t="n">
        <x:v>870.8553059895833</x:v>
      </x:c>
      <x:c r="DZ147" s="23" t="n">
        <x:v>870.4380696614583</x:v>
      </x:c>
      <x:c r="EA147" s="23" t="n">
        <x:v>867.7836046875001</x:v>
      </x:c>
      <x:c r="EB147" s="23" t="n">
        <x:v>796.4271069010417</x:v>
      </x:c>
      <x:c r="EC147" s="23" t="n">
        <x:v>672.3607584635416</x:v>
      </x:c>
      <x:c r="ED147" s="23" t="n">
        <x:v>1460.799601236979</x:v>
      </x:c>
      <x:c r="EE147" s="23" t="n">
        <x:v>1499.0764973958333</x:v>
      </x:c>
      <x:c r="EF147" s="23" t="n">
        <x:v>682.96923828125</x:v>
      </x:c>
      <x:c r="EG147" s="23" t="n">
        <x:v>667.5811360677083</x:v>
      </x:c>
      <x:c r="EH147" s="23" t="n">
        <x:v>920.6814237115806</x:v>
      </x:c>
      <x:c r="EI147" s="23" t="n">
        <x:v>676.1651204427083</x:v>
      </x:c>
      <x:c r="EJ147" s="23" t="n">
        <x:v>668.5885416666666</x:v>
      </x:c>
      <x:c r="EK147" s="23" t="n">
        <x:v>663.9210205078125</x:v>
      </x:c>
      <x:c r="EL147" s="23" t="n">
        <x:v>1503.0954182942708</x:v>
      </x:c>
      <x:c r="EM147" s="23" t="n">
        <x:v>1491.6411946614583</x:v>
      </x:c>
      <x:c r="EN147" s="23" t="n">
        <x:v>1465.6975911458333</x:v>
      </x:c>
      <x:c r="EO147" s="23" t="n">
        <x:v>1408.4012044270833</x:v>
      </x:c>
      <x:c r="EP147" s="23" t="n">
        <x:f>SUM(B147:EO147)</x:f>
        <x:v>71722.63424360775</x:v>
      </x:c>
      <x:c r="EQ147" s="23" t="n">
        <x:f>SUMPRODUCT(B147:EO147,{0.5176,0.5094,0.4568,0.4718,0.4898,0.4733,0.4575,0.4728,0.5064,0.5124,0.4789,0.4467,0.4661,0.4529,0.4217,0.4688,0.4937,0.4667,0.4592,0.4604,0.4621,0.4719,0.4642,0.4504,0.466,0.4655,0.4465,0.4485,0.4271,0.3783,0.3585,0.4143,0.4446,0.3376,0.4926,0.8567,0.9442,0.8582,0.7891,0.8157,0.8435,0.8254,0.7995,0.7823,0.7334,0.6499,0.8547,1.2032,1.1997,1.1314,1.1685,1.1885,1.1716,1.1417,1.1191,1.0559,1.0014,1.0508,1.0377,0.9599,0.9835,1.0295,1.0421,1.0211,0.8514,0.6223,0.5639,0.5394,0.4876,0.4912,0.5298,0.5437,0.5008,0.5183,0.5556,0.4963,0.6775,1.0036,1.0072,0.9168,0.9166,0.9571,0.9535,0.9457,1.0343,1.0505,1.0107,1.0712,0.9491,0.6987,0.6932,0.7852,0.8101,0.76,0.7765,0.8577,0.8662,0.839,0.8494,0.931,1.0026,1.0346,1.0602,1.0437,0.9982,0.9995,1.1022,1.235,1.2618,1.2626,1.3007,1.3561,1.3661,1.3591,1.4109,1.3954,1.3386,1.3917,1.4007,1.3452,1.362,1.374,1.3766,1.417,1.2557,0.988,0.9755,1.0201,1.0291,1.0699,0.8702,0.5203,0.4306,0.4921,0.531,0.4866,0.4663,0.5067,0.5357,0.4959,0.4501,0.506,0.4978,0.4079})</x:f>
        <x:v>47878.47613732119</x:v>
      </x:c>
    </x:row>
    <x:row r="148" ht="14" customHeight="1">
      <x:c r="A148" s="3">
        <x:v>45835</x:v>
      </x:c>
      <x:c r="B148" s="23" t="n">
        <x:v>506.21533203125</x:v>
      </x:c>
      <x:c r="C148" s="23" t="n">
        <x:v>0</x:v>
      </x:c>
      <x:c r="D148" s="23" t="n">
        <x:v>468.3152669270833</x:v>
      </x:c>
      <x:c r="E148" s="23" t="n">
        <x:v>0</x:v>
      </x:c>
      <x:c r="F148" s="23" t="n">
        <x:v>0</x:v>
      </x:c>
      <x:c r="G148" s="23" t="n">
        <x:v>459.53568522135413</x:v>
      </x:c>
      <x:c r="H148" s="23" t="n">
        <x:v>494.88163248697913</x:v>
      </x:c>
      <x:c r="I148" s="23" t="n">
        <x:v>510.815185546875</x:v>
      </x:c>
      <x:c r="J148" s="23" t="n">
        <x:v>0</x:v>
      </x:c>
      <x:c r="K148" s="23" t="n">
        <x:v>0</x:v>
      </x:c>
      <x:c r="L148" s="23" t="n">
        <x:v>475.58487955729163</x:v>
      </x:c>
      <x:c r="M148" s="23" t="n">
        <x:v>452.68994140625</x:v>
      </x:c>
      <x:c r="N148" s="23" t="n">
        <x:v>449.8119710286458</x:v>
      </x:c>
      <x:c r="O148" s="23" t="n">
        <x:v>459.131591796875</x:v>
      </x:c>
      <x:c r="P148" s="23" t="n">
        <x:v>212.47231785481836</x:v>
      </x:c>
      <x:c r="Q148" s="23" t="n">
        <x:v>460.18253580729163</x:v>
      </x:c>
      <x:c r="R148" s="23" t="n">
        <x:v>460.4502766927083</x:v>
      </x:c>
      <x:c r="S148" s="23" t="n">
        <x:v>460.3172607421875</x:v>
      </x:c>
      <x:c r="T148" s="23" t="n">
        <x:v>0</x:v>
      </x:c>
      <x:c r="U148" s="23" t="n">
        <x:v>0</x:v>
      </x:c>
      <x:c r="V148" s="23" t="n">
        <x:v>0</x:v>
      </x:c>
      <x:c r="W148" s="23" t="n">
        <x:v>441.9203271875</x:v>
      </x:c>
      <x:c r="X148" s="23" t="n">
        <x:v>448.974853515625</x:v>
      </x:c>
      <x:c r="Y148" s="23" t="n">
        <x:v>449.8753662109375</x:v>
      </x:c>
      <x:c r="Z148" s="23" t="n">
        <x:v>1276.5974934895833</x:v>
      </x:c>
      <x:c r="AA148" s="23" t="n">
        <x:v>800.5075559247359</x:v>
      </x:c>
      <x:c r="AB148" s="23" t="n">
        <x:v>459.2624104817708</x:v>
      </x:c>
      <x:c r="AC148" s="23" t="n">
        <x:v>436.37471443152856</x:v>
      </x:c>
      <x:c r="AD148" s="23" t="n">
        <x:v>442.71280924479163</x:v>
      </x:c>
      <x:c r="AE148" s="23" t="n">
        <x:v>435.1527930399637</x:v>
      </x:c>
      <x:c r="AF148" s="23" t="n">
        <x:v>412.7163049420629</x:v>
      </x:c>
      <x:c r="AG148" s="23" t="n">
        <x:v>378.8011485987687</x:v>
      </x:c>
      <x:c r="AH148" s="23" t="n">
        <x:v>364.91442729985545</x:v>
      </x:c>
      <x:c r="AI148" s="23" t="n">
        <x:v>1152.8971213164423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0</x:v>
      </x:c>
      <x:c r="CR148" s="23" t="n">
        <x:v>34.99279437228218</x:v>
      </x:c>
      <x:c r="CS148" s="23" t="n">
        <x:v>68.99337144740062</x:v>
      </x:c>
      <x:c r="CT148" s="23" t="n">
        <x:v>122.08118330156442</x:v>
      </x:c>
      <x:c r="CU148" s="23" t="n">
        <x:v>145.4890656434727</x:v>
      </x:c>
      <x:c r="CV148" s="23" t="n">
        <x:v>178.12788815702575</x:v>
      </x:c>
      <x:c r="CW148" s="23" t="n">
        <x:v>246.205305799385</x:v>
      </x:c>
      <x:c r="CX148" s="23" t="n">
        <x:v>283.3939367483363</x:v>
      </x:c>
      <x:c r="CY148" s="23" t="n">
        <x:v>189.7058075607105</x:v>
      </x:c>
      <x:c r="CZ148" s="23" t="n">
        <x:v>190.11340274709875</x:v>
      </x:c>
      <x:c r="DA148" s="23" t="n">
        <x:v>242.33277107426693</x:v>
      </x:c>
      <x:c r="DB148" s="23" t="n">
        <x:v>340.9360425541149</x:v>
      </x:c>
      <x:c r="DC148" s="23" t="n">
        <x:v>353.43364791042296</x:v>
      </x:c>
      <x:c r="DD148" s="23" t="n">
        <x:v>359.96550033532213</x:v>
      </x:c>
      <x:c r="DE148" s="23" t="n">
        <x:v>385.2333071733565</x:v>
      </x:c>
      <x:c r="DF148" s="23" t="n">
        <x:v>0</x:v>
      </x:c>
      <x:c r="DG148" s="23" t="n">
        <x:v>379.5441497445246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665.6241661197917</x:v>
      </x:c>
      <x:c r="DW148" s="23" t="n">
        <x:v>685.5010579427083</x:v>
      </x:c>
      <x:c r="DX148" s="23" t="n">
        <x:v>608.86537834764</x:v>
      </x:c>
      <x:c r="DY148" s="23" t="n">
        <x:v>581.8877360026041</x:v>
      </x:c>
      <x:c r="DZ148" s="23" t="n">
        <x:v>589.0695393880208</x:v>
      </x:c>
      <x:c r="EA148" s="23" t="n">
        <x:v>592.1759896223957</x:v>
      </x:c>
      <x:c r="EB148" s="23" t="n">
        <x:v>578.209912278646</x:v>
      </x:c>
      <x:c r="EC148" s="23" t="n">
        <x:v>516.07568359375</x:v>
      </x:c>
      <x:c r="ED148" s="23" t="n">
        <x:v>1336.0855712890625</x:v>
      </x:c>
      <x:c r="EE148" s="23" t="n">
        <x:v>515.7685139973958</x:v>
      </x:c>
      <x:c r="EF148" s="23" t="n">
        <x:v>516.9584554036458</x:v>
      </x:c>
      <x:c r="EG148" s="23" t="n">
        <x:v>515.0920817057291</x:v>
      </x:c>
      <x:c r="EH148" s="23" t="n">
        <x:v>519.81396484375</x:v>
      </x:c>
      <x:c r="EI148" s="23" t="n">
        <x:v>789.1412659384644</x:v>
      </x:c>
      <x:c r="EJ148" s="23" t="n">
        <x:v>1335.2574869791665</x:v>
      </x:c>
      <x:c r="EK148" s="23" t="n">
        <x:v>1354.3959554036458</x:v>
      </x:c>
      <x:c r="EL148" s="23" t="n">
        <x:v>1378.7679036458333</x:v>
      </x:c>
      <x:c r="EM148" s="23" t="n">
        <x:v>512.8767903645833</x:v>
      </x:c>
      <x:c r="EN148" s="23" t="n">
        <x:v>1343.715616861979</x:v>
      </x:c>
      <x:c r="EO148" s="23" t="n">
        <x:v>1359.309814453125</x:v>
      </x:c>
      <x:c r="EP148" s="23" t="n">
        <x:f>SUM(B148:EO148)</x:f>
        <x:v>33186.25226153439</x:v>
      </x:c>
      <x:c r="EQ148" s="23" t="n">
        <x:f>SUMPRODUCT(B148:EO148,{0.3873,0.3957,0.3872,0.3663,0.3612,0.3704,0.3669,0.3631,0.3708,0.3835,0.3706,0.3544,0.3856,0.3939,0.3748,0.3912,0.3928,0.3647,0.3485,0.3547,0.3615,0.3442,0.3547,0.3674,0.3127,0.3266,0.4059,0.4084,0.3993,0.3818,0.297,0.291,0.3374,0.294,0.4372,0.6953,0.6913,0.6351,0.6335,0.5864,0.5813,0.6155,0.5898,0.5715,0.5517,0.4796,0.5957,0.8278,0.8437,0.8067,0.8035,0.7559,0.741,0.7744,0.7894,0.8011,0.8082,0.7841,0.7538,0.7227,0.6782,0.6645,0.688,0.6762,0.4649,0.1947,0.1889,0.2059,0.1708,0.2447,0.2972,0.2856,0.3071,0.357,0.3425,0.2121,0.3029,0.5827,0.6739,0.6836,0.7055,0.7055,0.6984,0.7119,0.7568,0.7823,0.7918,0.8126,0.7006,0.5123,0.4695,0.4857,0.497,0.5241,0.5183,0.5142,0.5947,0.6382,0.6288,0.6659,0.6835,0.6676,0.6744,0.6633,0.6291,0.646,0.8515,1.1167,1.1503,1.1283,1.1437,1.1247,1.1453,1.1982,1.1912,1.1699,1.1736,1.1949,1.2082,1.205,1.197,1.1884,1.2068,1.2437,1.0674,0.8135,0.8656,0.9208,0.8884,0.9336,0.7207,0.3602,0.3438,0.3949,0.3669,0.3886,0.3861,0.3559,0.3834,0.4123,0.4164,0.4198,0.3849,0.3356})</x:f>
        <x:v>15843.152750528925</x:v>
      </x:c>
    </x:row>
    <x:row r="149" ht="14" customHeight="1">
      <x:c r="A149" s="3">
        <x:v>45836</x:v>
      </x:c>
      <x:c r="B149" s="23" t="n">
        <x:v>528.052734375</x:v>
      </x:c>
      <x:c r="C149" s="23" t="n">
        <x:v>0</x:v>
      </x:c>
      <x:c r="D149" s="23" t="n">
        <x:v>0</x:v>
      </x:c>
      <x:c r="E149" s="23" t="n">
        <x:v>0</x:v>
      </x:c>
      <x:c r="F149" s="23" t="n">
        <x:v>479.6007893880208</x:v>
      </x:c>
      <x:c r="G149" s="23" t="n">
        <x:v>480.42130533854163</x:v>
      </x:c>
      <x:c r="H149" s="23" t="n">
        <x:v>250.2211921024475</x:v>
      </x:c>
      <x:c r="I149" s="23" t="n">
        <x:v>0</x:v>
      </x:c>
      <x:c r="J149" s="23" t="n">
        <x:v>492.83048502604163</x:v>
      </x:c>
      <x:c r="K149" s="23" t="n">
        <x:v>497.7267659505208</x:v>
      </x:c>
      <x:c r="L149" s="23" t="n">
        <x:v>482.1954345703125</x:v>
      </x:c>
      <x:c r="M149" s="23" t="n">
        <x:v>0</x:v>
      </x:c>
      <x:c r="N149" s="23" t="n">
        <x:v>0</x:v>
      </x:c>
      <x:c r="O149" s="23" t="n">
        <x:v>0</x:v>
      </x:c>
      <x:c r="P149" s="23" t="n">
        <x:v>456.47599283854163</x:v>
      </x:c>
      <x:c r="Q149" s="23" t="n">
        <x:v>461.0723470052083</x:v>
      </x:c>
      <x:c r="R149" s="23" t="n">
        <x:v>459.75809733072913</x:v>
      </x:c>
      <x:c r="S149" s="23" t="n">
        <x:v>1294.790323893229</x:v>
      </x:c>
      <x:c r="T149" s="23" t="n">
        <x:v>458.2430013020833</x:v>
      </x:c>
      <x:c r="U149" s="23" t="n">
        <x:v>0</x:v>
      </x:c>
      <x:c r="V149" s="23" t="n">
        <x:v>0</x:v>
      </x:c>
      <x:c r="W149" s="23" t="n">
        <x:v>464.94010416666663</x:v>
      </x:c>
      <x:c r="X149" s="23" t="n">
        <x:v>465.04410807291663</x:v>
      </x:c>
      <x:c r="Y149" s="23" t="n">
        <x:v>464.0025634765625</x:v>
      </x:c>
      <x:c r="Z149" s="23" t="n">
        <x:v>450.33121744791663</x:v>
      </x:c>
      <x:c r="AA149" s="23" t="n">
        <x:v>454.567626953125</x:v>
      </x:c>
      <x:c r="AB149" s="23" t="n">
        <x:v>452.98710123697913</x:v>
      </x:c>
      <x:c r="AC149" s="23" t="n">
        <x:v>437.59795512094365</x:v>
      </x:c>
      <x:c r="AD149" s="23" t="n">
        <x:v>442.6214192708333</x:v>
      </x:c>
      <x:c r="AE149" s="23" t="n">
        <x:v>1273.0914129636706</x:v>
      </x:c>
      <x:c r="AF149" s="23" t="n">
        <x:v>411.16215882055417</x:v>
      </x:c>
      <x:c r="AG149" s="23" t="n">
        <x:v>390.39353106611156</x:v>
      </x:c>
      <x:c r="AH149" s="23" t="n">
        <x:v>359.33880339232184</x:v>
      </x:c>
      <x:c r="AI149" s="23" t="n">
        <x:v>1165.3783256604443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17.53015335953402</x:v>
      </x:c>
      <x:c r="CS149" s="23" t="n">
        <x:v>51.80687857244773</x:v>
      </x:c>
      <x:c r="CT149" s="23" t="n">
        <x:v>74.49723262897153</x:v>
      </x:c>
      <x:c r="CU149" s="23" t="n">
        <x:v>97.48382728820418</x:v>
      </x:c>
      <x:c r="CV149" s="23" t="n">
        <x:v>117.66420391137262</x:v>
      </x:c>
      <x:c r="CW149" s="23" t="n">
        <x:v>168.4397574354326</x:v>
      </x:c>
      <x:c r="CX149" s="23" t="n">
        <x:v>174.58195014457812</x:v>
      </x:c>
      <x:c r="CY149" s="23" t="n">
        <x:v>157.1221095924897</x:v>
      </x:c>
      <x:c r="CZ149" s="23" t="n">
        <x:v>197.48355205221878</x:v>
      </x:c>
      <x:c r="DA149" s="23" t="n">
        <x:v>241.64914019031386</x:v>
      </x:c>
      <x:c r="DB149" s="23" t="n">
        <x:v>285.87146497509536</x:v>
      </x:c>
      <x:c r="DC149" s="23" t="n">
        <x:v>329.4727325996867</x:v>
      </x:c>
      <x:c r="DD149" s="23" t="n">
        <x:v>354.0717940444327</x:v>
      </x:c>
      <x:c r="DE149" s="23" t="n">
        <x:v>368.08497273559817</x:v>
      </x:c>
      <x:c r="DF149" s="23" t="n">
        <x:v>0</x:v>
      </x:c>
      <x:c r="DG149" s="23" t="n">
        <x:v>303.22316621957845</x:v>
      </x:c>
      <x:c r="DH149" s="23" t="n">
        <x:v>0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610.8862711588541</x:v>
      </x:c>
      <x:c r="DW149" s="23" t="n">
        <x:v>563.3141722526042</x:v>
      </x:c>
      <x:c r="DX149" s="23" t="n">
        <x:v>553.5250651041666</x:v>
      </x:c>
      <x:c r="DY149" s="23" t="n">
        <x:v>564.3440755208333</x:v>
      </x:c>
      <x:c r="DZ149" s="23" t="n">
        <x:v>573.3505978255207</x:v>
      </x:c>
      <x:c r="EA149" s="23" t="n">
        <x:v>600.2342122395833</x:v>
      </x:c>
      <x:c r="EB149" s="23" t="n">
        <x:v>563.6564530208332</x:v>
      </x:c>
      <x:c r="EC149" s="23" t="n">
        <x:v>556.7608642578125</x:v>
      </x:c>
      <x:c r="ED149" s="23" t="n">
        <x:v>1364.782999674479</x:v>
      </x:c>
      <x:c r="EE149" s="23" t="n">
        <x:v>533.0631103515625</x:v>
      </x:c>
      <x:c r="EF149" s="23" t="n">
        <x:v>819.7154598484118</x:v>
      </x:c>
      <x:c r="EG149" s="23" t="n">
        <x:v>558.6897786458333</x:v>
      </x:c>
      <x:c r="EH149" s="23" t="n">
        <x:v>1392.7716471354165</x:v>
      </x:c>
      <x:c r="EI149" s="23" t="n">
        <x:v>542.1134847005208</x:v>
      </x:c>
      <x:c r="EJ149" s="23" t="n">
        <x:v>1356.4342041015625</x:v>
      </x:c>
      <x:c r="EK149" s="23" t="n">
        <x:v>1324.6312255859375</x:v>
      </x:c>
      <x:c r="EL149" s="23" t="n">
        <x:v>1340.8752034505208</x:v>
      </x:c>
      <x:c r="EM149" s="23" t="n">
        <x:v>1353.1203206380208</x:v>
      </x:c>
      <x:c r="EN149" s="23" t="n">
        <x:v>540.678955078125</x:v>
      </x:c>
      <x:c r="EO149" s="23" t="n">
        <x:v>616.7943115234375</x:v>
      </x:c>
      <x:c r="EP149" s="23" t="n">
        <x:f>SUM(B149:EO149)</x:f>
        <x:v>32841.57014463371</x:v>
      </x:c>
      <x:c r="EQ149" s="23" t="n">
        <x:f>SUMPRODUCT(B149:EO149,{0.3487,0.4027,0.4423,0.4236,0.3812,0.3791,0.4455,0.4371,0.3562,0.3483,0.3752,0.3876,0.3811,0.3827,0.3931,0.3825,0.3356,0.3038,0.3545,0.3723,0.3423,0.3586,0.3701,0.3616,0.3703,0.3502,0.3364,0.4091,0.4249,0.3429,0.2785,0.327,0.3731,0.2521,0.389,0.7163,0.7158,0.627,0.6252,0.6345,0.621,0.6032,0.6128,0.5829,0.521,0.5272,0.6655,0.8358,0.8566,0.8358,0.8368,0.8257,0.8478,0.8843,0.861,0.8212,0.8007,0.7922,0.7708,0.7448,0.7399,0.7074,0.6765,0.6967,0.5301,0.2587,0.2292,0.2789,0.2859,0.2905,0.2917,0.2636,0.1995,0.213,0.2677,0.2379,0.3483,0.5921,0.7128,0.7362,0.7369,0.7479,0.7402,0.7375,0.794,0.8205,0.821,0.8596,0.7379,0.5278,0.5224,0.5602,0.5567,0.5931,0.6322,0.6402,0.6274,0.6399,0.6858,0.7243,0.7085,0.6604,0.6518,0.6742,0.6758,0.6465,0.8138,1.0927,1.1459,1.11,1.1136,1.1451,1.1573,1.1592,1.1999,1.2365,1.2345,1.2034,1.1991,1.2292,1.2402,1.1768,1.1303,1.2217,1.1281,0.8835,0.8573,0.8878,0.8986,0.9472,0.7579,0.4481,0.4399,0.4691,0.3957,0.3547,0.3767,0.4124,0.3958,0.3908,0.3934,0.3414,0.3395,0.4189})</x:f>
        <x:v>15553.122057019127</x:v>
      </x:c>
    </x:row>
    <x:row r="150" ht="14" customHeight="1">
      <x:c r="A150" s="3">
        <x:v>45837</x:v>
      </x:c>
      <x:c r="B150" s="23" t="n">
        <x:v>701.11669921875</x:v>
      </x:c>
      <x:c r="C150" s="23" t="n">
        <x:v>697.1128743489583</x:v>
      </x:c>
      <x:c r="D150" s="23" t="n">
        <x:v>322.0188099791667</x:v>
      </x:c>
      <x:c r="E150" s="23" t="n">
        <x:v>644.4775390625</x:v>
      </x:c>
      <x:c r="F150" s="23" t="n">
        <x:v>646.1614176432291</x:v>
      </x:c>
      <x:c r="G150" s="23" t="n">
        <x:v>646.8838297526041</x:v>
      </x:c>
      <x:c r="H150" s="23" t="n">
        <x:v>652.524169921875</x:v>
      </x:c>
      <x:c r="I150" s="23" t="n">
        <x:v>651.9318033854166</x:v>
      </x:c>
      <x:c r="J150" s="23" t="n">
        <x:v>629.0689290364583</x:v>
      </x:c>
      <x:c r="K150" s="23" t="n">
        <x:v>647.8646240234375</x:v>
      </x:c>
      <x:c r="L150" s="23" t="n">
        <x:v>644.0540364583333</x:v>
      </x:c>
      <x:c r="M150" s="23" t="n">
        <x:v>620.1167805989583</x:v>
      </x:c>
      <x:c r="N150" s="23" t="n">
        <x:v>614.2009684244791</x:v>
      </x:c>
      <x:c r="O150" s="23" t="n">
        <x:v>622.3699951171875</x:v>
      </x:c>
      <x:c r="P150" s="23" t="n">
        <x:v>632.2959391276041</x:v>
      </x:c>
      <x:c r="Q150" s="23" t="n">
        <x:v>631.3883870442708</x:v>
      </x:c>
      <x:c r="R150" s="23" t="n">
        <x:v>645.1971028645833</x:v>
      </x:c>
      <x:c r="S150" s="23" t="n">
        <x:v>602.4296875</x:v>
      </x:c>
      <x:c r="T150" s="23" t="n">
        <x:v>604.2143147786458</x:v>
      </x:c>
      <x:c r="U150" s="23" t="n">
        <x:v>611.4104410807291</x:v>
      </x:c>
      <x:c r="V150" s="23" t="n">
        <x:v>615.8829345703125</x:v>
      </x:c>
      <x:c r="W150" s="23" t="n">
        <x:v>624.2899576822916</x:v>
      </x:c>
      <x:c r="X150" s="23" t="n">
        <x:v>613.225830078125</x:v>
      </x:c>
      <x:c r="Y150" s="23" t="n">
        <x:v>1436.1495768229165</x:v>
      </x:c>
      <x:c r="Z150" s="23" t="n">
        <x:v>1448.2831217447915</x:v>
      </x:c>
      <x:c r="AA150" s="23" t="n">
        <x:v>619.0986735026041</x:v>
      </x:c>
      <x:c r="AB150" s="23" t="n">
        <x:v>601.9292805989583</x:v>
      </x:c>
      <x:c r="AC150" s="23" t="n">
        <x:v>1416.4595135744196</x:v>
      </x:c>
      <x:c r="AD150" s="23" t="n">
        <x:v>1435.5264485677083</x:v>
      </x:c>
      <x:c r="AE150" s="23" t="n">
        <x:v>1430.2639073826826</x:v>
      </x:c>
      <x:c r="AF150" s="23" t="n">
        <x:v>576.794205043585</x:v>
      </x:c>
      <x:c r="AG150" s="23" t="n">
        <x:v>546.8399161295106</x:v>
      </x:c>
      <x:c r="AH150" s="23" t="n">
        <x:v>1350.046129575582</x:v>
      </x:c>
      <x:c r="AI150" s="23" t="n">
        <x:v>1310.3293811345839</x:v>
      </x:c>
      <x:c r="AJ150" s="23" t="n">
        <x:v>509.62584832282835</x:v>
      </x:c>
      <x:c r="AK150" s="23" t="n">
        <x:v>626.1492225860318</x:v>
      </x:c>
      <x:c r="AL150" s="23" t="n">
        <x:v>0</x:v>
      </x:c>
      <x:c r="AM150" s="23" t="n">
        <x:v>0</x:v>
      </x:c>
      <x:c r="AN150" s="23" t="n">
        <x:v>518.0499662190681</x:v>
      </x:c>
      <x:c r="AO150" s="23" t="n">
        <x:v>485.32445369038476</x:v>
      </x:c>
      <x:c r="AP150" s="23" t="n">
        <x:v>439.3567488604934</x:v>
      </x:c>
      <x:c r="AQ150" s="23" t="n">
        <x:v>383.8314078150609</x:v>
      </x:c>
      <x:c r="AR150" s="23" t="n">
        <x:v>346.9932784569378</x:v>
      </x:c>
      <x:c r="AS150" s="23" t="n">
        <x:v>312.18726016429105</x:v>
      </x:c>
      <x:c r="AT150" s="23" t="n">
        <x:v>271.0285603541174</x:v>
      </x:c>
      <x:c r="AU150" s="23" t="n">
        <x:v>1018.7525804179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0</x:v>
      </x:c>
      <x:c r="BP150" s="23" t="n">
        <x:v>709.4439657910161</x:v>
      </x:c>
      <x:c r="BQ150" s="23" t="n">
        <x:v>0</x:v>
      </x:c>
      <x:c r="BR150" s="23" t="n">
        <x:v>0</x:v>
      </x:c>
      <x:c r="BS150" s="23" t="n">
        <x:v>0</x:v>
      </x:c>
      <x:c r="BT150" s="23" t="n">
        <x:v>0</x:v>
      </x:c>
      <x:c r="BU150" s="23" t="n">
        <x:v>617.4845673764903</x:v>
      </x:c>
      <x:c r="BV150" s="23" t="n">
        <x:v>35.355565443761705</x:v>
      </x:c>
      <x:c r="BW150" s="23" t="n">
        <x:v>0</x:v>
      </x:c>
      <x:c r="BX150" s="23" t="n">
        <x:v>647.6886612938267</x:v>
      </x:c>
      <x:c r="BY150" s="23" t="n">
        <x:v>651.7085071409643</x:v>
      </x:c>
      <x:c r="BZ150" s="23" t="n">
        <x:v>0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191.49186207583244</x:v>
      </x:c>
      <x:c r="CM150" s="23" t="n">
        <x:v>220.1649396120195</x:v>
      </x:c>
      <x:c r="CN150" s="23" t="n">
        <x:v>1067.7885447102417</x:v>
      </x:c>
      <x:c r="CO150" s="23" t="n">
        <x:v>285.7189692248033</x:v>
      </x:c>
      <x:c r="CP150" s="23" t="n">
        <x:v>329.2195266744185</x:v>
      </x:c>
      <x:c r="CQ150" s="23" t="n">
        <x:v>368.57231367367524</x:v>
      </x:c>
      <x:c r="CR150" s="23" t="n">
        <x:v>393.46572408754173</x:v>
      </x:c>
      <x:c r="CS150" s="23" t="n">
        <x:v>548.0322414268464</x:v>
      </x:c>
      <x:c r="CT150" s="23" t="n">
        <x:v>479.7115999251048</x:v>
      </x:c>
      <x:c r="CU150" s="23" t="n">
        <x:v>516.345845659647</x:v>
      </x:c>
      <x:c r="CV150" s="23" t="n">
        <x:v>554.4146512417165</x:v>
      </x:c>
      <x:c r="CW150" s="23" t="n">
        <x:v>594.8704823678971</x:v>
      </x:c>
      <x:c r="CX150" s="23" t="n">
        <x:v>661.6534422530054</x:v>
      </x:c>
      <x:c r="CY150" s="23" t="n">
        <x:v>711.478645546423</x:v>
      </x:c>
      <x:c r="CZ150" s="23" t="n">
        <x:v>765.4240757675043</x:v>
      </x:c>
      <x:c r="DA150" s="23" t="n">
        <x:v>790.2247962055928</x:v>
      </x:c>
      <x:c r="DB150" s="23" t="n">
        <x:v>832.2607979624167</x:v>
      </x:c>
      <x:c r="DC150" s="23" t="n">
        <x:v>883.6320494468289</x:v>
      </x:c>
      <x:c r="DD150" s="23" t="n">
        <x:v>829.8683422319473</x:v>
      </x:c>
      <x:c r="DE150" s="23" t="n">
        <x:v>642.0927825681499</x:v>
      </x:c>
      <x:c r="DF150" s="23" t="n">
        <x:v>652.0523939324203</x:v>
      </x:c>
      <x:c r="DG150" s="23" t="n">
        <x:v>735.4713542589698</x:v>
      </x:c>
      <x:c r="DH150" s="23" t="n">
        <x:v>764.723182710905</x:v>
      </x:c>
      <x:c r="DI150" s="23" t="n">
        <x:v>62.77562762455924</x:v>
      </x:c>
      <x:c r="DJ150" s="23" t="n">
        <x:v>64.84122540493368</x:v>
      </x:c>
      <x:c r="DK150" s="23" t="n">
        <x:v>23.525890561075204</x:v>
      </x:c>
      <x:c r="DL150" s="23" t="n">
        <x:v>866.3509928385416</x:v>
      </x:c>
      <x:c r="DM150" s="23" t="n">
        <x:v>130.06659604944434</x:v>
      </x:c>
      <x:c r="DN150" s="23" t="n">
        <x:v>90.1327151692708</x:v>
      </x:c>
      <x:c r="DO150" s="23" t="n">
        <x:v>104.50104837239587</x:v>
      </x:c>
      <x:c r="DP150" s="23" t="n">
        <x:v>74.54917901041668</x:v>
      </x:c>
      <x:c r="DQ150" s="23" t="n">
        <x:v>71.48911263020833</x:v>
      </x:c>
      <x:c r="DR150" s="23" t="n">
        <x:v>57.757902812500106</x:v>
      </x:c>
      <x:c r="DS150" s="23" t="n">
        <x:v>863.19384765625</x:v>
      </x:c>
      <x:c r="DT150" s="23" t="n">
        <x:v>87.64738085937506</x:v>
      </x:c>
      <x:c r="DU150" s="23" t="n">
        <x:v>69.64658106770835</x:v>
      </x:c>
      <x:c r="DV150" s="23" t="n">
        <x:v>861.5340169270833</x:v>
      </x:c>
      <x:c r="DW150" s="23" t="n">
        <x:v>864.5188802083333</x:v>
      </x:c>
      <x:c r="DX150" s="23" t="n">
        <x:v>868.7008463541666</x:v>
      </x:c>
      <x:c r="DY150" s="23" t="n">
        <x:v>890.940673828125</x:v>
      </x:c>
      <x:c r="DZ150" s="23" t="n">
        <x:v>893.0536295572916</x:v>
      </x:c>
      <x:c r="EA150" s="23" t="n">
        <x:v>887.3296405729166</x:v>
      </x:c>
      <x:c r="EB150" s="23" t="n">
        <x:v>833.0692223177082</x:v>
      </x:c>
      <x:c r="EC150" s="23" t="n">
        <x:v>1480.8955078125</x:v>
      </x:c>
      <x:c r="ED150" s="23" t="n">
        <x:v>1483.1682942708333</x:v>
      </x:c>
      <x:c r="EE150" s="23" t="n">
        <x:v>670.7533365885416</x:v>
      </x:c>
      <x:c r="EF150" s="23" t="n">
        <x:v>674.3963216145833</x:v>
      </x:c>
      <x:c r="EG150" s="23" t="n">
        <x:v>719.2615559895833</x:v>
      </x:c>
      <x:c r="EH150" s="23" t="n">
        <x:v>1560.4789225260415</x:v>
      </x:c>
      <x:c r="EI150" s="23" t="n">
        <x:v>1526.9647623697915</x:v>
      </x:c>
      <x:c r="EJ150" s="23" t="n">
        <x:v>1530.7251790364583</x:v>
      </x:c>
      <x:c r="EK150" s="23" t="n">
        <x:v>687.5345865885416</x:v>
      </x:c>
      <x:c r="EL150" s="23" t="n">
        <x:v>1478.4388020833333</x:v>
      </x:c>
      <x:c r="EM150" s="23" t="n">
        <x:v>696.3072102864583</x:v>
      </x:c>
      <x:c r="EN150" s="23" t="n">
        <x:v>695.802734375</x:v>
      </x:c>
      <x:c r="EO150" s="23" t="n">
        <x:v>934.7902047164353</x:v>
      </x:c>
      <x:c r="EP150" s="23" t="n">
        <x:f>SUM(B150:EO150)</x:f>
        <x:v>70688.75881135272</x:v>
      </x:c>
      <x:c r="EQ150" s="23" t="n">
        <x:f>SUMPRODUCT(B150:EO150,{0.4981,0.5145,0.4864,0.4788,0.445,0.4135,0.4675,0.4986,0.4597,0.4191,0.4582,0.5234,0.484,0.443,0.4628,0.4979,0.4747,0.432,0.4704,0.4739,0.4158,0.3954,0.4335,0.4851,0.4851,0.4643,0.4383,0.4027,0.4247,0.483,0.4814,0.4455,0.392,0.3508,0.5531,0.8724,0.9143,0.8391,0.8024,0.8005,0.7883,0.7658,0.7705,0.7765,0.7416,0.686,0.8619,1.1544,1.1801,1.167,1.2021,1.1451,1.13,1.1473,1.0542,1.0245,1.0815,1.0703,1.0468,1.0298,0.9642,0.8693,0.8303,0.8968,0.8083,0.6109,0.6122,0.6376,0.6157,0.652,0.656,0.6137,0.6134,0.6388,0.6391,0.6142,0.7778,1.0232,1.0092,0.9391,0.9514,0.9834,0.9902,0.9778,0.9814,0.9774,0.984,1.0247,0.9278,0.7614,0.7743,0.7927,0.77,0.8318,0.8569,0.8244,0.8498,0.932,1.0002,0.9789,0.9253,0.9182,0.9886,1.0299,1.0335,1.0912,1.1685,1.2216,1.2448,1.2886,1.3532,1.382,1.3514,1.3276,1.3938,1.3848,1.3161,1.3648,1.3903,1.359,1.3804,1.3814,1.359,1.373,1.2734,1.0972,1.0501,1.0535,1.0647,1.0823,0.855,0.5044,0.4383,0.4724,0.4794,0.5049,0.4541,0.3893,0.4783,0.5416,0.4935,0.4298,0.433,0.484})</x:f>
        <x:v>47925.54057747797</x:v>
      </x:c>
    </x:row>
    <x:row r="151" ht="14" customHeight="1">
      <x:c r="A151" s="3">
        <x:v>45838</x:v>
      </x:c>
      <x:c r="B151" s="23" t="n">
        <x:v>660.9825439453125</x:v>
      </x:c>
      <x:c r="C151" s="23" t="n">
        <x:v>677.1976725260416</x:v>
      </x:c>
      <x:c r="D151" s="23" t="n">
        <x:v>694.4329427083333</x:v>
      </x:c>
      <x:c r="E151" s="23" t="n">
        <x:v>669.5559488932291</x:v>
      </x:c>
      <x:c r="F151" s="23" t="n">
        <x:v>642.3526204427083</x:v>
      </x:c>
      <x:c r="G151" s="23" t="n">
        <x:v>639.7193603515625</x:v>
      </x:c>
      <x:c r="H151" s="23" t="n">
        <x:v>641.7810872395833</x:v>
      </x:c>
      <x:c r="I151" s="23" t="n">
        <x:v>647.5621744791666</x:v>
      </x:c>
      <x:c r="J151" s="23" t="n">
        <x:v>640.8795166015625</x:v>
      </x:c>
      <x:c r="K151" s="23" t="n">
        <x:v>638.2867838541666</x:v>
      </x:c>
      <x:c r="L151" s="23" t="n">
        <x:v>635.5665283203125</x:v>
      </x:c>
      <x:c r="M151" s="23" t="n">
        <x:v>611.2672932942708</x:v>
      </x:c>
      <x:c r="N151" s="23" t="n">
        <x:v>625.5877278645833</x:v>
      </x:c>
      <x:c r="O151" s="23" t="n">
        <x:v>630.1813557942708</x:v>
      </x:c>
      <x:c r="P151" s="23" t="n">
        <x:v>1480.1456705729165</x:v>
      </x:c>
      <x:c r="Q151" s="23" t="n">
        <x:v>619.0272623697916</x:v>
      </x:c>
      <x:c r="R151" s="23" t="n">
        <x:v>611.2117919921875</x:v>
      </x:c>
      <x:c r="S151" s="23" t="n">
        <x:v>612.5048421223958</x:v>
      </x:c>
      <x:c r="T151" s="23" t="n">
        <x:v>612.318115234375</x:v>
      </x:c>
      <x:c r="U151" s="23" t="n">
        <x:v>610.2899576822916</x:v>
      </x:c>
      <x:c r="V151" s="23" t="n">
        <x:v>610.3082275390625</x:v>
      </x:c>
      <x:c r="W151" s="23" t="n">
        <x:v>605.0919596354166</x:v>
      </x:c>
      <x:c r="X151" s="23" t="n">
        <x:v>604.7976481119791</x:v>
      </x:c>
      <x:c r="Y151" s="23" t="n">
        <x:v>601.5409342447916</x:v>
      </x:c>
      <x:c r="Z151" s="23" t="n">
        <x:v>888.9569604962362</x:v>
      </x:c>
      <x:c r="AA151" s="23" t="n">
        <x:v>1447.552490234375</x:v>
      </x:c>
      <x:c r="AB151" s="23" t="n">
        <x:v>612.0216064453125</x:v>
      </x:c>
      <x:c r="AC151" s="23" t="n">
        <x:v>594.3033430246453</x:v>
      </x:c>
      <x:c r="AD151" s="23" t="n">
        <x:v>601.517578125</x:v>
      </x:c>
      <x:c r="AE151" s="23" t="n">
        <x:v>594.2090853243445</x:v>
      </x:c>
      <x:c r="AF151" s="23" t="n">
        <x:v>1402.1857082309373</x:v>
      </x:c>
      <x:c r="AG151" s="23" t="n">
        <x:v>1374.5042296017866</x:v>
      </x:c>
      <x:c r="AH151" s="23" t="n">
        <x:v>1353.1558423331978</x:v>
      </x:c>
      <x:c r="AI151" s="23" t="n">
        <x:v>1310.3343568141242</x:v>
      </x:c>
      <x:c r="AJ151" s="23" t="n">
        <x:v>508.3467474370648</x:v>
      </x:c>
      <x:c r="AK151" s="23" t="n">
        <x:v>0</x:v>
      </x:c>
      <x:c r="AL151" s="23" t="n">
        <x:v>0</x:v>
      </x:c>
      <x:c r="AM151" s="23" t="n">
        <x:v>74.64801929881999</x:v>
      </x:c>
      <x:c r="AN151" s="23" t="n">
        <x:v>0</x:v>
      </x:c>
      <x:c r="AO151" s="23" t="n">
        <x:v>469.1380518701256</x:v>
      </x:c>
      <x:c r="AP151" s="23" t="n">
        <x:v>429.73085400990146</x:v>
      </x:c>
      <x:c r="AQ151" s="23" t="n">
        <x:v>380.4305292325731</x:v>
      </x:c>
      <x:c r="AR151" s="23" t="n">
        <x:v>332.508777324728</x:v>
      </x:c>
      <x:c r="AS151" s="23" t="n">
        <x:v>299.8624285826701</x:v>
      </x:c>
      <x:c r="AT151" s="23" t="n">
        <x:v>259.55257595998376</x:v>
      </x:c>
      <x:c r="AU151" s="23" t="n">
        <x:v>216.87689953868698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711.8335419946761</x:v>
      </x:c>
      <x:c r="BP151" s="23" t="n">
        <x:v>702.2978355584776</x:v>
      </x:c>
      <x:c r="BQ151" s="23" t="n">
        <x:v>706.046129015796</x:v>
      </x:c>
      <x:c r="BR151" s="23" t="n">
        <x:v>707.2039331579892</x:v>
      </x:c>
      <x:c r="BS151" s="23" t="n">
        <x:v>0</x:v>
      </x:c>
      <x:c r="BT151" s="23" t="n">
        <x:v>0</x:v>
      </x:c>
      <x:c r="BU151" s="23" t="n">
        <x:v>646.7697283808632</x:v>
      </x:c>
      <x:c r="BV151" s="23" t="n">
        <x:v>0</x:v>
      </x:c>
      <x:c r="BW151" s="23" t="n">
        <x:v>0</x:v>
      </x:c>
      <x:c r="BX151" s="23" t="n">
        <x:v>687.1750894049374</x:v>
      </x:c>
      <x:c r="BY151" s="23" t="n">
        <x:v>694.2620217678857</x:v>
      </x:c>
      <x:c r="BZ151" s="23" t="n">
        <x:v>0</x:v>
      </x:c>
      <x:c r="CA151" s="23" t="n">
        <x:v>0</x:v>
      </x:c>
      <x:c r="CB151" s="23" t="n">
        <x:v>0</x:v>
      </x:c>
      <x:c r="CC151" s="23" t="n">
        <x:v>0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358.7648162928218</x:v>
      </x:c>
      <x:c r="CN151" s="23" t="n">
        <x:v>1092.2714234898272</x:v>
      </x:c>
      <x:c r="CO151" s="23" t="n">
        <x:v>307.2921067708004</x:v>
      </x:c>
      <x:c r="CP151" s="23" t="n">
        <x:v>341.27697217975594</x:v>
      </x:c>
      <x:c r="CQ151" s="23" t="n">
        <x:v>374.3065462896252</x:v>
      </x:c>
      <x:c r="CR151" s="23" t="n">
        <x:v>406.71055939502014</x:v>
      </x:c>
      <x:c r="CS151" s="23" t="n">
        <x:v>450.695017150897</x:v>
      </x:c>
      <x:c r="CT151" s="23" t="n">
        <x:v>521.199789524979</x:v>
      </x:c>
      <x:c r="CU151" s="23" t="n">
        <x:v>572.7612294861716</x:v>
      </x:c>
      <x:c r="CV151" s="23" t="n">
        <x:v>608.4315844029478</x:v>
      </x:c>
      <x:c r="CW151" s="23" t="n">
        <x:v>635.170687035827</x:v>
      </x:c>
      <x:c r="CX151" s="23" t="n">
        <x:v>662.9724038714094</x:v>
      </x:c>
      <x:c r="CY151" s="23" t="n">
        <x:v>691.3674634756746</x:v>
      </x:c>
      <x:c r="CZ151" s="23" t="n">
        <x:v>730.3854443576956</x:v>
      </x:c>
      <x:c r="DA151" s="23" t="n">
        <x:v>784.6416035119333</x:v>
      </x:c>
      <x:c r="DB151" s="23" t="n">
        <x:v>816.0821064643352</x:v>
      </x:c>
      <x:c r="DC151" s="23" t="n">
        <x:v>868.7344944217339</x:v>
      </x:c>
      <x:c r="DD151" s="23" t="n">
        <x:v>827.7319902330075</x:v>
      </x:c>
      <x:c r="DE151" s="23" t="n">
        <x:v>658.9487131859221</x:v>
      </x:c>
      <x:c r="DF151" s="23" t="n">
        <x:v>628.086019691175</x:v>
      </x:c>
      <x:c r="DG151" s="23" t="n">
        <x:v>736.0591912607657</x:v>
      </x:c>
      <x:c r="DH151" s="23" t="n">
        <x:v>799.9096704708992</x:v>
      </x:c>
      <x:c r="DI151" s="23" t="n">
        <x:v>821.6647567857699</x:v>
      </x:c>
      <x:c r="DJ151" s="23" t="n">
        <x:v>77.25050475907088</x:v>
      </x:c>
      <x:c r="DK151" s="23" t="n">
        <x:v>41.78481536369524</x:v>
      </x:c>
      <x:c r="DL151" s="23" t="n">
        <x:v>64.97945932291668</x:v>
      </x:c>
      <x:c r="DM151" s="23" t="n">
        <x:v>103.48041973228995</x:v>
      </x:c>
      <x:c r="DN151" s="23" t="n">
        <x:v>91.42403190104156</x:v>
      </x:c>
      <x:c r="DO151" s="23" t="n">
        <x:v>72.02376337239578</x:v>
      </x:c>
      <x:c r="DP151" s="23" t="n">
        <x:v>77.03801919270836</x:v>
      </x:c>
      <x:c r="DQ151" s="23" t="n">
        <x:v>108.51826757812492</x:v>
      </x:c>
      <x:c r="DR151" s="23" t="n">
        <x:v>94.0265432552084</x:v>
      </x:c>
      <x:c r="DS151" s="23" t="n">
        <x:v>772.2986129618754</x:v>
      </x:c>
      <x:c r="DT151" s="23" t="n">
        <x:v>101.66571940104161</x:v>
      </x:c>
      <x:c r="DU151" s="23" t="n">
        <x:v>104.72052407552079</x:v>
      </x:c>
      <x:c r="DV151" s="23" t="n">
        <x:v>872.7359179817709</x:v>
      </x:c>
      <x:c r="DW151" s="23" t="n">
        <x:v>874.1306966145833</x:v>
      </x:c>
      <x:c r="DX151" s="23" t="n">
        <x:v>879.7752184204602</x:v>
      </x:c>
      <x:c r="DY151" s="23" t="n">
        <x:v>870.7236328125</x:v>
      </x:c>
      <x:c r="DZ151" s="23" t="n">
        <x:v>888.6387532552083</x:v>
      </x:c>
      <x:c r="EA151" s="23" t="n">
        <x:v>873.6469064583332</x:v>
      </x:c>
      <x:c r="EB151" s="23" t="n">
        <x:v>783.3423161979167</x:v>
      </x:c>
      <x:c r="EC151" s="23" t="n">
        <x:v>667.3826497395833</x:v>
      </x:c>
      <x:c r="ED151" s="23" t="n">
        <x:v>1471.566162109375</x:v>
      </x:c>
      <x:c r="EE151" s="23" t="n">
        <x:v>652.1538899739583</x:v>
      </x:c>
      <x:c r="EF151" s="23" t="n">
        <x:v>1484.8389892578125</x:v>
      </x:c>
      <x:c r="EG151" s="23" t="n">
        <x:v>667.3004150390625</x:v>
      </x:c>
      <x:c r="EH151" s="23" t="n">
        <x:v>678.5343424479166</x:v>
      </x:c>
      <x:c r="EI151" s="23" t="n">
        <x:v>1499.88623046875</x:v>
      </x:c>
      <x:c r="EJ151" s="23" t="n">
        <x:v>936.2470091266398</x:v>
      </x:c>
      <x:c r="EK151" s="23" t="n">
        <x:v>653.7537841796875</x:v>
      </x:c>
      <x:c r="EL151" s="23" t="n">
        <x:v>1481.684611002604</x:v>
      </x:c>
      <x:c r="EM151" s="23" t="n">
        <x:v>1489.0693359375</x:v>
      </x:c>
      <x:c r="EN151" s="23" t="n">
        <x:v>662.6079508463541</x:v>
      </x:c>
      <x:c r="EO151" s="23" t="n">
        <x:v>1483.8240559895833</x:v>
      </x:c>
      <x:c r="EP151" s="23" t="n">
        <x:f>SUM(B151:EO151)</x:f>
        <x:v>70304.53246750994</x:v>
      </x:c>
      <x:c r="EQ151" s="23" t="n">
        <x:f>SUMPRODUCT(B151:EO151,{0.4965,0.4968,0.4868,0.4448,0.4628,0.5004,0.4288,0.4024,0.4611,0.4894,0.4945,0.4771,0.4237,0.4168,0.4679,0.5008,0.4743,0.435,0.4656,0.4825,0.4595,0.4539,0.4597,0.4525,0.4272,0.4561,0.5122,0.4878,0.4243,0.3969,0.4376,0.4309,0.3529,0.3316,0.5747,0.9185,0.9609,0.8962,0.8659,0.825,0.8055,0.8291,0.8719,0.8573,0.7649,0.6919,0.9104,1.2305,1.1731,1.1032,1.1682,1.1472,1.0808,1.0459,1.0633,1.0678,1.0359,1.0053,1.0049,1.0255,1.0288,1.0039,0.9929,1.0171,0.8457,0.5708,0.5385,0.5729,0.5572,0.5534,0.5617,0.568,0.571,0.6017,0.6298,0.6135,0.7326,0.9276,0.9463,0.9403,0.9738,0.9573,0.9505,0.9779,0.992,0.96,0.9679,1.1012,1.0079,0.7443,0.7345,0.8066,0.8381,0.8812,0.8758,0.8431,0.8759,0.908,0.8965,0.8745,0.9192,1.0049,1.0303,1.0413,1.0328,0.9765,1.0894,1.3024,1.3114,1.2601,1.255,1.2705,1.3586,1.4347,1.3498,1.3168,1.3848,1.3891,1.3379,1.2971,1.3181,1.3462,1.3787,1.4279,1.2712,1.0022,0.9648,1.009,1.0582,1.1341,0.8774,0.4585,0.4459,0.5055,0.4643,0.4806,0.4708,0.4359,0.4738,0.4818,0.4505,0.4806,0.5355,0.5774})</x:f>
        <x:v>46946.65500317856</x:v>
      </x:c>
    </x:row>
    <x:row r="152" ht="14" customHeight="1">
      <x:c r="A152" s="3">
        <x:v>45839</x:v>
      </x:c>
      <x:c r="B152" s="23" t="n">
        <x:v>669.179443359375</x:v>
      </x:c>
      <x:c r="C152" s="23" t="n">
        <x:v>662.3919270833333</x:v>
      </x:c>
      <x:c r="D152" s="23" t="n">
        <x:v>657.0674641927083</x:v>
      </x:c>
      <x:c r="E152" s="23" t="n">
        <x:v>666.0228271484375</x:v>
      </x:c>
      <x:c r="F152" s="23" t="n">
        <x:v>654.7234700520833</x:v>
      </x:c>
      <x:c r="G152" s="23" t="n">
        <x:v>657.4414876302083</x:v>
      </x:c>
      <x:c r="H152" s="23" t="n">
        <x:v>642.201904296875</x:v>
      </x:c>
      <x:c r="I152" s="23" t="n">
        <x:v>656.8839111328125</x:v>
      </x:c>
      <x:c r="J152" s="23" t="n">
        <x:v>660.989990234375</x:v>
      </x:c>
      <x:c r="K152" s="23" t="n">
        <x:v>660.5333658854166</x:v>
      </x:c>
      <x:c r="L152" s="23" t="n">
        <x:v>662.5169270833333</x:v>
      </x:c>
      <x:c r="M152" s="23" t="n">
        <x:v>670.415771484375</x:v>
      </x:c>
      <x:c r="N152" s="23" t="n">
        <x:v>636.7139892578125</x:v>
      </x:c>
      <x:c r="O152" s="23" t="n">
        <x:v>634.6314697265625</x:v>
      </x:c>
      <x:c r="P152" s="23" t="n">
        <x:v>659.4849446614583</x:v>
      </x:c>
      <x:c r="Q152" s="23" t="n">
        <x:v>1482.094034830729</x:v>
      </x:c>
      <x:c r="R152" s="23" t="n">
        <x:v>626.1014404296875</x:v>
      </x:c>
      <x:c r="S152" s="23" t="n">
        <x:v>636.6766357421875</x:v>
      </x:c>
      <x:c r="T152" s="23" t="n">
        <x:v>623.6199137369791</x:v>
      </x:c>
      <x:c r="U152" s="23" t="n">
        <x:v>627.7205403645833</x:v>
      </x:c>
      <x:c r="V152" s="23" t="n">
        <x:v>614.211181640625</x:v>
      </x:c>
      <x:c r="W152" s="23" t="n">
        <x:v>617.3775227864583</x:v>
      </x:c>
      <x:c r="X152" s="23" t="n">
        <x:v>658.6676086789464</x:v>
      </x:c>
      <x:c r="Y152" s="23" t="n">
        <x:v>621.9998779296875</x:v>
      </x:c>
      <x:c r="Z152" s="23" t="n">
        <x:v>1447.6085611979165</x:v>
      </x:c>
      <x:c r="AA152" s="23" t="n">
        <x:v>1458.1581624348958</x:v>
      </x:c>
      <x:c r="AB152" s="23" t="n">
        <x:v>1463.25390625</x:v>
      </x:c>
      <x:c r="AC152" s="23" t="n">
        <x:v>1460.5009434414123</x:v>
      </x:c>
      <x:c r="AD152" s="23" t="n">
        <x:v>630.2725016276041</x:v>
      </x:c>
      <x:c r="AE152" s="23" t="n">
        <x:v>610.7231214993463</x:v>
      </x:c>
      <x:c r="AF152" s="23" t="n">
        <x:v>589.3576908181265</x:v>
      </x:c>
      <x:c r="AG152" s="23" t="n">
        <x:v>555.7287446504539</x:v>
      </x:c>
      <x:c r="AH152" s="23" t="n">
        <x:v>1368.5047454083556</x:v>
      </x:c>
      <x:c r="AI152" s="23" t="n">
        <x:v>1328.5100694050147</x:v>
      </x:c>
      <x:c r="AJ152" s="23" t="n">
        <x:v>521.3086616991828</x:v>
      </x:c>
      <x:c r="AK152" s="23" t="n">
        <x:v>572.19768692639</x:v>
      </x:c>
      <x:c r="AL152" s="23" t="n">
        <x:v>0</x:v>
      </x:c>
      <x:c r="AM152" s="23" t="n">
        <x:v>562.1964739696198</x:v>
      </x:c>
      <x:c r="AN152" s="23" t="n">
        <x:v>511.48497974055437</x:v>
      </x:c>
      <x:c r="AO152" s="23" t="n">
        <x:v>488.87230209297314</x:v>
      </x:c>
      <x:c r="AP152" s="23" t="n">
        <x:v>454.6274520793539</x:v>
      </x:c>
      <x:c r="AQ152" s="23" t="n">
        <x:v>420.24537625789577</x:v>
      </x:c>
      <x:c r="AR152" s="23" t="n">
        <x:v>372.39398597684186</x:v>
      </x:c>
      <x:c r="AS152" s="23" t="n">
        <x:v>334.8312508725409</x:v>
      </x:c>
      <x:c r="AT152" s="23" t="n">
        <x:v>295.22285221995537</x:v>
      </x:c>
      <x:c r="AU152" s="23" t="n">
        <x:v>1053.7191628082317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0</x:v>
      </x:c>
      <x:c r="BP152" s="23" t="n">
        <x:v>719.748627404401</x:v>
      </x:c>
      <x:c r="BQ152" s="23" t="n">
        <x:v>661.1313759257155</x:v>
      </x:c>
      <x:c r="BR152" s="23" t="n">
        <x:v>0</x:v>
      </x:c>
      <x:c r="BS152" s="23" t="n">
        <x:v>0</x:v>
      </x:c>
      <x:c r="BT152" s="23" t="n">
        <x:v>0</x:v>
      </x:c>
      <x:c r="BU152" s="23" t="n">
        <x:v>660.2671480076081</x:v>
      </x:c>
      <x:c r="BV152" s="23" t="n">
        <x:v>0</x:v>
      </x:c>
      <x:c r="BW152" s="23" t="n">
        <x:v>0</x:v>
      </x:c>
      <x:c r="BX152" s="23" t="n">
        <x:v>695.6291715849829</x:v>
      </x:c>
      <x:c r="BY152" s="23" t="n">
        <x:v>0</x:v>
      </x:c>
      <x:c r="BZ152" s="23" t="n">
        <x:v>0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244.1439121309801</x:v>
      </x:c>
      <x:c r="CN152" s="23" t="n">
        <x:v>1114.3171318919494</x:v>
      </x:c>
      <x:c r="CO152" s="23" t="n">
        <x:v>304.5572703306613</x:v>
      </x:c>
      <x:c r="CP152" s="23" t="n">
        <x:v>347.62444336918145</x:v>
      </x:c>
      <x:c r="CQ152" s="23" t="n">
        <x:v>406.7149414976173</x:v>
      </x:c>
      <x:c r="CR152" s="23" t="n">
        <x:v>446.7634356044782</x:v>
      </x:c>
      <x:c r="CS152" s="23" t="n">
        <x:v>459.0071054878546</x:v>
      </x:c>
      <x:c r="CT152" s="23" t="n">
        <x:v>502.7369547476875</x:v>
      </x:c>
      <x:c r="CU152" s="23" t="n">
        <x:v>568.8005315043783</x:v>
      </x:c>
      <x:c r="CV152" s="23" t="n">
        <x:v>607.0231553967931</x:v>
      </x:c>
      <x:c r="CW152" s="23" t="n">
        <x:v>634.5298568294592</x:v>
      </x:c>
      <x:c r="CX152" s="23" t="n">
        <x:v>652.5576858413798</x:v>
      </x:c>
      <x:c r="CY152" s="23" t="n">
        <x:v>702.0485350005316</x:v>
      </x:c>
      <x:c r="CZ152" s="23" t="n">
        <x:v>753.8716028410514</x:v>
      </x:c>
      <x:c r="DA152" s="23" t="n">
        <x:v>791.6018775998125</x:v>
      </x:c>
      <x:c r="DB152" s="23" t="n">
        <x:v>827.0113419527827</x:v>
      </x:c>
      <x:c r="DC152" s="23" t="n">
        <x:v>899.8296779683229</x:v>
      </x:c>
      <x:c r="DD152" s="23" t="n">
        <x:v>826.3560074169186</x:v>
      </x:c>
      <x:c r="DE152" s="23" t="n">
        <x:v>673.0152565121505</x:v>
      </x:c>
      <x:c r="DF152" s="23" t="n">
        <x:v>702.0537488071101</x:v>
      </x:c>
      <x:c r="DG152" s="23" t="n">
        <x:v>737.0658852203715</x:v>
      </x:c>
      <x:c r="DH152" s="23" t="n">
        <x:v>740.0896194781628</x:v>
      </x:c>
      <x:c r="DI152" s="23" t="n">
        <x:v>776.8866396039949</x:v>
      </x:c>
      <x:c r="DJ152" s="23" t="n">
        <x:v>75.80938105282787</x:v>
      </x:c>
      <x:c r="DK152" s="23" t="n">
        <x:v>103.73065905515053</x:v>
      </x:c>
      <x:c r="DL152" s="23" t="n">
        <x:v>115.676396796875</x:v>
      </x:c>
      <x:c r="DM152" s="23" t="n">
        <x:v>120.29954323241145</x:v>
      </x:c>
      <x:c r="DN152" s="23" t="n">
        <x:v>124.23979622395836</x:v>
      </x:c>
      <x:c r="DO152" s="23" t="n">
        <x:v>110.05911611979172</x:v>
      </x:c>
      <x:c r="DP152" s="23" t="n">
        <x:v>743.0493868187241</x:v>
      </x:c>
      <x:c r="DQ152" s="23" t="n">
        <x:v>64.14042708333332</x:v>
      </x:c>
      <x:c r="DR152" s="23" t="n">
        <x:v>98.41109789062496</x:v>
      </x:c>
      <x:c r="DS152" s="23" t="n">
        <x:v>121.92293846354171</x:v>
      </x:c>
      <x:c r="DT152" s="23" t="n">
        <x:v>121.54345377604173</x:v>
      </x:c>
      <x:c r="DU152" s="23" t="n">
        <x:v>122.84210066406254</x:v>
      </x:c>
      <x:c r="DV152" s="23" t="n">
        <x:v>887.4491102734376</x:v>
      </x:c>
      <x:c r="DW152" s="23" t="n">
        <x:v>888.6805013020833</x:v>
      </x:c>
      <x:c r="DX152" s="23" t="n">
        <x:v>900.6511636365099</x:v>
      </x:c>
      <x:c r="DY152" s="23" t="n">
        <x:v>902.798095703125</x:v>
      </x:c>
      <x:c r="DZ152" s="23" t="n">
        <x:v>901.6166178385416</x:v>
      </x:c>
      <x:c r="EA152" s="23" t="n">
        <x:v>894.0281016145833</x:v>
      </x:c>
      <x:c r="EB152" s="23" t="n">
        <x:v>819.9342073046874</x:v>
      </x:c>
      <x:c r="EC152" s="23" t="n">
        <x:v>681.2880859375</x:v>
      </x:c>
      <x:c r="ED152" s="23" t="n">
        <x:v>1502.9701741536458</x:v>
      </x:c>
      <x:c r="EE152" s="23" t="n">
        <x:v>1509.3839111328125</x:v>
      </x:c>
      <x:c r="EF152" s="23" t="n">
        <x:v>1499.1957600911458</x:v>
      </x:c>
      <x:c r="EG152" s="23" t="n">
        <x:v>689.5674641927083</x:v>
      </x:c>
      <x:c r="EH152" s="23" t="n">
        <x:v>1523.470703125</x:v>
      </x:c>
      <x:c r="EI152" s="23" t="n">
        <x:v>677.9244791666666</x:v>
      </x:c>
      <x:c r="EJ152" s="23" t="n">
        <x:v>1517.2499186197915</x:v>
      </x:c>
      <x:c r="EK152" s="23" t="n">
        <x:v>697.907958984375</x:v>
      </x:c>
      <x:c r="EL152" s="23" t="n">
        <x:v>698.3311360677083</x:v>
      </x:c>
      <x:c r="EM152" s="23" t="n">
        <x:v>939.6906400704088</x:v>
      </x:c>
      <x:c r="EN152" s="23" t="n">
        <x:v>1505.3108723958333</x:v>
      </x:c>
      <x:c r="EO152" s="23" t="n">
        <x:v>692.0072428385416</x:v>
      </x:c>
      <x:c r="EP152" s="23" t="n">
        <x:f>SUM(B152:EO152)</x:f>
        <x:v>72565.9496623285</x:v>
      </x:c>
      <x:c r="EQ152" s="23" t="n">
        <x:f>SUMPRODUCT(B152:EO152,{0.5999,0.5852,0.5363,0.4891,0.5116,0.5667,0.552,0.5497,0.5661,0.5229,0.4983,0.533,0.577,0.5342,0.462,0.5077,0.5304,0.4908,0.4905,0.4964,0.4861,0.478,0.4673,0.4724,0.5158,0.5242,0.4905,0.4863,0.5354,0.5722,0.5075,0.4542,0.4289,0.3868,0.6057,0.9452,0.9431,0.8431,0.8341,0.8643,0.8641,0.8199,0.7789,0.7999,0.8142,0.7346,0.8972,1.2032,1.1991,1.1647,1.2166,1.1825,1.14,1.1364,1.1261,1.0798,1.0031,0.9621,1.1284,1.3496,1.2701,1.1162,1.1106,1.221,1.033,0.6433,0.5717,0.6174,0.6214,0.6386,0.6655,0.6527,0.5684,0.5517,0.5689,0.4894,0.6366,0.948,1.0029,0.949,0.9315,0.9589,1.0874,1.2268,1.2102,1.1942,1.2809,1.3742,1.1557,0.7947,0.7994,0.8811,0.8614,0.8461,0.8218,0.8211,0.9076,0.961,0.9635,1.0113,1.0578,1.0511,1.0095,1.0905,1.2098,1.1402,1.1685,1.3155,1.3112,1.3017,1.3609,1.4145,1.517,1.6483,1.7056,1.6941,1.6655,1.6659,1.6485,1.6351,1.6908,1.6982,1.6813,1.7322,1.4904,1.0916,1.0718,1.1357,1.1288,1.1456,0.8845,0.4913,0.4722,0.5818,0.5979,0.5348,0.4795,0.4822,0.5288,0.5611,0.5593,0.5473,0.5312,0.5337})</x:f>
        <x:v>53579.68434876011</x:v>
      </x:c>
    </x:row>
    <x:row r="153" ht="14" customHeight="1">
      <x:c r="A153" s="3">
        <x:v>45840</x:v>
      </x:c>
      <x:c r="B153" s="23" t="n">
        <x:v>693.0078125</x:v>
      </x:c>
      <x:c r="C153" s="23" t="n">
        <x:v>679.1271158854166</x:v>
      </x:c>
      <x:c r="D153" s="23" t="n">
        <x:v>680.7434488932291</x:v>
      </x:c>
      <x:c r="E153" s="23" t="n">
        <x:v>674.4476725260416</x:v>
      </x:c>
      <x:c r="F153" s="23" t="n">
        <x:v>675.7729085286458</x:v>
      </x:c>
      <x:c r="G153" s="23" t="n">
        <x:v>679.3919677734375</x:v>
      </x:c>
      <x:c r="H153" s="23" t="n">
        <x:v>669.7922770182291</x:v>
      </x:c>
      <x:c r="I153" s="23" t="n">
        <x:v>664.8360188802083</x:v>
      </x:c>
      <x:c r="J153" s="23" t="n">
        <x:v>669.6164143880208</x:v>
      </x:c>
      <x:c r="K153" s="23" t="n">
        <x:v>678.5330810546875</x:v>
      </x:c>
      <x:c r="L153" s="23" t="n">
        <x:v>678.188720703125</x:v>
      </x:c>
      <x:c r="M153" s="23" t="n">
        <x:v>660.1029459635416</x:v>
      </x:c>
      <x:c r="N153" s="23" t="n">
        <x:v>656.7928466796875</x:v>
      </x:c>
      <x:c r="O153" s="23" t="n">
        <x:v>661.1741536458333</x:v>
      </x:c>
      <x:c r="P153" s="23" t="n">
        <x:v>645.32763671875</x:v>
      </x:c>
      <x:c r="Q153" s="23" t="n">
        <x:v>655.4145100911458</x:v>
      </x:c>
      <x:c r="R153" s="23" t="n">
        <x:v>650.0843505859375</x:v>
      </x:c>
      <x:c r="S153" s="23" t="n">
        <x:v>651.4901123046875</x:v>
      </x:c>
      <x:c r="T153" s="23" t="n">
        <x:v>1481.8927815755208</x:v>
      </x:c>
      <x:c r="U153" s="23" t="n">
        <x:v>647.4066162109375</x:v>
      </x:c>
      <x:c r="V153" s="23" t="n">
        <x:v>645.6564534505208</x:v>
      </x:c>
      <x:c r="W153" s="23" t="n">
        <x:v>633.5476888020833</x:v>
      </x:c>
      <x:c r="X153" s="23" t="n">
        <x:v>786.7821898863499</x:v>
      </x:c>
      <x:c r="Y153" s="23" t="n">
        <x:v>644.47900390625</x:v>
      </x:c>
      <x:c r="Z153" s="23" t="n">
        <x:v>1480.6331380208333</x:v>
      </x:c>
      <x:c r="AA153" s="23" t="n">
        <x:v>1486.0474853515625</x:v>
      </x:c>
      <x:c r="AB153" s="23" t="n">
        <x:v>648.1585286458333</x:v>
      </x:c>
      <x:c r="AC153" s="23" t="n">
        <x:v>1478.2403470953436</x:v>
      </x:c>
      <x:c r="AD153" s="23" t="n">
        <x:v>1475.0124104817708</x:v>
      </x:c>
      <x:c r="AE153" s="23" t="n">
        <x:v>627.9598699493376</x:v>
      </x:c>
      <x:c r="AF153" s="23" t="n">
        <x:v>601.4751273120241</x:v>
      </x:c>
      <x:c r="AG153" s="23" t="n">
        <x:v>1409.9175315829355</x:v>
      </x:c>
      <x:c r="AH153" s="23" t="n">
        <x:v>1379.6619193247889</x:v>
      </x:c>
      <x:c r="AI153" s="23" t="n">
        <x:v>1332.635208715236</x:v>
      </x:c>
      <x:c r="AJ153" s="23" t="n">
        <x:v>517.7671992732805</x:v>
      </x:c>
      <x:c r="AK153" s="23" t="n">
        <x:v>654.2305638753506</x:v>
      </x:c>
      <x:c r="AL153" s="23" t="n">
        <x:v>0</x:v>
      </x:c>
      <x:c r="AM153" s="23" t="n">
        <x:v>586.83530476176</x:v>
      </x:c>
      <x:c r="AN153" s="23" t="n">
        <x:v>520.9306778384581</x:v>
      </x:c>
      <x:c r="AO153" s="23" t="n">
        <x:v>498.26908841338945</x:v>
      </x:c>
      <x:c r="AP153" s="23" t="n">
        <x:v>473.70613003147594</x:v>
      </x:c>
      <x:c r="AQ153" s="23" t="n">
        <x:v>435.7758780431192</x:v>
      </x:c>
      <x:c r="AR153" s="23" t="n">
        <x:v>368.06179071322964</x:v>
      </x:c>
      <x:c r="AS153" s="23" t="n">
        <x:v>345.04825913872344</x:v>
      </x:c>
      <x:c r="AT153" s="23" t="n">
        <x:v>316.53686003639206</x:v>
      </x:c>
      <x:c r="AU153" s="23" t="n">
        <x:v>1042.7705075994238</x:v>
      </x:c>
      <x:c r="AV153" s="23" t="n">
        <x:v>298.1126486709013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0</x:v>
      </x:c>
      <x:c r="BP153" s="23" t="n">
        <x:v>0</x:v>
      </x:c>
      <x:c r="BQ153" s="23" t="n">
        <x:v>0</x:v>
      </x:c>
      <x:c r="BR153" s="23" t="n">
        <x:v>0</x:v>
      </x:c>
      <x:c r="BS153" s="23" t="n">
        <x:v>0</x:v>
      </x:c>
      <x:c r="BT153" s="23" t="n">
        <x:v>0</x:v>
      </x:c>
      <x:c r="BU153" s="23" t="n">
        <x:v>724.1611798219103</x:v>
      </x:c>
      <x:c r="BV153" s="23" t="n">
        <x:v>504.73130489302594</x:v>
      </x:c>
      <x:c r="BW153" s="23" t="n">
        <x:v>725.321251360758</x:v>
      </x:c>
      <x:c r="BX153" s="23" t="n">
        <x:v>715.2949870881857</x:v>
      </x:c>
      <x:c r="BY153" s="23" t="n">
        <x:v>749.8188988967559</x:v>
      </x:c>
      <x:c r="BZ153" s="23" t="n">
        <x:v>0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703.1697799531763</x:v>
      </x:c>
      <x:c r="CN153" s="23" t="n">
        <x:v>1158.2807678553952</x:v>
      </x:c>
      <x:c r="CO153" s="23" t="n">
        <x:v>363.8748349781625</x:v>
      </x:c>
      <x:c r="CP153" s="23" t="n">
        <x:v>388.48567500646516</x:v>
      </x:c>
      <x:c r="CQ153" s="23" t="n">
        <x:v>443.7189526542629</x:v>
      </x:c>
      <x:c r="CR153" s="23" t="n">
        <x:v>473.0132435601714</x:v>
      </x:c>
      <x:c r="CS153" s="23" t="n">
        <x:v>481.69764238140783</x:v>
      </x:c>
      <x:c r="CT153" s="23" t="n">
        <x:v>527.2740796162802</x:v>
      </x:c>
      <x:c r="CU153" s="23" t="n">
        <x:v>583.4426279689078</x:v>
      </x:c>
      <x:c r="CV153" s="23" t="n">
        <x:v>630.886244405909</x:v>
      </x:c>
      <x:c r="CW153" s="23" t="n">
        <x:v>669.648409719206</x:v>
      </x:c>
      <x:c r="CX153" s="23" t="n">
        <x:v>701.895049796135</x:v>
      </x:c>
      <x:c r="CY153" s="23" t="n">
        <x:v>738.4398144567073</x:v>
      </x:c>
      <x:c r="CZ153" s="23" t="n">
        <x:v>780.1038723659591</x:v>
      </x:c>
      <x:c r="DA153" s="23" t="n">
        <x:v>827.0144677555846</x:v>
      </x:c>
      <x:c r="DB153" s="23" t="n">
        <x:v>867.1135207302519</x:v>
      </x:c>
      <x:c r="DC153" s="23" t="n">
        <x:v>915.7480449310679</x:v>
      </x:c>
      <x:c r="DD153" s="23" t="n">
        <x:v>875.9282712379969</x:v>
      </x:c>
      <x:c r="DE153" s="23" t="n">
        <x:v>749.2941734412859</x:v>
      </x:c>
      <x:c r="DF153" s="23" t="n">
        <x:v>707.6119022702416</x:v>
      </x:c>
      <x:c r="DG153" s="23" t="n">
        <x:v>766.8551200149714</x:v>
      </x:c>
      <x:c r="DH153" s="23" t="n">
        <x:v>862.6597255243256</x:v>
      </x:c>
      <x:c r="DI153" s="23" t="n">
        <x:v>129.13582998278858</x:v>
      </x:c>
      <x:c r="DJ153" s="23" t="n">
        <x:v>163.70274633644368</x:v>
      </x:c>
      <x:c r="DK153" s="23" t="n">
        <x:v>121.02415522394963</x:v>
      </x:c>
      <x:c r="DL153" s="23" t="n">
        <x:v>141.956159383029</x:v>
      </x:c>
      <x:c r="DM153" s="23" t="n">
        <x:v>147.53086570021802</x:v>
      </x:c>
      <x:c r="DN153" s="23" t="n">
        <x:v>124.1966647135417</x:v>
      </x:c>
      <x:c r="DO153" s="23" t="n">
        <x:v>865.6306966145833</x:v>
      </x:c>
      <x:c r="DP153" s="23" t="n">
        <x:v>772.160836389735</x:v>
      </x:c>
      <x:c r="DQ153" s="23" t="n">
        <x:v>195.32516015624998</x:v>
      </x:c>
      <x:c r="DR153" s="23" t="n">
        <x:v>194.47351268229173</x:v>
      </x:c>
      <x:c r="DS153" s="23" t="n">
        <x:v>202.87769729166666</x:v>
      </x:c>
      <x:c r="DT153" s="23" t="n">
        <x:v>214.07256770833328</x:v>
      </x:c>
      <x:c r="DU153" s="23" t="n">
        <x:v>198.2366888932291</x:v>
      </x:c>
      <x:c r="DV153" s="23" t="n">
        <x:v>903.1407877604166</x:v>
      </x:c>
      <x:c r="DW153" s="23" t="n">
        <x:v>944.8154296875</x:v>
      </x:c>
      <x:c r="DX153" s="23" t="n">
        <x:v>966.39408324492</x:v>
      </x:c>
      <x:c r="DY153" s="23" t="n">
        <x:v>963.4337565104166</x:v>
      </x:c>
      <x:c r="DZ153" s="23" t="n">
        <x:v>923.0716959635416</x:v>
      </x:c>
      <x:c r="EA153" s="23" t="n">
        <x:v>978.5038334765624</x:v>
      </x:c>
      <x:c r="EB153" s="23" t="n">
        <x:v>886.7734640494792</x:v>
      </x:c>
      <x:c r="EC153" s="23" t="n">
        <x:v>727.0625813802083</x:v>
      </x:c>
      <x:c r="ED153" s="23" t="n">
        <x:v>1513.164103190104</x:v>
      </x:c>
      <x:c r="EE153" s="23" t="n">
        <x:v>688.6279296875</x:v>
      </x:c>
      <x:c r="EF153" s="23" t="n">
        <x:v>1525.7041015625</x:v>
      </x:c>
      <x:c r="EG153" s="23" t="n">
        <x:v>703.98828125</x:v>
      </x:c>
      <x:c r="EH153" s="23" t="n">
        <x:v>994.432420669367</x:v>
      </x:c>
      <x:c r="EI153" s="23" t="n">
        <x:v>690.8561197916666</x:v>
      </x:c>
      <x:c r="EJ153" s="23" t="n">
        <x:v>1524.0243326822915</x:v>
      </x:c>
      <x:c r="EK153" s="23" t="n">
        <x:v>1521.50439453125</x:v>
      </x:c>
      <x:c r="EL153" s="23" t="n">
        <x:v>1523.6443684895833</x:v>
      </x:c>
      <x:c r="EM153" s="23" t="n">
        <x:v>693.7312825520833</x:v>
      </x:c>
      <x:c r="EN153" s="23" t="n">
        <x:v>694.8221028645833</x:v>
      </x:c>
      <x:c r="EO153" s="23" t="n">
        <x:v>1532.570068359375</x:v>
      </x:c>
      <x:c r="EP153" s="23" t="n">
        <x:f>SUM(B153:EO153)</x:f>
        <x:v>77847.46776431138</x:v>
      </x:c>
      <x:c r="EQ153" s="23" t="n">
        <x:f>SUMPRODUCT(B153:EO153,{0.5762,0.5905,0.5587,0.5303,0.5312,0.5485,0.5466,0.5312,0.5247,0.5439,0.5579,0.5528,0.5385,0.5103,0.4963,0.5315,0.5331,0.5033,0.5199,0.5096,0.4871,0.5392,0.543,0.4936,0.5138,0.5508,0.5532,0.5246,0.4978,0.4935,0.5087,0.5165,0.4796,0.4184,0.5881,0.8947,0.9549,0.8598,0.7945,0.8486,0.8534,0.7773,0.7517,0.7539,0.7047,0.6099,0.8492,1.2397,1.1893,1.075,1.1084,1.1251,1.1148,1.0796,1.0144,1.002,1.0254,0.9979,1.0348,1.133,1.1602,1.1476,1.1726,1.224,0.9521,0.5075,0.4351,0.5258,0.5833,0.6085,0.5627,0.5006,0.5283,0.5404,0.5024,0.5138,0.6969,0.9333,0.962,0.923,0.9176,0.9266,1.0133,1.1441,1.2005,1.1992,1.2257,1.3021,1.0879,0.7065,0.6641,0.7855,0.8563,0.8391,0.8483,0.9191,0.9805,0.9986,0.9886,0.9989,1.0507,1.1029,1.0947,1.1032,1.119,1.0742,1.1414,1.3051,1.3642,1.3671,1.3545,1.3314,1.4437,1.642,1.7114,1.6968,1.6485,1.5833,1.6242,1.727,1.7114,1.6328,1.6165,1.6918,1.4942,1.1337,1.0946,1.0859,1.0433,1.1517,0.9239,0.503,0.551,0.6202,0.5231,0.5312,0.5688,0.5586,0.5254,0.5313,0.5641,0.5572,0.5564,0.5734})</x:f>
        <x:v>58230.8313853721</x:v>
      </x:c>
    </x:row>
    <x:row r="154" ht="14" customHeight="1">
      <x:c r="A154" s="3">
        <x:v>45841</x:v>
      </x:c>
      <x:c r="B154" s="23" t="n">
        <x:v>709.3685709635416</x:v>
      </x:c>
      <x:c r="C154" s="23" t="n">
        <x:v>64.59965424674479</x:v>
      </x:c>
      <x:c r="D154" s="23" t="n">
        <x:v>676.0605061848958</x:v>
      </x:c>
      <x:c r="E154" s="23" t="n">
        <x:v>684.9794921875</x:v>
      </x:c>
      <x:c r="F154" s="23" t="n">
        <x:v>678.6884765625</x:v>
      </x:c>
      <x:c r="G154" s="23" t="n">
        <x:v>666.0448811848958</x:v>
      </x:c>
      <x:c r="H154" s="23" t="n">
        <x:v>679.8062337239583</x:v>
      </x:c>
      <x:c r="I154" s="23" t="n">
        <x:v>681.0400390625</x:v>
      </x:c>
      <x:c r="J154" s="23" t="n">
        <x:v>670.4530843098958</x:v>
      </x:c>
      <x:c r="K154" s="23" t="n">
        <x:v>686.9150390625</x:v>
      </x:c>
      <x:c r="L154" s="23" t="n">
        <x:v>687.796875</x:v>
      </x:c>
      <x:c r="M154" s="23" t="n">
        <x:v>667.8206380208333</x:v>
      </x:c>
      <x:c r="N154" s="23" t="n">
        <x:v>669.5129801432291</x:v>
      </x:c>
      <x:c r="O154" s="23" t="n">
        <x:v>672.6654052734375</x:v>
      </x:c>
      <x:c r="P154" s="23" t="n">
        <x:v>1498.0680745442708</x:v>
      </x:c>
      <x:c r="Q154" s="23" t="n">
        <x:v>655.311767578125</x:v>
      </x:c>
      <x:c r="R154" s="23" t="n">
        <x:v>656.0525716145833</x:v>
      </x:c>
      <x:c r="S154" s="23" t="n">
        <x:v>652.3384195963541</x:v>
      </x:c>
      <x:c r="T154" s="23" t="n">
        <x:v>654.3375244140625</x:v>
      </x:c>
      <x:c r="U154" s="23" t="n">
        <x:v>654.1183268229166</x:v>
      </x:c>
      <x:c r="V154" s="23" t="n">
        <x:v>662.37548828125</x:v>
      </x:c>
      <x:c r="W154" s="23" t="n">
        <x:v>654.6561686197916</x:v>
      </x:c>
      <x:c r="X154" s="23" t="n">
        <x:v>1487.2403564453125</x:v>
      </x:c>
      <x:c r="Y154" s="23" t="n">
        <x:v>1496.899698893229</x:v>
      </x:c>
      <x:c r="Z154" s="23" t="n">
        <x:v>1492.3577473958333</x:v>
      </x:c>
      <x:c r="AA154" s="23" t="n">
        <x:v>654.3701171875</x:v>
      </x:c>
      <x:c r="AB154" s="23" t="n">
        <x:v>651.538818359375</x:v>
      </x:c>
      <x:c r="AC154" s="23" t="n">
        <x:v>657.0222596914989</x:v>
      </x:c>
      <x:c r="AD154" s="23" t="n">
        <x:v>652.7678629557291</x:v>
      </x:c>
      <x:c r="AE154" s="23" t="n">
        <x:v>1486.3232738432062</x:v>
      </x:c>
      <x:c r="AF154" s="23" t="n">
        <x:v>1466.9526106069698</x:v>
      </x:c>
      <x:c r="AG154" s="23" t="n">
        <x:v>1443.8428853892233</x:v>
      </x:c>
      <x:c r="AH154" s="23" t="n">
        <x:v>1392.6972841292948</x:v>
      </x:c>
      <x:c r="AI154" s="23" t="n">
        <x:v>1365.3504010365752</x:v>
      </x:c>
      <x:c r="AJ154" s="23" t="n">
        <x:v>519.9661437589531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505.68762050379087</x:v>
      </x:c>
      <x:c r="AP154" s="23" t="n">
        <x:v>473.2077436625592</x:v>
      </x:c>
      <x:c r="AQ154" s="23" t="n">
        <x:v>414.3880766403586</x:v>
      </x:c>
      <x:c r="AR154" s="23" t="n">
        <x:v>369.91463436532615</x:v>
      </x:c>
      <x:c r="AS154" s="23" t="n">
        <x:v>355.106252015629</x:v>
      </x:c>
      <x:c r="AT154" s="23" t="n">
        <x:v>314.8490000967108</x:v>
      </x:c>
      <x:c r="AU154" s="23" t="n">
        <x:v>301.6565250568069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0</x:v>
      </x:c>
      <x:c r="BP154" s="23" t="n">
        <x:v>710.1009637836187</x:v>
      </x:c>
      <x:c r="BQ154" s="23" t="n">
        <x:v>697.5401410853794</x:v>
      </x:c>
      <x:c r="BR154" s="23" t="n">
        <x:v>707.2572636010979</x:v>
      </x:c>
      <x:c r="BS154" s="23" t="n">
        <x:v>0</x:v>
      </x:c>
      <x:c r="BT154" s="23" t="n">
        <x:v>0</x:v>
      </x:c>
      <x:c r="BU154" s="23" t="n">
        <x:v>694.8606700532773</x:v>
      </x:c>
      <x:c r="BV154" s="23" t="n">
        <x:v>694.3379293197746</x:v>
      </x:c>
      <x:c r="BW154" s="23" t="n">
        <x:v>694.571269102802</x:v>
      </x:c>
      <x:c r="BX154" s="23" t="n">
        <x:v>722.1126936619085</x:v>
      </x:c>
      <x:c r="BY154" s="23" t="n">
        <x:v>725.2661539120083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33.22494230714801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107.47052167627825</x:v>
      </x:c>
      <x:c r="CM154" s="23" t="n">
        <x:v>243.93991297498997</x:v>
      </x:c>
      <x:c r="CN154" s="23" t="n">
        <x:v>1115.036740921803</x:v>
      </x:c>
      <x:c r="CO154" s="23" t="n">
        <x:v>350.34394661362995</x:v>
      </x:c>
      <x:c r="CP154" s="23" t="n">
        <x:v>394.6058419516436</x:v>
      </x:c>
      <x:c r="CQ154" s="23" t="n">
        <x:v>434.9587005449831</x:v>
      </x:c>
      <x:c r="CR154" s="23" t="n">
        <x:v>456.8651823389532</x:v>
      </x:c>
      <x:c r="CS154" s="23" t="n">
        <x:v>486.0797535674302</x:v>
      </x:c>
      <x:c r="CT154" s="23" t="n">
        <x:v>529.7595961270024</x:v>
      </x:c>
      <x:c r="CU154" s="23" t="n">
        <x:v>579.9907766590931</x:v>
      </x:c>
      <x:c r="CV154" s="23" t="n">
        <x:v>630.6913722225634</x:v>
      </x:c>
      <x:c r="CW154" s="23" t="n">
        <x:v>666.94126895859</x:v>
      </x:c>
      <x:c r="CX154" s="23" t="n">
        <x:v>711.3228164447697</x:v>
      </x:c>
      <x:c r="CY154" s="23" t="n">
        <x:v>762.7600682824961</x:v>
      </x:c>
      <x:c r="CZ154" s="23" t="n">
        <x:v>805.6846496272503</x:v>
      </x:c>
      <x:c r="DA154" s="23" t="n">
        <x:v>837.6736455516867</x:v>
      </x:c>
      <x:c r="DB154" s="23" t="n">
        <x:v>863.1482540292111</x:v>
      </x:c>
      <x:c r="DC154" s="23" t="n">
        <x:v>915.4481857277431</x:v>
      </x:c>
      <x:c r="DD154" s="23" t="n">
        <x:v>883.8660765953639</x:v>
      </x:c>
      <x:c r="DE154" s="23" t="n">
        <x:v>662.2840521770734</x:v>
      </x:c>
      <x:c r="DF154" s="23" t="n">
        <x:v>682.5778100566829</x:v>
      </x:c>
      <x:c r="DG154" s="23" t="n">
        <x:v>833.3123672391481</x:v>
      </x:c>
      <x:c r="DH154" s="23" t="n">
        <x:v>830.9402345523891</x:v>
      </x:c>
      <x:c r="DI154" s="23" t="n">
        <x:v>836.2465927960166</x:v>
      </x:c>
      <x:c r="DJ154" s="23" t="n">
        <x:v>724.8668661450025</x:v>
      </x:c>
      <x:c r="DK154" s="23" t="n">
        <x:v>180.8812106723767</x:v>
      </x:c>
      <x:c r="DL154" s="23" t="n">
        <x:v>223.14619666400236</x:v>
      </x:c>
      <x:c r="DM154" s="23" t="n">
        <x:v>220.6765451798201</x:v>
      </x:c>
      <x:c r="DN154" s="23" t="n">
        <x:v>162.94731575520836</x:v>
      </x:c>
      <x:c r="DO154" s="23" t="n">
        <x:v>119.48701325520838</x:v>
      </x:c>
      <x:c r="DP154" s="23" t="n">
        <x:v>142.09346434895843</x:v>
      </x:c>
      <x:c r="DQ154" s="23" t="n">
        <x:v>201.00234505208329</x:v>
      </x:c>
      <x:c r="DR154" s="23" t="n">
        <x:v>185.77608812499994</x:v>
      </x:c>
      <x:c r="DS154" s="23" t="n">
        <x:v>198.1885634635417</x:v>
      </x:c>
      <x:c r="DT154" s="23" t="n">
        <x:v>196.6390755208334</x:v>
      </x:c>
      <x:c r="DU154" s="23" t="n">
        <x:v>193.99916446614588</x:v>
      </x:c>
      <x:c r="DV154" s="23" t="n">
        <x:v>965.3878580729166</x:v>
      </x:c>
      <x:c r="DW154" s="23" t="n">
        <x:v>923.5630696614583</x:v>
      </x:c>
      <x:c r="DX154" s="23" t="n">
        <x:v>964.2482096354166</x:v>
      </x:c>
      <x:c r="DY154" s="23" t="n">
        <x:v>919.4192708333333</x:v>
      </x:c>
      <x:c r="DZ154" s="23" t="n">
        <x:v>904.0786946614583</x:v>
      </x:c>
      <x:c r="EA154" s="23" t="n">
        <x:v>975.0612719531248</x:v>
      </x:c>
      <x:c r="EB154" s="23" t="n">
        <x:v>861.7784517187501</x:v>
      </x:c>
      <x:c r="EC154" s="23" t="n">
        <x:v>690.8189557452417</x:v>
      </x:c>
      <x:c r="ED154" s="23" t="n">
        <x:v>1509.990030924479</x:v>
      </x:c>
      <x:c r="EE154" s="23" t="n">
        <x:v>1534.4373372395833</x:v>
      </x:c>
      <x:c r="EF154" s="23" t="n">
        <x:v>718.48583984375</x:v>
      </x:c>
      <x:c r="EG154" s="23" t="n">
        <x:v>1520.314208984375</x:v>
      </x:c>
      <x:c r="EH154" s="23" t="n">
        <x:v>1520.423095703125</x:v>
      </x:c>
      <x:c r="EI154" s="23" t="n">
        <x:v>723.9536946614583</x:v>
      </x:c>
      <x:c r="EJ154" s="23" t="n">
        <x:v>715.181884765625</x:v>
      </x:c>
      <x:c r="EK154" s="23" t="n">
        <x:v>971.3248024450228</x:v>
      </x:c>
      <x:c r="EL154" s="23" t="n">
        <x:v>1503.1853841145833</x:v>
      </x:c>
      <x:c r="EM154" s="23" t="n">
        <x:v>696.991943359375</x:v>
      </x:c>
      <x:c r="EN154" s="23" t="n">
        <x:v>683.2318522135416</x:v>
      </x:c>
      <x:c r="EO154" s="23" t="n">
        <x:v>1476.8577880859375</x:v>
      </x:c>
      <x:c r="EP154" s="23" t="n">
        <x:f>SUM(B154:EO154)</x:f>
        <x:v>77314.80741716622</x:v>
      </x:c>
      <x:c r="EQ154" s="23" t="n">
        <x:f>SUMPRODUCT(B154:EO154,{0.5715,0.569,0.5673,0.545,0.5153,0.5112,0.547,0.5287,0.4912,0.5555,0.5722,0.5132,0.5076,0.55,0.5768,0.5349,0.5038,0.5152,0.5264,0.5228,0.502,0.4766,0.4976,0.5322,0.4981,0.4833,0.5045,0.4939,0.4999,0.5175,0.4913,0.4905,0.4739,0.3737,0.5613,0.9308,0.9652,0.8496,0.7856,0.79,0.807,0.8043,0.7948,0.8099,0.7953,0.7162,0.9435,1.3249,1.3038,1.1969,1.177,1.1062,1.0715,1.1006,1.1204,1.131,1.1006,1.0067,1.0526,1.2204,1.2768,1.2444,1.2204,1.2283,0.9876,0.6407,0.639,0.6902,0.6557,0.6795,0.6633,0.5943,0.5755,0.5723,0.5482,0.5329,0.6742,0.8879,0.9274,0.9362,0.9726,0.9702,1.0945,1.3168,1.4092,1.369,1.3447,1.4364,1.2091,0.7925,0.7881,0.9023,0.9129,0.8929,0.8811,0.891,0.9213,0.9639,0.9939,0.9916,1.0145,1.0726,1.1145,1.1143,1.0954,1.1212,1.241,1.3738,1.3771,1.3622,1.395,1.449,1.5637,1.654,1.5877,1.5963,1.6934,1.6702,1.658,1.6842,1.6295,1.5631,1.6181,1.7936,1.5302,1.0306,1.0756,1.1779,1.1355,1.1895,0.9349,0.5087,0.5172,0.6154,0.5803,0.5371,0.532,0.5536,0.562,0.5399,0.5232,0.556,0.5349,0.4754})</x:f>
        <x:v>57746.65661410658</x:v>
      </x:c>
    </x:row>
    <x:row r="155" ht="14" customHeight="1">
      <x:c r="A155" s="3">
        <x:v>45842</x:v>
      </x:c>
      <x:c r="B155" s="23" t="n">
        <x:v>0</x:v>
      </x:c>
      <x:c r="C155" s="23" t="n">
        <x:v>166.95919516341283</x:v>
      </x:c>
      <x:c r="D155" s="23" t="n">
        <x:v>515.5624186197916</x:v>
      </x:c>
      <x:c r="E155" s="23" t="n">
        <x:v>518.8769124348958</x:v>
      </x:c>
      <x:c r="F155" s="23" t="n">
        <x:v>499.1333821614583</x:v>
      </x:c>
      <x:c r="G155" s="23" t="n">
        <x:v>0</x:v>
      </x:c>
      <x:c r="H155" s="23" t="n">
        <x:v>505.56009928385413</x:v>
      </x:c>
      <x:c r="I155" s="23" t="n">
        <x:v>541.7500406901041</x:v>
      </x:c>
      <x:c r="J155" s="23" t="n">
        <x:v>0</x:v>
      </x:c>
      <x:c r="K155" s="23" t="n">
        <x:v>0</x:v>
      </x:c>
      <x:c r="L155" s="23" t="n">
        <x:v>0</x:v>
      </x:c>
      <x:c r="M155" s="23" t="n">
        <x:v>481.96427408854163</x:v>
      </x:c>
      <x:c r="N155" s="23" t="n">
        <x:v>482.653076171875</x:v>
      </x:c>
      <x:c r="O155" s="23" t="n">
        <x:v>484.142822265625</x:v>
      </x:c>
      <x:c r="P155" s="23" t="n">
        <x:v>479.03934733072913</x:v>
      </x:c>
      <x:c r="Q155" s="23" t="n">
        <x:v>480.7962646484375</x:v>
      </x:c>
      <x:c r="R155" s="23" t="n">
        <x:v>478.471923828125</x:v>
      </x:c>
      <x:c r="S155" s="23" t="n">
        <x:v>474.86661783854163</x:v>
      </x:c>
      <x:c r="T155" s="23" t="n">
        <x:v>474.59110514322913</x:v>
      </x:c>
      <x:c r="U155" s="23" t="n">
        <x:v>473.4088948567708</x:v>
      </x:c>
      <x:c r="V155" s="23" t="n">
        <x:v>0</x:v>
      </x:c>
      <x:c r="W155" s="23" t="n">
        <x:v>477.41373697916663</x:v>
      </x:c>
      <x:c r="X155" s="23" t="n">
        <x:v>475.19962565104163</x:v>
      </x:c>
      <x:c r="Y155" s="23" t="n">
        <x:v>473.5145263671875</x:v>
      </x:c>
      <x:c r="Z155" s="23" t="n">
        <x:v>479.74728792920496</x:v>
      </x:c>
      <x:c r="AA155" s="23" t="n">
        <x:v>480.55497233072913</x:v>
      </x:c>
      <x:c r="AB155" s="23" t="n">
        <x:v>477.95475260416663</x:v>
      </x:c>
      <x:c r="AC155" s="23" t="n">
        <x:v>470.80312687716753</x:v>
      </x:c>
      <x:c r="AD155" s="23" t="n">
        <x:v>472.37369791666663</x:v>
      </x:c>
      <x:c r="AE155" s="23" t="n">
        <x:v>462.6916825692108</x:v>
      </x:c>
      <x:c r="AF155" s="23" t="n">
        <x:v>798.5620231275349</x:v>
      </x:c>
      <x:c r="AG155" s="23" t="n">
        <x:v>1252.3775098991782</x:v>
      </x:c>
      <x:c r="AH155" s="23" t="n">
        <x:v>382.3625020295091</x:v>
      </x:c>
      <x:c r="AI155" s="23" t="n">
        <x:v>1177.4167894911498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18.803717976085863</x:v>
      </x:c>
      <x:c r="CU155" s="23" t="n">
        <x:v>72.17569247684492</x:v>
      </x:c>
      <x:c r="CV155" s="23" t="n">
        <x:v>111.27313456822503</x:v>
      </x:c>
      <x:c r="CW155" s="23" t="n">
        <x:v>174.2606519860341</x:v>
      </x:c>
      <x:c r="CX155" s="23" t="n">
        <x:v>179.2901661629568</x:v>
      </x:c>
      <x:c r="CY155" s="23" t="n">
        <x:v>177.73021951577397</x:v>
      </x:c>
      <x:c r="CZ155" s="23" t="n">
        <x:v>191.9780841535934</x:v>
      </x:c>
      <x:c r="DA155" s="23" t="n">
        <x:v>225.2845802767576</x:v>
      </x:c>
      <x:c r="DB155" s="23" t="n">
        <x:v>267.38851517551416</x:v>
      </x:c>
      <x:c r="DC155" s="23" t="n">
        <x:v>297.89886582699626</x:v>
      </x:c>
      <x:c r="DD155" s="23" t="n">
        <x:v>367.6867306129151</x:v>
      </x:c>
      <x:c r="DE155" s="23" t="n">
        <x:v>402.57660167966606</x:v>
      </x:c>
      <x:c r="DF155" s="23" t="n">
        <x:v>0</x:v>
      </x:c>
      <x:c r="DG155" s="23" t="n">
        <x:v>452.58497317978873</x:v>
      </x:c>
      <x:c r="DH155" s="23" t="n">
        <x:v>510.4657125508279</x:v>
      </x:c>
      <x:c r="DI155" s="23" t="n">
        <x:v>289.361576255581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0</x:v>
      </x:c>
      <x:c r="DW155" s="23" t="n">
        <x:v>617.1410319010416</x:v>
      </x:c>
      <x:c r="DX155" s="23" t="n">
        <x:v>598.2488545484503</x:v>
      </x:c>
      <x:c r="DY155" s="23" t="n">
        <x:v>607.6770833333333</x:v>
      </x:c>
      <x:c r="DZ155" s="23" t="n">
        <x:v>634.2730305989583</x:v>
      </x:c>
      <x:c r="EA155" s="23" t="n">
        <x:v>621.6139235546875</x:v>
      </x:c>
      <x:c r="EB155" s="23" t="n">
        <x:v>590.8225145963543</x:v>
      </x:c>
      <x:c r="EC155" s="23" t="n">
        <x:v>549.9456249718685</x:v>
      </x:c>
      <x:c r="ED155" s="23" t="n">
        <x:v>1357.2914225260415</x:v>
      </x:c>
      <x:c r="EE155" s="23" t="n">
        <x:v>529.7479248046875</x:v>
      </x:c>
      <x:c r="EF155" s="23" t="n">
        <x:v>1365.3909505208333</x:v>
      </x:c>
      <x:c r="EG155" s="23" t="n">
        <x:v>542.1641438802083</x:v>
      </x:c>
      <x:c r="EH155" s="23" t="n">
        <x:v>556.1750081380208</x:v>
      </x:c>
      <x:c r="EI155" s="23" t="n">
        <x:v>558.7491048177083</x:v>
      </x:c>
      <x:c r="EJ155" s="23" t="n">
        <x:v>1379.9346923828125</x:v>
      </x:c>
      <x:c r="EK155" s="23" t="n">
        <x:v>1373.872111002604</x:v>
      </x:c>
      <x:c r="EL155" s="23" t="n">
        <x:v>835.2931816325874</x:v>
      </x:c>
      <x:c r="EM155" s="23" t="n">
        <x:v>549.2435709635416</x:v>
      </x:c>
      <x:c r="EN155" s="23" t="n">
        <x:v>1376.59228515625</x:v>
      </x:c>
      <x:c r="EO155" s="23" t="n">
        <x:v>1391.189697265625</x:v>
      </x:c>
      <x:c r="EP155" s="23" t="n">
        <x:f>SUM(B155:EO155)</x:f>
        <x:v>34712.873987290484</x:v>
      </x:c>
      <x:c r="EQ155" s="23" t="n">
        <x:f>SUMPRODUCT(B155:EO155,{0.4885,0.4516,0.3861,0.4442,0.4925,0.4919,0.5277,0.5201,0.4739,0.4819,0.4802,0.469,0.5072,0.4814,0.4147,0.4481,0.4756,0.4475,0.4185,0.3813,0.3652,0.4164,0.4407,0.4075,0.3811,0.4022,0.4416,0.4362,0.4344,0.4281,0.3672,0.3634,0.3708,0.2699,0.416,0.7132,0.6935,0.6682,0.7419,0.6927,0.6211,0.6043,0.6091,0.596,0.5497,0.5098,0.6277,0.837,0.9,0.8718,0.8178,0.7555,0.7667,0.8252,0.8181,0.7831,0.7317,0.656,0.7212,0.8945,0.9553,0.9021,0.8602,0.903,0.6476,0.2229,0.1745,0.2189,0.1797,0.1697,0.1764,0.1857,0.2091,0.2315,0.2046,0.1337,0.3218,0.6606,0.7189,0.7065,0.7363,0.7245,0.836,1.0219,1.0435,1.0172,1.0644,1.1398,0.9063,0.5147,0.4877,0.602,0.6442,0.6227,0.6216,0.6532,0.6579,0.6437,0.6565,0.7253,0.7404,0.6925,0.6871,0.7441,0.7818,0.7391,0.9298,1.2261,1.1723,1.1274,1.2188,1.2316,1.3339,1.5101,1.5371,1.4959,1.4631,1.4414,1.4692,1.5276,1.5451,1.5102,1.5025,1.5677,1.3404,0.9488,0.9169,0.9789,0.9859,1.0155,0.7876,0.4252,0.3815,0.4574,0.4845,0.4854,0.4506,0.407,0.4117,0.4552,0.4931,0.4855,0.4807,0.4873})</x:f>
        <x:v>18867.747319154765</x:v>
      </x:c>
    </x:row>
    <x:row r="156" ht="14" customHeight="1">
      <x:c r="A156" s="3">
        <x:v>45843</x:v>
      </x:c>
      <x:c r="B156" s="23" t="n">
        <x:v>595.7637532552083</x:v>
      </x:c>
      <x:c r="C156" s="23" t="n">
        <x:v>0</x:v>
      </x:c>
      <x:c r="D156" s="23" t="n">
        <x:v>0</x:v>
      </x:c>
      <x:c r="E156" s="23" t="n">
        <x:v>383.84608968749944</x:v>
      </x:c>
      <x:c r="F156" s="23" t="n">
        <x:v>607.4844563802083</x:v>
      </x:c>
      <x:c r="G156" s="23" t="n">
        <x:v>616.905029296875</x:v>
      </x:c>
      <x:c r="H156" s="23" t="n">
        <x:v>0</x:v>
      </x:c>
      <x:c r="I156" s="23" t="n">
        <x:v>0</x:v>
      </x:c>
      <x:c r="J156" s="23" t="n">
        <x:v>596.8093668619791</x:v>
      </x:c>
      <x:c r="K156" s="23" t="n">
        <x:v>596.4538981119791</x:v>
      </x:c>
      <x:c r="L156" s="23" t="n">
        <x:v>594.306640625</x:v>
      </x:c>
      <x:c r="M156" s="23" t="n">
        <x:v>0</x:v>
      </x:c>
      <x:c r="N156" s="23" t="n">
        <x:v>591.0130615234375</x:v>
      </x:c>
      <x:c r="O156" s="23" t="n">
        <x:v>593.294189453125</x:v>
      </x:c>
      <x:c r="P156" s="23" t="n">
        <x:v>587.0968831380208</x:v>
      </x:c>
      <x:c r="Q156" s="23" t="n">
        <x:v>583.415150690104</x:v>
      </x:c>
      <x:c r="R156" s="23" t="n">
        <x:v>582.1625162760416</x:v>
      </x:c>
      <x:c r="S156" s="23" t="n">
        <x:v>1419.1075032552083</x:v>
      </x:c>
      <x:c r="T156" s="23" t="n">
        <x:v>570.2039794921875</x:v>
      </x:c>
      <x:c r="U156" s="23" t="n">
        <x:v>202.13249336238303</x:v>
      </x:c>
      <x:c r="V156" s="23" t="n">
        <x:v>518.0747477213541</x:v>
      </x:c>
      <x:c r="W156" s="23" t="n">
        <x:v>533.5584716796875</x:v>
      </x:c>
      <x:c r="X156" s="23" t="n">
        <x:v>551.2300211588541</x:v>
      </x:c>
      <x:c r="Y156" s="23" t="n">
        <x:v>540.447021484375</x:v>
      </x:c>
      <x:c r="Z156" s="23" t="n">
        <x:v>508.1271565755208</x:v>
      </x:c>
      <x:c r="AA156" s="23" t="n">
        <x:v>508.0198974609375</x:v>
      </x:c>
      <x:c r="AB156" s="23" t="n">
        <x:v>511.08194986979163</x:v>
      </x:c>
      <x:c r="AC156" s="23" t="n">
        <x:v>503.9090796803705</x:v>
      </x:c>
      <x:c r="AD156" s="23" t="n">
        <x:v>518.6546223958333</x:v>
      </x:c>
      <x:c r="AE156" s="23" t="n">
        <x:v>510.1466519074222</x:v>
      </x:c>
      <x:c r="AF156" s="23" t="n">
        <x:v>1290.2233931048993</x:v>
      </x:c>
      <x:c r="AG156" s="23" t="n">
        <x:v>450.7080556597517</x:v>
      </x:c>
      <x:c r="AH156" s="23" t="n">
        <x:v>415.4283385631745</x:v>
      </x:c>
      <x:c r="AI156" s="23" t="n">
        <x:v>1205.5766930684013</x:v>
      </x:c>
      <x:c r="AJ156" s="23" t="n">
        <x:v>339.00459524234424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20.50781608881266</x:v>
      </x:c>
      <x:c r="CU156" s="23" t="n">
        <x:v>69.37414813780431</x:v>
      </x:c>
      <x:c r="CV156" s="23" t="n">
        <x:v>125.92253720982899</x:v>
      </x:c>
      <x:c r="CW156" s="23" t="n">
        <x:v>160.63959838922824</x:v>
      </x:c>
      <x:c r="CX156" s="23" t="n">
        <x:v>170.97789532063953</x:v>
      </x:c>
      <x:c r="CY156" s="23" t="n">
        <x:v>227.29261222495353</x:v>
      </x:c>
      <x:c r="CZ156" s="23" t="n">
        <x:v>277.46262313039097</x:v>
      </x:c>
      <x:c r="DA156" s="23" t="n">
        <x:v>310.03209515251064</x:v>
      </x:c>
      <x:c r="DB156" s="23" t="n">
        <x:v>333.85435032752287</x:v>
      </x:c>
      <x:c r="DC156" s="23" t="n">
        <x:v>376.29123121520234</x:v>
      </x:c>
      <x:c r="DD156" s="23" t="n">
        <x:v>423.6810200713509</x:v>
      </x:c>
      <x:c r="DE156" s="23" t="n">
        <x:v>471.27860809832885</x:v>
      </x:c>
      <x:c r="DF156" s="23" t="n">
        <x:v>485.559541888481</x:v>
      </x:c>
      <x:c r="DG156" s="23" t="n">
        <x:v>550.620998761423</x:v>
      </x:c>
      <x:c r="DH156" s="23" t="n">
        <x:v>597.2786803020555</x:v>
      </x:c>
      <x:c r="DI156" s="23" t="n">
        <x:v>610.9694113004423</x:v>
      </x:c>
      <x:c r="DJ156" s="23" t="n">
        <x:v>206.76226216244373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0</x:v>
      </x:c>
      <x:c r="DW156" s="23" t="n">
        <x:v>675.8171793619791</x:v>
      </x:c>
      <x:c r="DX156" s="23" t="n">
        <x:v>677.597900390625</x:v>
      </x:c>
      <x:c r="DY156" s="23" t="n">
        <x:v>684.357177734375</x:v>
      </x:c>
      <x:c r="DZ156" s="23" t="n">
        <x:v>688.2481282552083</x:v>
      </x:c>
      <x:c r="EA156" s="23" t="n">
        <x:v>625.1999593619789</x:v>
      </x:c>
      <x:c r="EB156" s="23" t="n">
        <x:v>629.9821136848957</x:v>
      </x:c>
      <x:c r="EC156" s="23" t="n">
        <x:v>630.7031829226146</x:v>
      </x:c>
      <x:c r="ED156" s="23" t="n">
        <x:v>623.739501953125</x:v>
      </x:c>
      <x:c r="EE156" s="23" t="n">
        <x:v>642.0747477213541</x:v>
      </x:c>
      <x:c r="EF156" s="23" t="n">
        <x:v>629.8944498697916</x:v>
      </x:c>
      <x:c r="EG156" s="23" t="n">
        <x:v>1450.2850748697915</x:v>
      </x:c>
      <x:c r="EH156" s="23" t="n">
        <x:v>1478.6868489583333</x:v>
      </x:c>
      <x:c r="EI156" s="23" t="n">
        <x:v>618.6352945963541</x:v>
      </x:c>
      <x:c r="EJ156" s="23" t="n">
        <x:v>1438.0118408203125</x:v>
      </x:c>
      <x:c r="EK156" s="23" t="n">
        <x:v>1447.299112955729</x:v>
      </x:c>
      <x:c r="EL156" s="23" t="n">
        <x:v>892.081444396219</x:v>
      </x:c>
      <x:c r="EM156" s="23" t="n">
        <x:v>1461.7535807291665</x:v>
      </x:c>
      <x:c r="EN156" s="23" t="n">
        <x:v>1446.5732014973958</x:v>
      </x:c>
      <x:c r="EO156" s="23" t="n">
        <x:v>641.5743001302083</x:v>
      </x:c>
      <x:c r="EP156" s="23" t="n">
        <x:f>SUM(B156:EO156)</x:f>
        <x:v>40825.20617697285</x:v>
      </x:c>
      <x:c r="EQ156" s="23" t="n">
        <x:f>SUMPRODUCT(B156:EO156,{0.4728,0.4848,0.5118,0.488,0.4508,0.4517,0.5038,0.517,0.4598,0.3892,0.3751,0.412,0.4373,0.4676,0.4698,0.3874,0.3477,0.396,0.4548,0.4732,0.4417,0.3905,0.3736,0.4018,0.4344,0.4243,0.4068,0.4541,0.4583,0.403,0.3787,0.3581,0.3074,0.2632,0.4312,0.692,0.7039,0.6902,0.7192,0.6374,0.5976,0.6307,0.6156,0.6222,0.6165,0.5076,0.5747,0.7864,0.8181,0.7862,0.7834,0.7777,0.7895,0.8105,0.8012,0.7704,0.7363,0.7203,0.7667,0.8702,0.9582,0.9189,0.8395,0.8744,0.6448,0.247,0.2005,0.2815,0.3018,0.2951,0.2726,0.275,0.3391,0.3399,0.2424,0.168,0.3274,0.612,0.6892,0.6823,0.6847,0.6777,0.7742,0.9228,0.9463,0.955,1.0284,1.0903,0.882,0.554,0.5427,0.6243,0.6191,0.5753,0.5937,0.6558,0.6599,0.6849,0.7514,0.7841,0.7468,0.6895,0.7074,0.7744,0.8011,0.7494,0.8942,1.1622,1.1942,1.186,1.2272,1.2185,1.2948,1.4371,1.469,1.4404,1.436,1.4878,1.5182,1.4992,1.4681,1.4232,1.4332,1.5334,1.3285,0.9279,0.8624,0.9057,0.9295,0.996,0.7817,0.4125,0.3762,0.4202,0.4043,0.4436,0.4706,0.4688,0.4918,0.4764,0.425,0.4177,0.4633,0.5301})</x:f>
        <x:v>22413.681055682588</x:v>
      </x:c>
    </x:row>
    <x:row r="157" ht="14" customHeight="1">
      <x:c r="A157" s="3">
        <x:v>45844</x:v>
      </x:c>
      <x:c r="B157" s="23" t="n">
        <x:v>689.440185546875</x:v>
      </x:c>
      <x:c r="C157" s="23" t="n">
        <x:v>583.0416088346352</x:v>
      </x:c>
      <x:c r="D157" s="23" t="n">
        <x:v>658.9653727213541</x:v>
      </x:c>
      <x:c r="E157" s="23" t="n">
        <x:v>646.934326171875</x:v>
      </x:c>
      <x:c r="F157" s="23" t="n">
        <x:v>642.2537841796875</x:v>
      </x:c>
      <x:c r="G157" s="23" t="n">
        <x:v>632.1260986328125</x:v>
      </x:c>
      <x:c r="H157" s="23" t="n">
        <x:v>639.2790934244791</x:v>
      </x:c>
      <x:c r="I157" s="23" t="n">
        <x:v>637.8625895182291</x:v>
      </x:c>
      <x:c r="J157" s="23" t="n">
        <x:v>637.3595377604166</x:v>
      </x:c>
      <x:c r="K157" s="23" t="n">
        <x:v>628.1891276041666</x:v>
      </x:c>
      <x:c r="L157" s="23" t="n">
        <x:v>636.6229654947916</x:v>
      </x:c>
      <x:c r="M157" s="23" t="n">
        <x:v>674.3293863932291</x:v>
      </x:c>
      <x:c r="N157" s="23" t="n">
        <x:v>626.9317626953125</x:v>
      </x:c>
      <x:c r="O157" s="23" t="n">
        <x:v>608.9898681640625</x:v>
      </x:c>
      <x:c r="P157" s="23" t="n">
        <x:v>640.154296875</x:v>
      </x:c>
      <x:c r="Q157" s="23" t="n">
        <x:v>647.8047688802083</x:v>
      </x:c>
      <x:c r="R157" s="23" t="n">
        <x:v>634.9989827473958</x:v>
      </x:c>
      <x:c r="S157" s="23" t="n">
        <x:v>610.0675455729166</x:v>
      </x:c>
      <x:c r="T157" s="23" t="n">
        <x:v>602.9883626302083</x:v>
      </x:c>
      <x:c r="U157" s="23" t="n">
        <x:v>615.9588216145833</x:v>
      </x:c>
      <x:c r="V157" s="23" t="n">
        <x:v>1450.062052408854</x:v>
      </x:c>
      <x:c r="W157" s="23" t="n">
        <x:v>618.776611328125</x:v>
      </x:c>
      <x:c r="X157" s="23" t="n">
        <x:v>599.4939778645833</x:v>
      </x:c>
      <x:c r="Y157" s="23" t="n">
        <x:v>1444.4931640625</x:v>
      </x:c>
      <x:c r="Z157" s="23" t="n">
        <x:v>634.2266845703125</x:v>
      </x:c>
      <x:c r="AA157" s="23" t="n">
        <x:v>646.656982421875</x:v>
      </x:c>
      <x:c r="AB157" s="23" t="n">
        <x:v>633.1339518229166</x:v>
      </x:c>
      <x:c r="AC157" s="23" t="n">
        <x:v>1455.0151086537207</x:v>
      </x:c>
      <x:c r="AD157" s="23" t="n">
        <x:v>1450.7240804036458</x:v>
      </x:c>
      <x:c r="AE157" s="23" t="n">
        <x:v>602.47490296297</x:v>
      </x:c>
      <x:c r="AF157" s="23" t="n">
        <x:v>582.012646860449</x:v>
      </x:c>
      <x:c r="AG157" s="23" t="n">
        <x:v>1391.6908607992093</x:v>
      </x:c>
      <x:c r="AH157" s="23" t="n">
        <x:v>1359.0767775713066</x:v>
      </x:c>
      <x:c r="AI157" s="23" t="n">
        <x:v>1324.039596048807</x:v>
      </x:c>
      <x:c r="AJ157" s="23" t="n">
        <x:v>510.6550608943013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425.0272967407705</x:v>
      </x:c>
      <x:c r="AQ157" s="23" t="n">
        <x:v>377.76572011731685</x:v>
      </x:c>
      <x:c r="AR157" s="23" t="n">
        <x:v>345.37412046225705</x:v>
      </x:c>
      <x:c r="AS157" s="23" t="n">
        <x:v>349.100729715041</x:v>
      </x:c>
      <x:c r="AT157" s="23" t="n">
        <x:v>324.49658295187766</x:v>
      </x:c>
      <x:c r="AU157" s="23" t="n">
        <x:v>267.62859043170306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657.8138798061024</x:v>
      </x:c>
      <x:c r="BP157" s="23" t="n">
        <x:v>646.3120419429051</x:v>
      </x:c>
      <x:c r="BQ157" s="23" t="n">
        <x:v>0</x:v>
      </x:c>
      <x:c r="BR157" s="23" t="n">
        <x:v>0</x:v>
      </x:c>
      <x:c r="BS157" s="23" t="n">
        <x:v>0</x:v>
      </x:c>
      <x:c r="BT157" s="23" t="n">
        <x:v>0</x:v>
      </x:c>
      <x:c r="BU157" s="23" t="n">
        <x:v>653.31773669975</x:v>
      </x:c>
      <x:c r="BV157" s="23" t="n">
        <x:v>615.5490230880462</x:v>
      </x:c>
      <x:c r="BW157" s="23" t="n">
        <x:v>0</x:v>
      </x:c>
      <x:c r="BX157" s="23" t="n">
        <x:v>625.8574330019248</x:v>
      </x:c>
      <x:c r="BY157" s="23" t="n">
        <x:v>616.3073716170147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214.03039573170855</x:v>
      </x:c>
      <x:c r="CN157" s="23" t="n">
        <x:v>838.4817915485334</x:v>
      </x:c>
      <x:c r="CO157" s="23" t="n">
        <x:v>315.53577556761485</x:v>
      </x:c>
      <x:c r="CP157" s="23" t="n">
        <x:v>357.5288908013981</x:v>
      </x:c>
      <x:c r="CQ157" s="23" t="n">
        <x:v>398.65912684289833</x:v>
      </x:c>
      <x:c r="CR157" s="23" t="n">
        <x:v>416.52146942906495</x:v>
      </x:c>
      <x:c r="CS157" s="23" t="n">
        <x:v>448.4296543168019</x:v>
      </x:c>
      <x:c r="CT157" s="23" t="n">
        <x:v>495.72211887508894</x:v>
      </x:c>
      <x:c r="CU157" s="23" t="n">
        <x:v>556.0702599910121</x:v>
      </x:c>
      <x:c r="CV157" s="23" t="n">
        <x:v>604.8411834972658</x:v>
      </x:c>
      <x:c r="CW157" s="23" t="n">
        <x:v>629.547458088198</x:v>
      </x:c>
      <x:c r="CX157" s="23" t="n">
        <x:v>668.9820653469108</x:v>
      </x:c>
      <x:c r="CY157" s="23" t="n">
        <x:v>726.9736684598774</x:v>
      </x:c>
      <x:c r="CZ157" s="23" t="n">
        <x:v>759.781872189333</x:v>
      </x:c>
      <x:c r="DA157" s="23" t="n">
        <x:v>806.080513387829</x:v>
      </x:c>
      <x:c r="DB157" s="23" t="n">
        <x:v>867.8869016540741</x:v>
      </x:c>
      <x:c r="DC157" s="23" t="n">
        <x:v>909.0042785053463</x:v>
      </x:c>
      <x:c r="DD157" s="23" t="n">
        <x:v>896.2734842101008</x:v>
      </x:c>
      <x:c r="DE157" s="23" t="n">
        <x:v>692.1222752495125</x:v>
      </x:c>
      <x:c r="DF157" s="23" t="n">
        <x:v>714.6197824383748</x:v>
      </x:c>
      <x:c r="DG157" s="23" t="n">
        <x:v>787.7654773714077</x:v>
      </x:c>
      <x:c r="DH157" s="23" t="n">
        <x:v>822.1498792179979</x:v>
      </x:c>
      <x:c r="DI157" s="23" t="n">
        <x:v>860.1953729831135</x:v>
      </x:c>
      <x:c r="DJ157" s="23" t="n">
        <x:v>891.8774849477246</x:v>
      </x:c>
      <x:c r="DK157" s="23" t="n">
        <x:v>161.78085852569725</x:v>
      </x:c>
      <x:c r="DL157" s="23" t="n">
        <x:v>134.74162976562502</x:v>
      </x:c>
      <x:c r="DM157" s="23" t="n">
        <x:v>155.1431791976385</x:v>
      </x:c>
      <x:c r="DN157" s="23" t="n">
        <x:v>109.3364869791667</x:v>
      </x:c>
      <x:c r="DO157" s="23" t="n">
        <x:v>105.812460703125</x:v>
      </x:c>
      <x:c r="DP157" s="23" t="n">
        <x:v>109.03690033854157</x:v>
      </x:c>
      <x:c r="DQ157" s="23" t="n">
        <x:v>148.22540885416657</x:v>
      </x:c>
      <x:c r="DR157" s="23" t="n">
        <x:v>119.54161062499998</x:v>
      </x:c>
      <x:c r="DS157" s="23" t="n">
        <x:v>130.99945664062503</x:v>
      </x:c>
      <x:c r="DT157" s="23" t="n">
        <x:v>153.45850130208328</x:v>
      </x:c>
      <x:c r="DU157" s="23" t="n">
        <x:v>136.24265053385412</x:v>
      </x:c>
      <x:c r="DV157" s="23" t="n">
        <x:v>924.9456380208333</x:v>
      </x:c>
      <x:c r="DW157" s="23" t="n">
        <x:v>903.4300944010416</x:v>
      </x:c>
      <x:c r="DX157" s="23" t="n">
        <x:v>928.84765625</x:v>
      </x:c>
      <x:c r="DY157" s="23" t="n">
        <x:v>932.4273274739583</x:v>
      </x:c>
      <x:c r="DZ157" s="23" t="n">
        <x:v>926.268798828125</x:v>
      </x:c>
      <x:c r="EA157" s="23" t="n">
        <x:v>945.2871837499998</x:v>
      </x:c>
      <x:c r="EB157" s="23" t="n">
        <x:v>858.7184508072917</x:v>
      </x:c>
      <x:c r="EC157" s="23" t="n">
        <x:v>1499.4608154296875</x:v>
      </x:c>
      <x:c r="ED157" s="23" t="n">
        <x:v>1467.9044596354165</x:v>
      </x:c>
      <x:c r="EE157" s="23" t="n">
        <x:v>636.1343587239583</x:v>
      </x:c>
      <x:c r="EF157" s="23" t="n">
        <x:v>638.3375244140625</x:v>
      </x:c>
      <x:c r="EG157" s="23" t="n">
        <x:v>684.67529296875</x:v>
      </x:c>
      <x:c r="EH157" s="23" t="n">
        <x:v>1473.6784261067708</x:v>
      </x:c>
      <x:c r="EI157" s="23" t="n">
        <x:v>1458.1715901692708</x:v>
      </x:c>
      <x:c r="EJ157" s="23" t="n">
        <x:v>1481.2589518229165</x:v>
      </x:c>
      <x:c r="EK157" s="23" t="n">
        <x:v>660.9602864583333</x:v>
      </x:c>
      <x:c r="EL157" s="23" t="n">
        <x:v>1475.724161783854</x:v>
      </x:c>
      <x:c r="EM157" s="23" t="n">
        <x:v>928.1688527359829</x:v>
      </x:c>
      <x:c r="EN157" s="23" t="n">
        <x:v>648.9704182942708</x:v>
      </x:c>
      <x:c r="EO157" s="23" t="n">
        <x:v>642.0168863932291</x:v>
      </x:c>
      <x:c r="EP157" s="23" t="n">
        <x:f>SUM(B157:EO157)</x:f>
        <x:v>70560.16896929502</x:v>
      </x:c>
      <x:c r="EQ157" s="23" t="n">
        <x:f>SUMPRODUCT(B157:EO157,{0.5713,0.5678,0.5376,0.5214,0.5263,0.5329,0.5205,0.5342,0.5632,0.5502,0.5391,0.5508,0.5586,0.5406,0.5076,0.4939,0.5053,0.515,0.4911,0.4779,0.489,0.5013,0.5393,0.5706,0.533,0.5189,0.5356,0.5016,0.4783,0.475,0.4445,0.4634,0.4888,0.4315,0.6026,0.9161,0.9456,0.8878,0.8791,0.856,0.8407,0.8152,0.7419,0.7504,0.7803,0.6801,0.836,1.1923,1.2693,1.2,1.1441,1.1182,1.0998,1.0883,1.1017,1.1143,1.0556,0.9111,1.0065,1.2772,1.3112,1.2101,1.1636,1.2057,0.9562,0.5592,0.5593,0.611,0.5537,0.5697,0.5631,0.5174,0.5347,0.5789,0.5731,0.5137,0.6884,1.0015,1.0514,1.0282,1.0326,0.9973,1.1384,1.3748,1.3758,1.2903,1.3056,1.4136,1.1986,0.7939,0.7768,0.9086,0.9428,0.8805,0.8869,0.9576,0.9426,0.9394,0.9867,1.0156,1.0238,1.0413,1.094,1.1329,1.1366,1.1392,1.2086,1.3063,1.3265,1.3453,1.3786,1.3891,1.5408,1.735,1.6867,1.6124,1.6401,1.6847,1.6818,1.656,1.6785,1.6852,1.7025,1.7731,1.5304,1.1098,1.0508,1.1021,1.1144,1.1569,0.9669,0.6333,0.5456,0.5498,0.5425,0.5781,0.581,0.5479,0.5506,0.539,0.5194,0.5496,0.5447,0.502})</x:f>
        <x:v>52955.81458577851</x:v>
      </x:c>
    </x:row>
    <x:row r="158" ht="14" customHeight="1">
      <x:c r="A158" s="3">
        <x:v>45845</x:v>
      </x:c>
      <x:c r="B158" s="23" t="n">
        <x:v>683.7030436197916</x:v>
      </x:c>
      <x:c r="C158" s="23" t="n">
        <x:v>686.3190104166666</x:v>
      </x:c>
      <x:c r="D158" s="23" t="n">
        <x:v>676.8094075520833</x:v>
      </x:c>
      <x:c r="E158" s="23" t="n">
        <x:v>673.4213460286458</x:v>
      </x:c>
      <x:c r="F158" s="23" t="n">
        <x:v>676.9259440104166</x:v>
      </x:c>
      <x:c r="G158" s="23" t="n">
        <x:v>678.0913492838541</x:v>
      </x:c>
      <x:c r="H158" s="23" t="n">
        <x:v>1495.1808675130208</x:v>
      </x:c>
      <x:c r="I158" s="23" t="n">
        <x:v>1485.3520100911458</x:v>
      </x:c>
      <x:c r="J158" s="23" t="n">
        <x:v>660.1255289713541</x:v>
      </x:c>
      <x:c r="K158" s="23" t="n">
        <x:v>670.5919189453125</x:v>
      </x:c>
      <x:c r="L158" s="23" t="n">
        <x:v>668.467529296875</x:v>
      </x:c>
      <x:c r="M158" s="23" t="n">
        <x:v>653.7738444010416</x:v>
      </x:c>
      <x:c r="N158" s="23" t="n">
        <x:v>1479.4120279947915</x:v>
      </x:c>
      <x:c r="O158" s="23" t="n">
        <x:v>1484.8783772786458</x:v>
      </x:c>
      <x:c r="P158" s="23" t="n">
        <x:v>665.5556640625</x:v>
      </x:c>
      <x:c r="Q158" s="23" t="n">
        <x:v>623.571044921875</x:v>
      </x:c>
      <x:c r="R158" s="23" t="n">
        <x:v>625.301025390625</x:v>
      </x:c>
      <x:c r="S158" s="23" t="n">
        <x:v>657.82080078125</x:v>
      </x:c>
      <x:c r="T158" s="23" t="n">
        <x:v>645.4877115885416</x:v>
      </x:c>
      <x:c r="U158" s="23" t="n">
        <x:v>633.9892985026041</x:v>
      </x:c>
      <x:c r="V158" s="23" t="n">
        <x:v>635.8802897135416</x:v>
      </x:c>
      <x:c r="W158" s="23" t="n">
        <x:v>628.0450846354166</x:v>
      </x:c>
      <x:c r="X158" s="23" t="n">
        <x:v>630.6750081380208</x:v>
      </x:c>
      <x:c r="Y158" s="23" t="n">
        <x:v>647.363037109375</x:v>
      </x:c>
      <x:c r="Z158" s="23" t="n">
        <x:v>1466.659952799479</x:v>
      </x:c>
      <x:c r="AA158" s="23" t="n">
        <x:v>1364.115721565554</x:v>
      </x:c>
      <x:c r="AB158" s="23" t="n">
        <x:v>647.72509765625</x:v>
      </x:c>
      <x:c r="AC158" s="23" t="n">
        <x:v>647.2538613527516</x:v>
      </x:c>
      <x:c r="AD158" s="23" t="n">
        <x:v>643.839111328125</x:v>
      </x:c>
      <x:c r="AE158" s="23" t="n">
        <x:v>623.0830954529614</x:v>
      </x:c>
      <x:c r="AF158" s="23" t="n">
        <x:v>592.7197124892667</x:v>
      </x:c>
      <x:c r="AG158" s="23" t="n">
        <x:v>1406.814276004347</x:v>
      </x:c>
      <x:c r="AH158" s="23" t="n">
        <x:v>1388.9709934329844</x:v>
      </x:c>
      <x:c r="AI158" s="23" t="n">
        <x:v>1331.1915249520443</x:v>
      </x:c>
      <x:c r="AJ158" s="23" t="n">
        <x:v>495.77398825614046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434.4870309526701</x:v>
      </x:c>
      <x:c r="AQ158" s="23" t="n">
        <x:v>395.99596150057243</x:v>
      </x:c>
      <x:c r="AR158" s="23" t="n">
        <x:v>0</x:v>
      </x:c>
      <x:c r="AS158" s="23" t="n">
        <x:v>0</x:v>
      </x:c>
      <x:c r="AT158" s="23" t="n">
        <x:v>269.66957260014533</x:v>
      </x:c>
      <x:c r="AU158" s="23" t="n">
        <x:v>170.14613328597687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0</x:v>
      </x:c>
      <x:c r="BP158" s="23" t="n">
        <x:v>635.1996906377665</x:v>
      </x:c>
      <x:c r="BQ158" s="23" t="n">
        <x:v>627.2774107531283</x:v>
      </x:c>
      <x:c r="BR158" s="23" t="n">
        <x:v>0</x:v>
      </x:c>
      <x:c r="BS158" s="23" t="n">
        <x:v>650.4492782907666</x:v>
      </x:c>
      <x:c r="BT158" s="23" t="n">
        <x:v>647.2205363707614</x:v>
      </x:c>
      <x:c r="BU158" s="23" t="n">
        <x:v>629.459773619551</x:v>
      </x:c>
      <x:c r="BV158" s="23" t="n">
        <x:v>576.5544012352359</x:v>
      </x:c>
      <x:c r="BW158" s="23" t="n">
        <x:v>220.99207359758623</x:v>
      </x:c>
      <x:c r="BX158" s="23" t="n">
        <x:v>617.3661159247331</x:v>
      </x:c>
      <x:c r="BY158" s="23" t="n">
        <x:v>614.178540741315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386.5122379768325</x:v>
      </x:c>
      <x:c r="CN158" s="23" t="n">
        <x:v>1124.034620726191</x:v>
      </x:c>
      <x:c r="CO158" s="23" t="n">
        <x:v>347.4405425837508</x:v>
      </x:c>
      <x:c r="CP158" s="23" t="n">
        <x:v>405.02361493414384</x:v>
      </x:c>
      <x:c r="CQ158" s="23" t="n">
        <x:v>437.9012519712311</x:v>
      </x:c>
      <x:c r="CR158" s="23" t="n">
        <x:v>460.8982692472314</x:v>
      </x:c>
      <x:c r="CS158" s="23" t="n">
        <x:v>498.90613695690547</x:v>
      </x:c>
      <x:c r="CT158" s="23" t="n">
        <x:v>544.1428902177955</x:v>
      </x:c>
      <x:c r="CU158" s="23" t="n">
        <x:v>583.3444097498418</x:v>
      </x:c>
      <x:c r="CV158" s="23" t="n">
        <x:v>621.5728969230252</x:v>
      </x:c>
      <x:c r="CW158" s="23" t="n">
        <x:v>663.7861968228026</x:v>
      </x:c>
      <x:c r="CX158" s="23" t="n">
        <x:v>706.2805226742217</x:v>
      </x:c>
      <x:c r="CY158" s="23" t="n">
        <x:v>742.3593476244198</x:v>
      </x:c>
      <x:c r="CZ158" s="23" t="n">
        <x:v>784.1847109909256</x:v>
      </x:c>
      <x:c r="DA158" s="23" t="n">
        <x:v>822.7784545893719</x:v>
      </x:c>
      <x:c r="DB158" s="23" t="n">
        <x:v>864.6688165021799</x:v>
      </x:c>
      <x:c r="DC158" s="23" t="n">
        <x:v>884.8899667878568</x:v>
      </x:c>
      <x:c r="DD158" s="23" t="n">
        <x:v>888.9994269683696</x:v>
      </x:c>
      <x:c r="DE158" s="23" t="n">
        <x:v>658.9157460645683</x:v>
      </x:c>
      <x:c r="DF158" s="23" t="n">
        <x:v>720.9955536768639</x:v>
      </x:c>
      <x:c r="DG158" s="23" t="n">
        <x:v>794.4302532471679</x:v>
      </x:c>
      <x:c r="DH158" s="23" t="n">
        <x:v>731.078552450245</x:v>
      </x:c>
      <x:c r="DI158" s="23" t="n">
        <x:v>765.2082622471314</x:v>
      </x:c>
      <x:c r="DJ158" s="23" t="n">
        <x:v>780.8257446908285</x:v>
      </x:c>
      <x:c r="DK158" s="23" t="n">
        <x:v>204.93658488090415</x:v>
      </x:c>
      <x:c r="DL158" s="23" t="n">
        <x:v>202.3280442617926</x:v>
      </x:c>
      <x:c r="DM158" s="23" t="n">
        <x:v>132.96654889705223</x:v>
      </x:c>
      <x:c r="DN158" s="23" t="n">
        <x:v>170.52170703124995</x:v>
      </x:c>
      <x:c r="DO158" s="23" t="n">
        <x:v>204.09787959635423</x:v>
      </x:c>
      <x:c r="DP158" s="23" t="n">
        <x:v>213.8376235677083</x:v>
      </x:c>
      <x:c r="DQ158" s="23" t="n">
        <x:v>69.78758268229163</x:v>
      </x:c>
      <x:c r="DR158" s="23" t="n">
        <x:v>92.5465182291667</x:v>
      </x:c>
      <x:c r="DS158" s="23" t="n">
        <x:v>207.12223859375004</x:v>
      </x:c>
      <x:c r="DT158" s="23" t="n">
        <x:v>227.1207447916666</x:v>
      </x:c>
      <x:c r="DU158" s="23" t="n">
        <x:v>224.2215091666667</x:v>
      </x:c>
      <x:c r="DV158" s="23" t="n">
        <x:v>987.6993815104166</x:v>
      </x:c>
      <x:c r="DW158" s="23" t="n">
        <x:v>970.1937662760416</x:v>
      </x:c>
      <x:c r="DX158" s="23" t="n">
        <x:v>980.0982259114583</x:v>
      </x:c>
      <x:c r="DY158" s="23" t="n">
        <x:v>944.9955240885416</x:v>
      </x:c>
      <x:c r="DZ158" s="23" t="n">
        <x:v>984.5016276041666</x:v>
      </x:c>
      <x:c r="EA158" s="23" t="n">
        <x:v>976.8343422656249</x:v>
      </x:c>
      <x:c r="EB158" s="23" t="n">
        <x:v>835.1890889322918</x:v>
      </x:c>
      <x:c r="EC158" s="23" t="n">
        <x:v>1516.1870930989583</x:v>
      </x:c>
      <x:c r="ED158" s="23" t="n">
        <x:v>1517.53125</x:v>
      </x:c>
      <x:c r="EE158" s="23" t="n">
        <x:v>700.5547688802083</x:v>
      </x:c>
      <x:c r="EF158" s="23" t="n">
        <x:v>1545.6482747395833</x:v>
      </x:c>
      <x:c r="EG158" s="23" t="n">
        <x:v>698.8385416666666</x:v>
      </x:c>
      <x:c r="EH158" s="23" t="n">
        <x:v>718.8849283854166</x:v>
      </x:c>
      <x:c r="EI158" s="23" t="n">
        <x:v>1558.7610677083333</x:v>
      </x:c>
      <x:c r="EJ158" s="23" t="n">
        <x:v>1517.6245930989583</x:v>
      </x:c>
      <x:c r="EK158" s="23" t="n">
        <x:v>674.7389729817708</x:v>
      </x:c>
      <x:c r="EL158" s="23" t="n">
        <x:v>1509.2828776041665</x:v>
      </x:c>
      <x:c r="EM158" s="23" t="n">
        <x:v>948.0074980750062</x:v>
      </x:c>
      <x:c r="EN158" s="23" t="n">
        <x:v>723.4217122395833</x:v>
      </x:c>
      <x:c r="EO158" s="23" t="n">
        <x:v>774.3252766927083</x:v>
      </x:c>
      <x:c r="EP158" s="23" t="n">
        <x:f>SUM(B158:EO158)</x:f>
        <x:v>75415.86924512988</x:v>
      </x:c>
      <x:c r="EQ158" s="23" t="n">
        <x:f>SUMPRODUCT(B158:EO158,{0.5078,0.5307,0.5419,0.5433,0.5272,0.5204,0.5551,0.541,0.4899,0.5049,0.5245,0.5237,0.5436,0.5726,0.5727,0.5207,0.5,0.5257,0.5361,0.5425,0.5528,0.5502,0.5115,0.4864,0.5435,0.5417,0.4964,0.5582,0.5909,0.541,0.498,0.4934,0.4727,0.3983,0.5609,0.8673,0.9108,0.8875,0.9009,0.848,0.7925,0.7766,0.7777,0.7768,0.7181,0.6021,0.7857,1.1604,1.2271,1.1379,1.1015,1.157,1.1234,1.0166,1.0223,1.0083,0.9427,0.9528,1.0666,1.1797,1.154,1.1308,1.1881,1.2262,0.9909,0.622,0.5399,0.5693,0.5771,0.597,0.5538,0.4658,0.4462,0.4957,0.5351,0.5148,0.6893,0.9738,1.0036,0.9515,0.9481,0.9691,1.0885,1.24,1.256,1.2294,1.2648,1.3312,1.1001,0.7405,0.772,0.8501,0.8177,0.8601,0.8961,0.8728,0.845,0.8979,0.9957,1.0166,1.002,1.0043,1.0366,1.0791,1.0928,1.0679,1.1476,1.285,1.296,1.349,1.4405,1.4081,1.4882,1.6636,1.6627,1.6148,1.6292,1.6777,1.6854,1.6611,1.6741,1.6646,1.6581,1.7052,1.5016,1.1357,1.0368,1.0708,1.1141,1.1386,0.8904,0.531,0.5136,0.5805,0.5688,0.5653,0.5445,0.5182,0.5411,0.5693,0.5557,0.5038,0.5225,0.5712})</x:f>
        <x:v>55389.41652166963</x:v>
      </x:c>
    </x:row>
    <x:row r="159" ht="14" customHeight="1">
      <x:c r="A159" s="3">
        <x:v>45846</x:v>
      </x:c>
      <x:c r="B159" s="23" t="n">
        <x:v>766.2329915364583</x:v>
      </x:c>
      <x:c r="C159" s="23" t="n">
        <x:v>756.1647135416666</x:v>
      </x:c>
      <x:c r="D159" s="23" t="n">
        <x:v>766.9618326822916</x:v>
      </x:c>
      <x:c r="E159" s="23" t="n">
        <x:v>735.8855794270833</x:v>
      </x:c>
      <x:c r="F159" s="23" t="n">
        <x:v>721.7725423177083</x:v>
      </x:c>
      <x:c r="G159" s="23" t="n">
        <x:v>728.2227376302083</x:v>
      </x:c>
      <x:c r="H159" s="23" t="n">
        <x:v>720.6109212239583</x:v>
      </x:c>
      <x:c r="I159" s="23" t="n">
        <x:v>731.85986328125</x:v>
      </x:c>
      <x:c r="J159" s="23" t="n">
        <x:v>761.0398763020833</x:v>
      </x:c>
      <x:c r="K159" s="23" t="n">
        <x:v>770.0559895833333</x:v>
      </x:c>
      <x:c r="L159" s="23" t="n">
        <x:v>772.5345865885416</x:v>
      </x:c>
      <x:c r="M159" s="23" t="n">
        <x:v>763.9388834635416</x:v>
      </x:c>
      <x:c r="N159" s="23" t="n">
        <x:v>762.9908040364583</x:v>
      </x:c>
      <x:c r="O159" s="23" t="n">
        <x:v>735.341552734375</x:v>
      </x:c>
      <x:c r="P159" s="23" t="n">
        <x:v>689.4755045572916</x:v>
      </x:c>
      <x:c r="Q159" s="23" t="n">
        <x:v>702.1370442708333</x:v>
      </x:c>
      <x:c r="R159" s="23" t="n">
        <x:v>699.964599609375</x:v>
      </x:c>
      <x:c r="S159" s="23" t="n">
        <x:v>692.43603515625</x:v>
      </x:c>
      <x:c r="T159" s="23" t="n">
        <x:v>1543.4970703125</x:v>
      </x:c>
      <x:c r="U159" s="23" t="n">
        <x:v>709.886962890625</x:v>
      </x:c>
      <x:c r="V159" s="23" t="n">
        <x:v>700.178955078125</x:v>
      </x:c>
      <x:c r="W159" s="23" t="n">
        <x:v>672.7177734375</x:v>
      </x:c>
      <x:c r="X159" s="23" t="n">
        <x:v>1508.8443603515625</x:v>
      </x:c>
      <x:c r="Y159" s="23" t="n">
        <x:v>1528.644287109375</x:v>
      </x:c>
      <x:c r="Z159" s="23" t="n">
        <x:v>1522.3536544311032</x:v>
      </x:c>
      <x:c r="AA159" s="23" t="n">
        <x:v>687.3699544270833</x:v>
      </x:c>
      <x:c r="AB159" s="23" t="n">
        <x:v>1512.334228515625</x:v>
      </x:c>
      <x:c r="AC159" s="23" t="n">
        <x:v>685.6366330848771</x:v>
      </x:c>
      <x:c r="AD159" s="23" t="n">
        <x:v>689.9237467447916</x:v>
      </x:c>
      <x:c r="AE159" s="23" t="n">
        <x:v>678.642708950547</x:v>
      </x:c>
      <x:c r="AF159" s="23" t="n">
        <x:v>641.7962580918409</x:v>
      </x:c>
      <x:c r="AG159" s="23" t="n">
        <x:v>1437.7181713180864</x:v>
      </x:c>
      <x:c r="AH159" s="23" t="n">
        <x:v>1406.374307960154</x:v>
      </x:c>
      <x:c r="AI159" s="23" t="n">
        <x:v>1367.5476894825192</x:v>
      </x:c>
      <x:c r="AJ159" s="23" t="n">
        <x:v>581.6758754042821</x:v>
      </x:c>
      <x:c r="AK159" s="23" t="n">
        <x:v>0</x:v>
      </x:c>
      <x:c r="AL159" s="23" t="n">
        <x:v>0</x:v>
      </x:c>
      <x:c r="AM159" s="23" t="n">
        <x:v>591.4243275252188</x:v>
      </x:c>
      <x:c r="AN159" s="23" t="n">
        <x:v>0</x:v>
      </x:c>
      <x:c r="AO159" s="23" t="n">
        <x:v>0</x:v>
      </x:c>
      <x:c r="AP159" s="23" t="n">
        <x:v>455.1850429113572</x:v>
      </x:c>
      <x:c r="AQ159" s="23" t="n">
        <x:v>417.85834077445253</x:v>
      </x:c>
      <x:c r="AR159" s="23" t="n">
        <x:v>340.1049683694484</x:v>
      </x:c>
      <x:c r="AS159" s="23" t="n">
        <x:v>326.5579689609324</x:v>
      </x:c>
      <x:c r="AT159" s="23" t="n">
        <x:v>299.4874568991525</x:v>
      </x:c>
      <x:c r="AU159" s="23" t="n">
        <x:v>189.89091888248734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0</x:v>
      </x:c>
      <x:c r="BP159" s="23" t="n">
        <x:v>639.1862725582696</x:v>
      </x:c>
      <x:c r="BQ159" s="23" t="n">
        <x:v>0</x:v>
      </x:c>
      <x:c r="BR159" s="23" t="n">
        <x:v>0</x:v>
      </x:c>
      <x:c r="BS159" s="23" t="n">
        <x:v>0</x:v>
      </x:c>
      <x:c r="BT159" s="23" t="n">
        <x:v>0</x:v>
      </x:c>
      <x:c r="BU159" s="23" t="n">
        <x:v>0</x:v>
      </x:c>
      <x:c r="BV159" s="23" t="n">
        <x:v>588.1686519977009</x:v>
      </x:c>
      <x:c r="BW159" s="23" t="n">
        <x:v>598.7684617091757</x:v>
      </x:c>
      <x:c r="BX159" s="23" t="n">
        <x:v>619.6886924332412</x:v>
      </x:c>
      <x:c r="BY159" s="23" t="n">
        <x:v>611.0268349884169</x:v>
      </x:c>
      <x:c r="BZ159" s="23" t="n">
        <x:v>0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243.83075020908547</x:v>
      </x:c>
      <x:c r="CN159" s="23" t="n">
        <x:v>939.0072676573354</x:v>
      </x:c>
      <x:c r="CO159" s="23" t="n">
        <x:v>349.43150741940735</x:v>
      </x:c>
      <x:c r="CP159" s="23" t="n">
        <x:v>394.40087840346797</x:v>
      </x:c>
      <x:c r="CQ159" s="23" t="n">
        <x:v>417.8436322486883</x:v>
      </x:c>
      <x:c r="CR159" s="23" t="n">
        <x:v>447.3950318672276</x:v>
      </x:c>
      <x:c r="CS159" s="23" t="n">
        <x:v>485.5986712309914</x:v>
      </x:c>
      <x:c r="CT159" s="23" t="n">
        <x:v>528.0154109771697</x:v>
      </x:c>
      <x:c r="CU159" s="23" t="n">
        <x:v>577.9221731709332</x:v>
      </x:c>
      <x:c r="CV159" s="23" t="n">
        <x:v>630.2813613320418</x:v>
      </x:c>
      <x:c r="CW159" s="23" t="n">
        <x:v>671.4496277855873</x:v>
      </x:c>
      <x:c r="CX159" s="23" t="n">
        <x:v>712.6682158047503</x:v>
      </x:c>
      <x:c r="CY159" s="23" t="n">
        <x:v>754.8677247885922</x:v>
      </x:c>
      <x:c r="CZ159" s="23" t="n">
        <x:v>793.5348742144639</x:v>
      </x:c>
      <x:c r="DA159" s="23" t="n">
        <x:v>832.3558294637329</x:v>
      </x:c>
      <x:c r="DB159" s="23" t="n">
        <x:v>853.8721390310789</x:v>
      </x:c>
      <x:c r="DC159" s="23" t="n">
        <x:v>893.3831024820635</x:v>
      </x:c>
      <x:c r="DD159" s="23" t="n">
        <x:v>893.666037764429</x:v>
      </x:c>
      <x:c r="DE159" s="23" t="n">
        <x:v>755.2148137419833</x:v>
      </x:c>
      <x:c r="DF159" s="23" t="n">
        <x:v>734.3689900067013</x:v>
      </x:c>
      <x:c r="DG159" s="23" t="n">
        <x:v>789.115741509368</x:v>
      </x:c>
      <x:c r="DH159" s="23" t="n">
        <x:v>891.813554261287</x:v>
      </x:c>
      <x:c r="DI159" s="23" t="n">
        <x:v>910.8003581671423</x:v>
      </x:c>
      <x:c r="DJ159" s="23" t="n">
        <x:v>948.4406989408444</x:v>
      </x:c>
      <x:c r="DK159" s="23" t="n">
        <x:v>192.46487025657385</x:v>
      </x:c>
      <x:c r="DL159" s="23" t="n">
        <x:v>253.7379563711676</x:v>
      </x:c>
      <x:c r="DM159" s="23" t="n">
        <x:v>242.97450241931875</x:v>
      </x:c>
      <x:c r="DN159" s="23" t="n">
        <x:v>187.90320117187503</x:v>
      </x:c>
      <x:c r="DO159" s="23" t="n">
        <x:v>225.60015824218755</x:v>
      </x:c>
      <x:c r="DP159" s="23" t="n">
        <x:v>238.53431953124996</x:v>
      </x:c>
      <x:c r="DQ159" s="23" t="n">
        <x:v>237.83385188802077</x:v>
      </x:c>
      <x:c r="DR159" s="23" t="n">
        <x:v>231.43111742187494</x:v>
      </x:c>
      <x:c r="DS159" s="23" t="n">
        <x:v>248.3352919791667</x:v>
      </x:c>
      <x:c r="DT159" s="23" t="n">
        <x:v>257.8215097656249</x:v>
      </x:c>
      <x:c r="DU159" s="23" t="n">
        <x:v>256.3333255729167</x:v>
      </x:c>
      <x:c r="DV159" s="23" t="n">
        <x:v>825.966881667244</x:v>
      </x:c>
      <x:c r="DW159" s="23" t="n">
        <x:v>982.9544270833333</x:v>
      </x:c>
      <x:c r="DX159" s="23" t="n">
        <x:v>1017.4876647698044</x:v>
      </x:c>
      <x:c r="DY159" s="23" t="n">
        <x:v>1015.483154296875</x:v>
      </x:c>
      <x:c r="DZ159" s="23" t="n">
        <x:v>1007.4121907552083</x:v>
      </x:c>
      <x:c r="EA159" s="23" t="n">
        <x:v>1025.8606043098957</x:v>
      </x:c>
      <x:c r="EB159" s="23" t="n">
        <x:v>918.9070851822918</x:v>
      </x:c>
      <x:c r="EC159" s="23" t="n">
        <x:v>1612.2066243489583</x:v>
      </x:c>
      <x:c r="ED159" s="23" t="n">
        <x:v>1614.7937825520833</x:v>
      </x:c>
      <x:c r="EE159" s="23" t="n">
        <x:v>803.6344401041666</x:v>
      </x:c>
      <x:c r="EF159" s="23" t="n">
        <x:v>792.4097493489583</x:v>
      </x:c>
      <x:c r="EG159" s="23" t="n">
        <x:v>804.1359049479166</x:v>
      </x:c>
      <x:c r="EH159" s="23" t="n">
        <x:v>1054.3067991174769</x:v>
      </x:c>
      <x:c r="EI159" s="23" t="n">
        <x:v>1565.5751139322915</x:v>
      </x:c>
      <x:c r="EJ159" s="23" t="n">
        <x:v>1609.83251953125</x:v>
      </x:c>
      <x:c r="EK159" s="23" t="n">
        <x:v>779.4007161458333</x:v>
      </x:c>
      <x:c r="EL159" s="23" t="n">
        <x:v>777.9715169270833</x:v>
      </x:c>
      <x:c r="EM159" s="23" t="n">
        <x:v>1604.806640625</x:v>
      </x:c>
      <x:c r="EN159" s="23" t="n">
        <x:v>760.2977701822916</x:v>
      </x:c>
      <x:c r="EO159" s="23" t="n">
        <x:v>1617.03271484375</x:v>
      </x:c>
      <x:c r="EP159" s="23" t="n">
        <x:f>SUM(B159:EO159)</x:f>
        <x:v>78042.84143131322</x:v>
      </x:c>
      <x:c r="EQ159" s="23" t="n">
        <x:f>SUMPRODUCT(B159:EO159,{0.5082,0.4788,0.5367,0.5823,0.5669,0.5329,0.5545,0.5352,0.495,0.5528,0.5902,0.5577,0.5211,0.4893,0.4841,0.5359,0.5925,0.588,0.5034,0.4721,0.4989,0.4715,0.472,0.5116,0.5099,0.4998,0.4953,0.4817,0.5196,0.5683,0.5232,0.4958,0.4774,0.3935,0.5823,0.9402,0.9834,0.8901,0.8551,0.8878,0.8818,0.8181,0.7784,0.7845,0.7638,0.6716,0.8621,1.2068,1.2075,1.2012,1.2725,1.1591,1.0726,1.0905,1.0724,1.0331,0.9974,0.9843,1.1073,1.2728,1.2456,1.1431,1.1165,1.1668,0.9463,0.5543,0.4712,0.569,0.6234,0.5333,0.4394,0.4237,0.4481,0.4642,0.4466,0.4323,0.5964,0.8405,0.8757,0.8727,0.9058,0.8978,1.0157,1.2229,1.2951,1.3201,1.3688,1.3754,1.1358,0.8099,0.793,0.8436,0.8282,0.8507,0.8787,0.9004,0.9431,0.9658,0.9893,1.0654,1.063,1.0262,1.1237,1.1453,1.0672,1.0942,1.213,1.3281,1.3538,1.3383,1.3217,1.3297,1.4876,1.6794,1.646,1.6121,1.6694,1.6829,1.6386,1.6224,1.7146,1.7191,1.6718,1.7507,1.5247,1.1077,1.083,1.1293,1.1099,1.1713,0.9444,0.5508,0.5268,0.585,0.5532,0.5539,0.5744,0.579,0.5566,0.5365,0.5454,0.5823,0.5873,0.5512})</x:f>
        <x:v>58551.666724448914</x:v>
      </x:c>
    </x:row>
    <x:row r="160" ht="14" customHeight="1">
      <x:c r="A160" s="3">
        <x:v>45847</x:v>
      </x:c>
      <x:c r="B160" s="23" t="n">
        <x:v>775.2813313802083</x:v>
      </x:c>
      <x:c r="C160" s="23" t="n">
        <x:v>769.0165201822916</x:v>
      </x:c>
      <x:c r="D160" s="23" t="n">
        <x:v>776.403076171875</x:v>
      </x:c>
      <x:c r="E160" s="23" t="n">
        <x:v>749.9688313802083</x:v>
      </x:c>
      <x:c r="F160" s="23" t="n">
        <x:v>766.944580078125</x:v>
      </x:c>
      <x:c r="G160" s="23" t="n">
        <x:v>770.8150227864583</x:v>
      </x:c>
      <x:c r="H160" s="23" t="n">
        <x:v>767.111328125</x:v>
      </x:c>
      <x:c r="I160" s="23" t="n">
        <x:v>760.5821940104166</x:v>
      </x:c>
      <x:c r="J160" s="23" t="n">
        <x:v>760.61083984375</x:v>
      </x:c>
      <x:c r="K160" s="23" t="n">
        <x:v>763.2474772135416</x:v>
      </x:c>
      <x:c r="L160" s="23" t="n">
        <x:v>756.8196614583333</x:v>
      </x:c>
      <x:c r="M160" s="23" t="n">
        <x:v>738.82275390625</x:v>
      </x:c>
      <x:c r="N160" s="23" t="n">
        <x:v>734.380615234375</x:v>
      </x:c>
      <x:c r="O160" s="23" t="n">
        <x:v>715.692138671875</x:v>
      </x:c>
      <x:c r="P160" s="23" t="n">
        <x:v>697.40966796875</x:v>
      </x:c>
      <x:c r="Q160" s="23" t="n">
        <x:v>689.8433430989583</x:v>
      </x:c>
      <x:c r="R160" s="23" t="n">
        <x:v>688.4718424479166</x:v>
      </x:c>
      <x:c r="S160" s="23" t="n">
        <x:v>684.21337890625</x:v>
      </x:c>
      <x:c r="T160" s="23" t="n">
        <x:v>1537.3251139322915</x:v>
      </x:c>
      <x:c r="U160" s="23" t="n">
        <x:v>1127.694921084104</x:v>
      </x:c>
      <x:c r="V160" s="23" t="n">
        <x:v>670.618896484375</x:v>
      </x:c>
      <x:c r="W160" s="23" t="n">
        <x:v>698.1559244791666</x:v>
      </x:c>
      <x:c r="X160" s="23" t="n">
        <x:v>703.9567057291666</x:v>
      </x:c>
      <x:c r="Y160" s="23" t="n">
        <x:v>692.1151529947916</x:v>
      </x:c>
      <x:c r="Z160" s="23" t="n">
        <x:v>683.2027994791666</x:v>
      </x:c>
      <x:c r="AA160" s="23" t="n">
        <x:v>695.7252604166666</x:v>
      </x:c>
      <x:c r="AB160" s="23" t="n">
        <x:v>692.2315266927083</x:v>
      </x:c>
      <x:c r="AC160" s="23" t="n">
        <x:v>1498.5921654814056</x:v>
      </x:c>
      <x:c r="AD160" s="23" t="n">
        <x:v>1501.820556640625</x:v>
      </x:c>
      <x:c r="AE160" s="23" t="n">
        <x:v>679.2111157406777</x:v>
      </x:c>
      <x:c r="AF160" s="23" t="n">
        <x:v>659.4630802475433</x:v>
      </x:c>
      <x:c r="AG160" s="23" t="n">
        <x:v>1455.3698834378579</x:v>
      </x:c>
      <x:c r="AH160" s="23" t="n">
        <x:v>1406.4160085711312</x:v>
      </x:c>
      <x:c r="AI160" s="23" t="n">
        <x:v>1377.9627025792402</x:v>
      </x:c>
      <x:c r="AJ160" s="23" t="n">
        <x:v>591.1222582236626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408.62437873591364</x:v>
      </x:c>
      <x:c r="AR160" s="23" t="n">
        <x:v>370.2638357103422</x:v>
      </x:c>
      <x:c r="AS160" s="23" t="n">
        <x:v>346.2368172600376</x:v>
      </x:c>
      <x:c r="AT160" s="23" t="n">
        <x:v>311.3096064061618</x:v>
      </x:c>
      <x:c r="AU160" s="23" t="n">
        <x:v>228.63179841985962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659.6664138533597</x:v>
      </x:c>
      <x:c r="BP160" s="23" t="n">
        <x:v>636.4134013271298</x:v>
      </x:c>
      <x:c r="BQ160" s="23" t="n">
        <x:v>0</x:v>
      </x:c>
      <x:c r="BR160" s="23" t="n">
        <x:v>0</x:v>
      </x:c>
      <x:c r="BS160" s="23" t="n">
        <x:v>0</x:v>
      </x:c>
      <x:c r="BT160" s="23" t="n">
        <x:v>406.53344159384324</x:v>
      </x:c>
      <x:c r="BU160" s="23" t="n">
        <x:v>548.7558595402118</x:v>
      </x:c>
      <x:c r="BV160" s="23" t="n">
        <x:v>556.3086450825269</x:v>
      </x:c>
      <x:c r="BW160" s="23" t="n">
        <x:v>575.9336979694019</x:v>
      </x:c>
      <x:c r="BX160" s="23" t="n">
        <x:v>581.7316704607216</x:v>
      </x:c>
      <x:c r="BY160" s="23" t="n">
        <x:v>588.0715585732056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285.7030242674476</x:v>
      </x:c>
      <x:c r="CN160" s="23" t="n">
        <x:v>1157.740878600755</x:v>
      </x:c>
      <x:c r="CO160" s="23" t="n">
        <x:v>379.8377358593548</x:v>
      </x:c>
      <x:c r="CP160" s="23" t="n">
        <x:v>412.4923455944684</x:v>
      </x:c>
      <x:c r="CQ160" s="23" t="n">
        <x:v>437.869201885975</x:v>
      </x:c>
      <x:c r="CR160" s="23" t="n">
        <x:v>475.70234617019287</x:v>
      </x:c>
      <x:c r="CS160" s="23" t="n">
        <x:v>520.0013184135146</x:v>
      </x:c>
      <x:c r="CT160" s="23" t="n">
        <x:v>553.9484423419914</x:v>
      </x:c>
      <x:c r="CU160" s="23" t="n">
        <x:v>603.6980067509012</x:v>
      </x:c>
      <x:c r="CV160" s="23" t="n">
        <x:v>661.2263951035468</x:v>
      </x:c>
      <x:c r="CW160" s="23" t="n">
        <x:v>699.3164862133774</x:v>
      </x:c>
      <x:c r="CX160" s="23" t="n">
        <x:v>734.3171912378303</x:v>
      </x:c>
      <x:c r="CY160" s="23" t="n">
        <x:v>776.7246520421573</x:v>
      </x:c>
      <x:c r="CZ160" s="23" t="n">
        <x:v>814.0328163832626</x:v>
      </x:c>
      <x:c r="DA160" s="23" t="n">
        <x:v>848.6766854455124</x:v>
      </x:c>
      <x:c r="DB160" s="23" t="n">
        <x:v>887.7364295185062</x:v>
      </x:c>
      <x:c r="DC160" s="23" t="n">
        <x:v>918.74900238601</x:v>
      </x:c>
      <x:c r="DD160" s="23" t="n">
        <x:v>914.792990571603</x:v>
      </x:c>
      <x:c r="DE160" s="23" t="n">
        <x:v>729.7157429678484</x:v>
      </x:c>
      <x:c r="DF160" s="23" t="n">
        <x:v>750.2872543388339</x:v>
      </x:c>
      <x:c r="DG160" s="23" t="n">
        <x:v>847.4844860104915</x:v>
      </x:c>
      <x:c r="DH160" s="23" t="n">
        <x:v>892.0600743987749</x:v>
      </x:c>
      <x:c r="DI160" s="23" t="n">
        <x:v>900.825864478209</x:v>
      </x:c>
      <x:c r="DJ160" s="23" t="n">
        <x:v>956.8457123601315</x:v>
      </x:c>
      <x:c r="DK160" s="23" t="n">
        <x:v>247.47063680014904</x:v>
      </x:c>
      <x:c r="DL160" s="23" t="n">
        <x:v>247.3221049852923</x:v>
      </x:c>
      <x:c r="DM160" s="23" t="n">
        <x:v>199.66118540160565</x:v>
      </x:c>
      <x:c r="DN160" s="23" t="n">
        <x:v>232.33712044270834</x:v>
      </x:c>
      <x:c r="DO160" s="23" t="n">
        <x:v>197.2867630598959</x:v>
      </x:c>
      <x:c r="DP160" s="23" t="n">
        <x:v>208.60404377604178</x:v>
      </x:c>
      <x:c r="DQ160" s="23" t="n">
        <x:v>253.76004003906246</x:v>
      </x:c>
      <x:c r="DR160" s="23" t="n">
        <x:v>236.80660570312494</x:v>
      </x:c>
      <x:c r="DS160" s="23" t="n">
        <x:v>247.96265200520838</x:v>
      </x:c>
      <x:c r="DT160" s="23" t="n">
        <x:v>262.1231861979166</x:v>
      </x:c>
      <x:c r="DU160" s="23" t="n">
        <x:v>258.2884036979167</x:v>
      </x:c>
      <x:c r="DV160" s="23" t="n">
        <x:v>862.1162249541604</x:v>
      </x:c>
      <x:c r="DW160" s="23" t="n">
        <x:v>957.0867513020833</x:v>
      </x:c>
      <x:c r="DX160" s="23" t="n">
        <x:v>983.6545303658693</x:v>
      </x:c>
      <x:c r="DY160" s="23" t="n">
        <x:v>1007.040283203125</x:v>
      </x:c>
      <x:c r="DZ160" s="23" t="n">
        <x:v>985.4414876302083</x:v>
      </x:c>
      <x:c r="EA160" s="23" t="n">
        <x:v>1029.476896627604</x:v>
      </x:c>
      <x:c r="EB160" s="23" t="n">
        <x:v>903.6855682552084</x:v>
      </x:c>
      <x:c r="EC160" s="23" t="n">
        <x:v>1609.95947265625</x:v>
      </x:c>
      <x:c r="ED160" s="23" t="n">
        <x:v>1619.899658203125</x:v>
      </x:c>
      <x:c r="EE160" s="23" t="n">
        <x:v>839.4485677083333</x:v>
      </x:c>
      <x:c r="EF160" s="23" t="n">
        <x:v>1607.7189127604165</x:v>
      </x:c>
      <x:c r="EG160" s="23" t="n">
        <x:v>790.5870768229166</x:v>
      </x:c>
      <x:c r="EH160" s="23" t="n">
        <x:v>818.3584798177083</x:v>
      </x:c>
      <x:c r="EI160" s="23" t="n">
        <x:v>1051.0097613570601</x:v>
      </x:c>
      <x:c r="EJ160" s="23" t="n">
        <x:v>1603.4112141927083</x:v>
      </x:c>
      <x:c r="EK160" s="23" t="n">
        <x:v>1600.8995768229165</x:v>
      </x:c>
      <x:c r="EL160" s="23" t="n">
        <x:v>1594.0128580729165</x:v>
      </x:c>
      <x:c r="EM160" s="23" t="n">
        <x:v>775.5829264322916</x:v>
      </x:c>
      <x:c r="EN160" s="23" t="n">
        <x:v>779.716552734375</x:v>
      </x:c>
      <x:c r="EO160" s="23" t="n">
        <x:v>776.38818359375</x:v>
      </x:c>
      <x:c r="EP160" s="23" t="n">
        <x:f>SUM(B160:EO160)</x:f>
        <x:v>78202.00260897454</x:v>
      </x:c>
      <x:c r="EQ160" s="23" t="n">
        <x:f>SUMPRODUCT(B160:EO160,{0.5218,0.5139,0.5365,0.5816,0.5673,0.5251,0.5634,0.5784,0.556,0.5871,0.6082,0.5851,0.5481,0.5061,0.4804,0.4937,0.5032,0.5082,0.5418,0.5429,0.5164,0.5296,0.5411,0.5312,0.5191,0.4836,0.4529,0.4796,0.4787,0.4534,0.4868,0.4923,0.4319,0.3976,0.6141,0.9343,0.9568,0.872,0.841,0.8401,0.8293,0.8042,0.7875,0.7619,0.7056,0.6634,0.9028,1.2418,1.203,1.1272,1.1626,1.1213,1.0779,1.0682,1.028,0.9329,0.8523,0.8961,1.0078,1.1119,1.1599,1.1246,1.1143,1.2247,1.0093,0.5672,0.4796,0.5335,0.5542,0.5863,0.5795,0.538,0.5213,0.4891,0.4544,0.5043,0.6968,0.9104,0.9441,0.957,0.9872,0.9423,1.0456,1.2604,1.3083,1.3032,1.3392,1.3463,1.1047,0.7551,0.6946,0.7668,0.8169,0.8402,0.8565,0.8875,0.9413,0.9811,0.9846,0.9681,0.9977,1.0493,1.0403,1.0552,1.1073,1.1332,1.2146,1.3469,1.4205,1.4034,1.3398,1.3335,1.4923,1.6839,1.6616,1.6704,1.7416,1.6679,1.6345,1.6897,1.6853,1.6441,1.6536,1.7241,1.5048,1.1153,1.0549,1.1092,1.1397,1.1782,0.9224,0.5369,0.5327,0.6046,0.5614,0.5208,0.5396,0.5828,0.5732,0.5508,0.5501,0.5586,0.5252,0.4842})</x:f>
        <x:v>58429.53572144397</x:v>
      </x:c>
    </x:row>
    <x:row r="161" ht="14" customHeight="1">
      <x:c r="A161" s="3">
        <x:v>45848</x:v>
      </x:c>
      <x:c r="B161" s="23" t="n">
        <x:v>774.4265950520833</x:v>
      </x:c>
      <x:c r="C161" s="23" t="n">
        <x:v>785.5550130208333</x:v>
      </x:c>
      <x:c r="D161" s="23" t="n">
        <x:v>768.9597981770833</x:v>
      </x:c>
      <x:c r="E161" s="23" t="n">
        <x:v>779.038818359375</x:v>
      </x:c>
      <x:c r="F161" s="23" t="n">
        <x:v>766.1415201822916</x:v>
      </x:c>
      <x:c r="G161" s="23" t="n">
        <x:v>727.4580891927083</x:v>
      </x:c>
      <x:c r="H161" s="23" t="n">
        <x:v>779.7723795572916</x:v>
      </x:c>
      <x:c r="I161" s="23" t="n">
        <x:v>765.5123697916666</x:v>
      </x:c>
      <x:c r="J161" s="23" t="n">
        <x:v>761.7704264322916</x:v>
      </x:c>
      <x:c r="K161" s="23" t="n">
        <x:v>771.2530110677083</x:v>
      </x:c>
      <x:c r="L161" s="23" t="n">
        <x:v>774.3057454427083</x:v>
      </x:c>
      <x:c r="M161" s="23" t="n">
        <x:v>698.3610026041666</x:v>
      </x:c>
      <x:c r="N161" s="23" t="n">
        <x:v>706.8212890625</x:v>
      </x:c>
      <x:c r="O161" s="23" t="n">
        <x:v>731.8759765625</x:v>
      </x:c>
      <x:c r="P161" s="23" t="n">
        <x:v>726.8375651041666</x:v>
      </x:c>
      <x:c r="Q161" s="23" t="n">
        <x:v>728.8275553385416</x:v>
      </x:c>
      <x:c r="R161" s="23" t="n">
        <x:v>727.790283203125</x:v>
      </x:c>
      <x:c r="S161" s="23" t="n">
        <x:v>708.9119466145833</x:v>
      </x:c>
      <x:c r="T161" s="23" t="n">
        <x:v>700.3004557291666</x:v>
      </x:c>
      <x:c r="U161" s="23" t="n">
        <x:v>684.2649739583333</x:v>
      </x:c>
      <x:c r="V161" s="23" t="n">
        <x:v>667.7886962890625</x:v>
      </x:c>
      <x:c r="W161" s="23" t="n">
        <x:v>1511.7071533203125</x:v>
      </x:c>
      <x:c r="X161" s="23" t="n">
        <x:v>691.1234537760416</x:v>
      </x:c>
      <x:c r="Y161" s="23" t="n">
        <x:v>691.70263671875</x:v>
      </x:c>
      <x:c r="Z161" s="23" t="n">
        <x:v>685.9952799479166</x:v>
      </x:c>
      <x:c r="AA161" s="23" t="n">
        <x:v>671.6653238932291</x:v>
      </x:c>
      <x:c r="AB161" s="23" t="n">
        <x:v>665.1051839192708</x:v>
      </x:c>
      <x:c r="AC161" s="23" t="n">
        <x:v>659.6686758875838</x:v>
      </x:c>
      <x:c r="AD161" s="23" t="n">
        <x:v>976.6060676877565</x:v>
      </x:c>
      <x:c r="AE161" s="23" t="n">
        <x:v>1507.2258471215032</x:v>
      </x:c>
      <x:c r="AF161" s="23" t="n">
        <x:v>1468.5382433347404</x:v>
      </x:c>
      <x:c r="AG161" s="23" t="n">
        <x:v>1437.4682636280027</x:v>
      </x:c>
      <x:c r="AH161" s="23" t="n">
        <x:v>1413.4599780166918</x:v>
      </x:c>
      <x:c r="AI161" s="23" t="n">
        <x:v>1378.934866310492</x:v>
      </x:c>
      <x:c r="AJ161" s="23" t="n">
        <x:v>571.8338188604107</x:v>
      </x:c>
      <x:c r="AK161" s="23" t="n">
        <x:v>0</x:v>
      </x:c>
      <x:c r="AL161" s="23" t="n">
        <x:v>0</x:v>
      </x:c>
      <x:c r="AM161" s="23" t="n">
        <x:v>0</x:v>
      </x:c>
      <x:c r="AN161" s="23" t="n">
        <x:v>552.8887433283759</x:v>
      </x:c>
      <x:c r="AO161" s="23" t="n">
        <x:v>502.66213119231713</x:v>
      </x:c>
      <x:c r="AP161" s="23" t="n">
        <x:v>0</x:v>
      </x:c>
      <x:c r="AQ161" s="23" t="n">
        <x:v>0</x:v>
      </x:c>
      <x:c r="AR161" s="23" t="n">
        <x:v>91.83112457917134</x:v>
      </x:c>
      <x:c r="AS161" s="23" t="n">
        <x:v>346.76503969295436</x:v>
      </x:c>
      <x:c r="AT161" s="23" t="n">
        <x:v>311.74588101262106</x:v>
      </x:c>
      <x:c r="AU161" s="23" t="n">
        <x:v>203.87484954494522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0</x:v>
      </x:c>
      <x:c r="BP161" s="23" t="n">
        <x:v>0</x:v>
      </x:c>
      <x:c r="BQ161" s="23" t="n">
        <x:v>0</x:v>
      </x:c>
      <x:c r="BR161" s="23" t="n">
        <x:v>658.7988638441526</x:v>
      </x:c>
      <x:c r="BS161" s="23" t="n">
        <x:v>0</x:v>
      </x:c>
      <x:c r="BT161" s="23" t="n">
        <x:v>0</x:v>
      </x:c>
      <x:c r="BU161" s="23" t="n">
        <x:v>585.540281921468</x:v>
      </x:c>
      <x:c r="BV161" s="23" t="n">
        <x:v>574.9611536881781</x:v>
      </x:c>
      <x:c r="BW161" s="23" t="n">
        <x:v>573.1916811901365</x:v>
      </x:c>
      <x:c r="BX161" s="23" t="n">
        <x:v>563.3076657612085</x:v>
      </x:c>
      <x:c r="BY161" s="23" t="n">
        <x:v>590.5557738301313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291.4655797032501</x:v>
      </x:c>
      <x:c r="CN161" s="23" t="n">
        <x:v>1133.0783063582094</x:v>
      </x:c>
      <x:c r="CO161" s="23" t="n">
        <x:v>348.62606877694816</x:v>
      </x:c>
      <x:c r="CP161" s="23" t="n">
        <x:v>378.9432475579048</x:v>
      </x:c>
      <x:c r="CQ161" s="23" t="n">
        <x:v>404.1497169478803</x:v>
      </x:c>
      <x:c r="CR161" s="23" t="n">
        <x:v>449.526339685423</x:v>
      </x:c>
      <x:c r="CS161" s="23" t="n">
        <x:v>503.11781945638086</x:v>
      </x:c>
      <x:c r="CT161" s="23" t="n">
        <x:v>541.5283082620011</x:v>
      </x:c>
      <x:c r="CU161" s="23" t="n">
        <x:v>580.1773354498232</x:v>
      </x:c>
      <x:c r="CV161" s="23" t="n">
        <x:v>630.456495184322</x:v>
      </x:c>
      <x:c r="CW161" s="23" t="n">
        <x:v>679.4902050788943</x:v>
      </x:c>
      <x:c r="CX161" s="23" t="n">
        <x:v>722.8153524087671</x:v>
      </x:c>
      <x:c r="CY161" s="23" t="n">
        <x:v>765.5847122477868</x:v>
      </x:c>
      <x:c r="CZ161" s="23" t="n">
        <x:v>808.3381629479939</x:v>
      </x:c>
      <x:c r="DA161" s="23" t="n">
        <x:v>844.7134283824673</x:v>
      </x:c>
      <x:c r="DB161" s="23" t="n">
        <x:v>878.4321158747655</x:v>
      </x:c>
      <x:c r="DC161" s="23" t="n">
        <x:v>916.1917946119074</x:v>
      </x:c>
      <x:c r="DD161" s="23" t="n">
        <x:v>936.2167255684304</x:v>
      </x:c>
      <x:c r="DE161" s="23" t="n">
        <x:v>771.8192654591068</x:v>
      </x:c>
      <x:c r="DF161" s="23" t="n">
        <x:v>803.1205265396563</x:v>
      </x:c>
      <x:c r="DG161" s="23" t="n">
        <x:v>878.5870297399385</x:v>
      </x:c>
      <x:c r="DH161" s="23" t="n">
        <x:v>911.9908437045035</x:v>
      </x:c>
      <x:c r="DI161" s="23" t="n">
        <x:v>931.7429202465215</x:v>
      </x:c>
      <x:c r="DJ161" s="23" t="n">
        <x:v>960.731557239006</x:v>
      </x:c>
      <x:c r="DK161" s="23" t="n">
        <x:v>218.17859705636357</x:v>
      </x:c>
      <x:c r="DL161" s="23" t="n">
        <x:v>203.16577360508396</x:v>
      </x:c>
      <x:c r="DM161" s="23" t="n">
        <x:v>220.50442267948347</x:v>
      </x:c>
      <x:c r="DN161" s="23" t="n">
        <x:v>217.34468880208334</x:v>
      </x:c>
      <x:c r="DO161" s="23" t="n">
        <x:v>212.1837357161459</x:v>
      </x:c>
      <x:c r="DP161" s="23" t="n">
        <x:v>213.10103270833343</x:v>
      </x:c>
      <x:c r="DQ161" s="23" t="n">
        <x:v>240.16618684895835</x:v>
      </x:c>
      <x:c r="DR161" s="23" t="n">
        <x:v>225.6108863020833</x:v>
      </x:c>
      <x:c r="DS161" s="23" t="n">
        <x:v>214.83765200520838</x:v>
      </x:c>
      <x:c r="DT161" s="23" t="n">
        <x:v>262.7361419270833</x:v>
      </x:c>
      <x:c r="DU161" s="23" t="n">
        <x:v>259.5532148958333</x:v>
      </x:c>
      <x:c r="DV161" s="23" t="n">
        <x:v>864.4365592640561</x:v>
      </x:c>
      <x:c r="DW161" s="23" t="n">
        <x:v>981.7967122395833</x:v>
      </x:c>
      <x:c r="DX161" s="23" t="n">
        <x:v>1011.5144750273276</x:v>
      </x:c>
      <x:c r="DY161" s="23" t="n">
        <x:v>1019.2040201822916</x:v>
      </x:c>
      <x:c r="DZ161" s="23" t="n">
        <x:v>1020.8331705729166</x:v>
      </x:c>
      <x:c r="EA161" s="23" t="n">
        <x:v>1032.2802006640622</x:v>
      </x:c>
      <x:c r="EB161" s="23" t="n">
        <x:v>897.7142954687502</x:v>
      </x:c>
      <x:c r="EC161" s="23" t="n">
        <x:v>1607.759033203125</x:v>
      </x:c>
      <x:c r="ED161" s="23" t="n">
        <x:v>1602.7023111979165</x:v>
      </x:c>
      <x:c r="EE161" s="23" t="n">
        <x:v>808.057861328125</x:v>
      </x:c>
      <x:c r="EF161" s="23" t="n">
        <x:v>787.9593912760416</x:v>
      </x:c>
      <x:c r="EG161" s="23" t="n">
        <x:v>1037.461502893518</x:v>
      </x:c>
      <x:c r="EH161" s="23" t="n">
        <x:v>1593.052734375</x:v>
      </x:c>
      <x:c r="EI161" s="23" t="n">
        <x:v>774.88720703125</x:v>
      </x:c>
      <x:c r="EJ161" s="23" t="n">
        <x:v>784.6329752604166</x:v>
      </x:c>
      <x:c r="EK161" s="23" t="n">
        <x:v>1605.3194986979165</x:v>
      </x:c>
      <x:c r="EL161" s="23" t="n">
        <x:v>1599.937744140625</x:v>
      </x:c>
      <x:c r="EM161" s="23" t="n">
        <x:v>785.375</x:v>
      </x:c>
      <x:c r="EN161" s="23" t="n">
        <x:v>707.9173990885416</x:v>
      </x:c>
      <x:c r="EO161" s="23" t="n">
        <x:v>1470.2667236328125</x:v>
      </x:c>
      <x:c r="EP161" s="23" t="n">
        <x:f>SUM(B161:EO161)</x:f>
        <x:v>76974.46649827338</x:v>
      </x:c>
      <x:c r="EQ161" s="23" t="n">
        <x:f>SUMPRODUCT(B161:EO161,{0.5252,0.5798,0.5727,0.5016,0.5124,0.5854,0.5597,0.5135,0.5126,0.5399,0.5464,0.5426,0.5721,0.5514,0.5122,0.5648,0.5546,0.4892,0.5322,0.5592,0.53,0.5241,0.4705,0.4125,0.4785,0.5322,0.5407,0.5881,0.5526,0.4711,0.5105,0.5172,0.4363,0.4072,0.607,0.8868,0.9071,0.8876,0.9305,0.912,0.8468,0.7979,0.8071,0.7928,0.7244,0.6898,0.9042,1.1938,1.1473,1.0683,1.0773,1.0128,1.04,1.1254,1.0516,0.9912,0.9985,0.9707,1.042,1.1882,1.2178,1.1551,1.1246,1.1736,0.8961,0.4536,0.446,0.521,0.4949,0.5288,0.5122,0.4507,0.4806,0.5123,0.4999,0.5111,0.6517,0.8493,0.9087,0.8905,0.8828,0.9315,1.0652,1.2179,1.2712,1.2592,1.2749,1.3406,1.1411,0.8167,0.8354,0.8362,0.7469,0.8637,0.9597,0.9314,0.9055,0.8947,0.9249,1.0274,1.0827,1.0811,1.125,1.1712,1.1767,1.1528,1.1732,1.2454,1.3082,1.3497,1.3483,1.3122,1.4465,1.6704,1.6887,1.6809,1.7094,1.661,1.6672,1.7147,1.6607,1.6686,1.7648,1.7579,1.4638,1.0975,1.0834,1.1202,1.0935,1.1395,0.927,0.5685,0.5508,0.6133,0.5761,0.5326,0.5655,0.6158,0.5529,0.4995,0.5084,0.5097,0.4803,0.44})</x:f>
        <x:v>58014.24607501551</x:v>
      </x:c>
    </x:row>
    <x:row r="162" ht="14" customHeight="1">
      <x:c r="A162" s="3">
        <x:v>45849</x:v>
      </x:c>
      <x:c r="B162" s="23" t="n">
        <x:v>0</x:v>
      </x:c>
      <x:c r="C162" s="23" t="n">
        <x:v>0</x:v>
      </x:c>
      <x:c r="D162" s="23" t="n">
        <x:v>556.0413411458333</x:v>
      </x:c>
      <x:c r="E162" s="23" t="n">
        <x:v>575.41650390625</x:v>
      </x:c>
      <x:c r="F162" s="23" t="n">
        <x:v>607.7098388671875</x:v>
      </x:c>
      <x:c r="G162" s="23" t="n">
        <x:v>0</x:v>
      </x:c>
      <x:c r="H162" s="23" t="n">
        <x:v>0</x:v>
      </x:c>
      <x:c r="I162" s="23" t="n">
        <x:v>0</x:v>
      </x:c>
      <x:c r="J162" s="23" t="n">
        <x:v>561.9626057942708</x:v>
      </x:c>
      <x:c r="K162" s="23" t="n">
        <x:v>567.7727457682291</x:v>
      </x:c>
      <x:c r="L162" s="23" t="n">
        <x:v>572.2917887369791</x:v>
      </x:c>
      <x:c r="M162" s="23" t="n">
        <x:v>545.615478515625</x:v>
      </x:c>
      <x:c r="N162" s="23" t="n">
        <x:v>0</x:v>
      </x:c>
      <x:c r="O162" s="23" t="n">
        <x:v>19.6040297016926</x:v>
      </x:c>
      <x:c r="P162" s="23" t="n">
        <x:v>559.961181640625</x:v>
      </x:c>
      <x:c r="Q162" s="23" t="n">
        <x:v>563.1275227864583</x:v>
      </x:c>
      <x:c r="R162" s="23" t="n">
        <x:v>565.4654134114583</x:v>
      </x:c>
      <x:c r="S162" s="23" t="n">
        <x:v>547.1070149739583</x:v>
      </x:c>
      <x:c r="T162" s="23" t="n">
        <x:v>535.4103190104166</x:v>
      </x:c>
      <x:c r="U162" s="23" t="n">
        <x:v>523.568359375</x:v>
      </x:c>
      <x:c r="V162" s="23" t="n">
        <x:v>513.8757731119791</x:v>
      </x:c>
      <x:c r="W162" s="23" t="n">
        <x:v>511.243896484375</x:v>
      </x:c>
      <x:c r="X162" s="23" t="n">
        <x:v>544.6277262369791</x:v>
      </x:c>
      <x:c r="Y162" s="23" t="n">
        <x:v>526.0802815755208</x:v>
      </x:c>
      <x:c r="Z162" s="23" t="n">
        <x:v>1147.7069855902246</x:v>
      </x:c>
      <x:c r="AA162" s="23" t="n">
        <x:v>496.5399983723958</x:v>
      </x:c>
      <x:c r="AB162" s="23" t="n">
        <x:v>520.818603515625</x:v>
      </x:c>
      <x:c r="AC162" s="23" t="n">
        <x:v>0</x:v>
      </x:c>
      <x:c r="AD162" s="23" t="n">
        <x:v>520.5966796875</x:v>
      </x:c>
      <x:c r="AE162" s="23" t="n">
        <x:v>500.7500879036466</x:v>
      </x:c>
      <x:c r="AF162" s="23" t="n">
        <x:v>797.4792851910408</x:v>
      </x:c>
      <x:c r="AG162" s="23" t="n">
        <x:v>1276.6541065781603</x:v>
      </x:c>
      <x:c r="AH162" s="23" t="n">
        <x:v>437.6789623486417</x:v>
      </x:c>
      <x:c r="AI162" s="23" t="n">
        <x:v>1221.1002299903203</x:v>
      </x:c>
      <x:c r="AJ162" s="23" t="n">
        <x:v>341.31138514766815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0</x:v>
      </x:c>
      <x:c r="CQ162" s="23" t="n">
        <x:v>0</x:v>
      </x:c>
      <x:c r="CR162" s="23" t="n">
        <x:v>4.588000983950224</x:v>
      </x:c>
      <x:c r="CS162" s="23" t="n">
        <x:v>21.089384121073632</x:v>
      </x:c>
      <x:c r="CT162" s="23" t="n">
        <x:v>85.6615366419916</x:v>
      </x:c>
      <x:c r="CU162" s="23" t="n">
        <x:v>124.27072341773737</x:v>
      </x:c>
      <x:c r="CV162" s="23" t="n">
        <x:v>177.95957371594127</x:v>
      </x:c>
      <x:c r="CW162" s="23" t="n">
        <x:v>301.08091071922183</x:v>
      </x:c>
      <x:c r="CX162" s="23" t="n">
        <x:v>241.95827970692972</x:v>
      </x:c>
      <x:c r="CY162" s="23" t="n">
        <x:v>226.51767552312913</x:v>
      </x:c>
      <x:c r="CZ162" s="23" t="n">
        <x:v>271.99775442857845</x:v>
      </x:c>
      <x:c r="DA162" s="23" t="n">
        <x:v>336.4253269312257</x:v>
      </x:c>
      <x:c r="DB162" s="23" t="n">
        <x:v>391.4330267515554</x:v>
      </x:c>
      <x:c r="DC162" s="23" t="n">
        <x:v>397.9595971366739</x:v>
      </x:c>
      <x:c r="DD162" s="23" t="n">
        <x:v>424.64024051397547</x:v>
      </x:c>
      <x:c r="DE162" s="23" t="n">
        <x:v>473.8656156290042</x:v>
      </x:c>
      <x:c r="DF162" s="23" t="n">
        <x:v>491.9819552128932</x:v>
      </x:c>
      <x:c r="DG162" s="23" t="n">
        <x:v>503.1283221696479</x:v>
      </x:c>
      <x:c r="DH162" s="23" t="n">
        <x:v>556.7307203276392</x:v>
      </x:c>
      <x:c r="DI162" s="23" t="n">
        <x:v>604.831009074533</x:v>
      </x:c>
      <x:c r="DJ162" s="23" t="n">
        <x:v>216.9052859317681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0</x:v>
      </x:c>
      <x:c r="DW162" s="23" t="n">
        <x:v>685.7788899739583</x:v>
      </x:c>
      <x:c r="DX162" s="23" t="n">
        <x:v>678.6849258736818</x:v>
      </x:c>
      <x:c r="DY162" s="23" t="n">
        <x:v>674.1781412760416</x:v>
      </x:c>
      <x:c r="DZ162" s="23" t="n">
        <x:v>669.8020426432291</x:v>
      </x:c>
      <x:c r="EA162" s="23" t="n">
        <x:v>716.6184168098957</x:v>
      </x:c>
      <x:c r="EB162" s="23" t="n">
        <x:v>676.3407167526688</x:v>
      </x:c>
      <x:c r="EC162" s="23" t="n">
        <x:v>1412.8475748697915</x:v>
      </x:c>
      <x:c r="ED162" s="23" t="n">
        <x:v>1415.2706298828125</x:v>
      </x:c>
      <x:c r="EE162" s="23" t="n">
        <x:v>608.1070149739583</x:v>
      </x:c>
      <x:c r="EF162" s="23" t="n">
        <x:v>625.5430094401041</x:v>
      </x:c>
      <x:c r="EG162" s="23" t="n">
        <x:v>622.7461751302083</x:v>
      </x:c>
      <x:c r="EH162" s="23" t="n">
        <x:v>867.5884613916215</x:v>
      </x:c>
      <x:c r="EI162" s="23" t="n">
        <x:v>1447.4837239583333</x:v>
      </x:c>
      <x:c r="EJ162" s="23" t="n">
        <x:v>1460.1412353515625</x:v>
      </x:c>
      <x:c r="EK162" s="23" t="n">
        <x:v>1457.2105712890625</x:v>
      </x:c>
      <x:c r="EL162" s="23" t="n">
        <x:v>598.7473551432291</x:v>
      </x:c>
      <x:c r="EM162" s="23" t="n">
        <x:v>595.2206217447916</x:v>
      </x:c>
      <x:c r="EN162" s="23" t="n">
        <x:v>599.7183837890625</x:v>
      </x:c>
      <x:c r="EO162" s="23" t="n">
        <x:v>1422.6039225260415</x:v>
      </x:c>
      <x:c r="EP162" s="23" t="n">
        <x:f>SUM(B162:EO162)</x:f>
        <x:v>39745.174897125566</x:v>
      </x:c>
      <x:c r="EQ162" s="23" t="n">
        <x:f>SUMPRODUCT(B162:EO162,{0.4271,0.4368,0.4456,0.4325,0.4183,0.4338,0.483,0.4708,0.4075,0.398,0.411,0.4246,0.4529,0.471,0.45,0.3893,0.3733,0.4081,0.4209,0.4235,0.4391,0.467,0.4555,0.4213,0.4312,0.4339,0.4128,0.4077,0.4194,0.4339,0.4363,0.4251,0.384,0.3334,0.4941,0.744,0.7237,0.6881,0.7214,0.6612,0.6585,0.7193,0.6873,0.6595,0.6411,0.5571,0.6275,0.8095,0.8242,0.795,0.8065,0.8182,0.8602,0.8814,0.7959,0.7693,0.8048,0.7653,0.844,1.0054,0.9997,0.9673,1.0163,1.0601,0.7907,0.3663,0.2855,0.3387,0.3515,0.3616,0.3789,0.386,0.3664,0.3754,0.3779,0.3184,0.4725,0.7454,0.7468,0.7087,0.7204,0.658,0.7431,0.9598,1.0379,1.0004,0.9781,1.0303,0.8309,0.4834,0.4545,0.5667,0.6041,0.528,0.4882,0.541,0.6094,0.6421,0.6644,0.7275,0.7227,0.6561,0.6522,0.6894,0.7362,0.807,0.9776,1.1636,1.1876,1.1928,1.231,1.2344,1.3427,1.5143,1.5451,1.518,1.5106,1.5189,1.5279,1.5263,1.5089,1.4746,1.4742,1.5258,1.335,0.9955,0.9228,0.9604,0.9702,0.9415,0.7218,0.4528,0.4584,0.4814,0.4368,0.4888,0.5196,0.4864,0.4722,0.4685,0.459,0.453,0.4881,0.5268})</x:f>
        <x:v>22704.98380659165</x:v>
      </x:c>
    </x:row>
    <x:row r="163" ht="14" customHeight="1">
      <x:c r="A163" s="3">
        <x:v>45850</x:v>
      </x:c>
      <x:c r="B163" s="23" t="n">
        <x:v>609.417724609375</x:v>
      </x:c>
      <x:c r="C163" s="23" t="n">
        <x:v>0</x:v>
      </x:c>
      <x:c r="D163" s="23" t="n">
        <x:v>0</x:v>
      </x:c>
      <x:c r="E163" s="23" t="n">
        <x:v>0</x:v>
      </x:c>
      <x:c r="F163" s="23" t="n">
        <x:v>603.5851236979166</x:v>
      </x:c>
      <x:c r="G163" s="23" t="n">
        <x:v>107.5468026841573</x:v>
      </x:c>
      <x:c r="H163" s="23" t="n">
        <x:v>0</x:v>
      </x:c>
      <x:c r="I163" s="23" t="n">
        <x:v>0</x:v>
      </x:c>
      <x:c r="J163" s="23" t="n">
        <x:v>603.5417887369791</x:v>
      </x:c>
      <x:c r="K163" s="23" t="n">
        <x:v>581.559814453125</x:v>
      </x:c>
      <x:c r="L163" s="23" t="n">
        <x:v>591.9065755208333</x:v>
      </x:c>
      <x:c r="M163" s="23" t="n">
        <x:v>590.4163004557291</x:v>
      </x:c>
      <x:c r="N163" s="23" t="n">
        <x:v>598.4967041015625</x:v>
      </x:c>
      <x:c r="O163" s="23" t="n">
        <x:v>593.6464436848958</x:v>
      </x:c>
      <x:c r="P163" s="23" t="n">
        <x:v>589.1858723958333</x:v>
      </x:c>
      <x:c r="Q163" s="23" t="n">
        <x:v>573.7025960286458</x:v>
      </x:c>
      <x:c r="R163" s="23" t="n">
        <x:v>1391.08935546875</x:v>
      </x:c>
      <x:c r="S163" s="23" t="n">
        <x:v>569.391845703125</x:v>
      </x:c>
      <x:c r="T163" s="23" t="n">
        <x:v>577.3704020182291</x:v>
      </x:c>
      <x:c r="U163" s="23" t="n">
        <x:v>574.5193277994791</x:v>
      </x:c>
      <x:c r="V163" s="23" t="n">
        <x:v>578.1988525390625</x:v>
      </x:c>
      <x:c r="W163" s="23" t="n">
        <x:v>552.4007568359375</x:v>
      </x:c>
      <x:c r="X163" s="23" t="n">
        <x:v>544.1201985677083</x:v>
      </x:c>
      <x:c r="Y163" s="23" t="n">
        <x:v>542.3706461588541</x:v>
      </x:c>
      <x:c r="Z163" s="23" t="n">
        <x:v>555.9165445963541</x:v>
      </x:c>
      <x:c r="AA163" s="23" t="n">
        <x:v>565.88720703125</x:v>
      </x:c>
      <x:c r="AB163" s="23" t="n">
        <x:v>558.366943359375</x:v>
      </x:c>
      <x:c r="AC163" s="23" t="n">
        <x:v>0</x:v>
      </x:c>
      <x:c r="AD163" s="23" t="n">
        <x:v>0</x:v>
      </x:c>
      <x:c r="AE163" s="23" t="n">
        <x:v>538.4808484125012</x:v>
      </x:c>
      <x:c r="AF163" s="23" t="n">
        <x:v>539.723874482612</x:v>
      </x:c>
      <x:c r="AG163" s="23" t="n">
        <x:v>994.0091948666301</x:v>
      </x:c>
      <x:c r="AH163" s="23" t="n">
        <x:v>1272.720206883307</x:v>
      </x:c>
      <x:c r="AI163" s="23" t="n">
        <x:v>1233.7077774119684</x:v>
      </x:c>
      <x:c r="AJ163" s="23" t="n">
        <x:v>354.5882965702859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0</x:v>
      </x:c>
      <x:c r="CQ163" s="23" t="n">
        <x:v>0</x:v>
      </x:c>
      <x:c r="CR163" s="23" t="n">
        <x:v>135.8451254057407</x:v>
      </x:c>
      <x:c r="CS163" s="23" t="n">
        <x:v>206.79084380134339</x:v>
      </x:c>
      <x:c r="CT163" s="23" t="n">
        <x:v>224.21629595233418</x:v>
      </x:c>
      <x:c r="CU163" s="23" t="n">
        <x:v>89.72401934633118</x:v>
      </x:c>
      <x:c r="CV163" s="23" t="n">
        <x:v>339.34189579646295</x:v>
      </x:c>
      <x:c r="CW163" s="23" t="n">
        <x:v>398.69728783696416</x:v>
      </x:c>
      <x:c r="CX163" s="23" t="n">
        <x:v>406.73709036325204</x:v>
      </x:c>
      <x:c r="CY163" s="23" t="n">
        <x:v>239.49906769174237</x:v>
      </x:c>
      <x:c r="CZ163" s="23" t="n">
        <x:v>281.6791693373028</x:v>
      </x:c>
      <x:c r="DA163" s="23" t="n">
        <x:v>327.1298862142353</x:v>
      </x:c>
      <x:c r="DB163" s="23" t="n">
        <x:v>362.5154219860913</x:v>
      </x:c>
      <x:c r="DC163" s="23" t="n">
        <x:v>397.95983321969817</x:v>
      </x:c>
      <x:c r="DD163" s="23" t="n">
        <x:v>428.88941034124383</x:v>
      </x:c>
      <x:c r="DE163" s="23" t="n">
        <x:v>484.66135123776667</x:v>
      </x:c>
      <x:c r="DF163" s="23" t="n">
        <x:v>533.9849432812825</x:v>
      </x:c>
      <x:c r="DG163" s="23" t="n">
        <x:v>560.469324506206</x:v>
      </x:c>
      <x:c r="DH163" s="23" t="n">
        <x:v>591.5287055176229</x:v>
      </x:c>
      <x:c r="DI163" s="23" t="n">
        <x:v>619.8246876058504</x:v>
      </x:c>
      <x:c r="DJ163" s="23" t="n">
        <x:v>267.86700297096945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0</x:v>
      </x:c>
      <x:c r="DW163" s="23" t="n">
        <x:v>675.8493245442708</x:v>
      </x:c>
      <x:c r="DX163" s="23" t="n">
        <x:v>675.1717122395833</x:v>
      </x:c>
      <x:c r="DY163" s="23" t="n">
        <x:v>675.8310953776041</x:v>
      </x:c>
      <x:c r="DZ163" s="23" t="n">
        <x:v>678.9661458333333</x:v>
      </x:c>
      <x:c r="EA163" s="23" t="n">
        <x:v>856.7126157161457</x:v>
      </x:c>
      <x:c r="EB163" s="23" t="n">
        <x:v>661.0475523697917</x:v>
      </x:c>
      <x:c r="EC163" s="23" t="n">
        <x:v>1438.0270589192708</x:v>
      </x:c>
      <x:c r="ED163" s="23" t="n">
        <x:v>883.0976043635867</x:v>
      </x:c>
      <x:c r="EE163" s="23" t="n">
        <x:v>618.6444091796875</x:v>
      </x:c>
      <x:c r="EF163" s="23" t="n">
        <x:v>1450.17041015625</x:v>
      </x:c>
      <x:c r="EG163" s="23" t="n">
        <x:v>1435.358154296875</x:v>
      </x:c>
      <x:c r="EH163" s="23" t="n">
        <x:v>607.6466471354166</x:v>
      </x:c>
      <x:c r="EI163" s="23" t="n">
        <x:v>618.6930338541666</x:v>
      </x:c>
      <x:c r="EJ163" s="23" t="n">
        <x:v>614.2036539713541</x:v>
      </x:c>
      <x:c r="EK163" s="23" t="n">
        <x:v>1450.324015299479</x:v>
      </x:c>
      <x:c r="EL163" s="23" t="n">
        <x:v>1457.054931640625</x:v>
      </x:c>
      <x:c r="EM163" s="23" t="n">
        <x:v>1457.2052815755208</x:v>
      </x:c>
      <x:c r="EN163" s="23" t="n">
        <x:v>641.1197102864583</x:v>
      </x:c>
      <x:c r="EO163" s="23" t="n">
        <x:v>763.6595052083333</x:v>
      </x:c>
      <x:c r="EP163" s="23" t="n">
        <x:f>SUM(B163:EO163)</x:f>
        <x:v>42542.01224945466</x:v>
      </x:c>
      <x:c r="EQ163" s="23" t="n">
        <x:f>SUMPRODUCT(B163:EO163,{0.4913,0.4711,0.4855,0.4732,0.4942,0.5068,0.4089,0.3786,0.4375,0.4324,0.4189,0.4352,0.4469,0.4201,0.3996,0.4535,0.4447,0.383,0.4137,0.4332,0.412,0.42,0.3758,0.3099,0.3493,0.4056,0.4153,0.3962,0.3678,0.3541,0.3709,0.3826,0.3494,0.2946,0.4428,0.6898,0.696,0.6811,0.7069,0.6218,0.6157,0.6934,0.6561,0.5835,0.5548,0.5844,0.7108,0.8417,0.8219,0.7865,0.7874,0.7564,0.7715,0.816,0.7905,0.7892,0.8156,0.7886,0.8377,0.9523,0.9763,0.952,0.9563,0.9777,0.7409,0.3809,0.3334,0.3472,0.2864,0.2702,0.2678,0.2556,0.2564,0.2821,0.303,0.2923,0.3799,0.543,0.6156,0.6296,0.6267,0.6362,0.7947,1.0097,1.0274,0.9726,0.9985,1.0946,0.8988,0.5446,0.5426,0.6009,0.5702,0.5983,0.6228,0.6267,0.6691,0.7113,0.7269,0.723,0.6901,0.6827,0.7681,0.7966,0.7523,0.7877,0.9654,1.1551,1.1604,1.1811,1.243,1.1977,1.2845,1.4798,1.5033,1.493,1.5246,1.5197,1.4665,1.4351,1.5,1.5103,1.4951,1.5783,1.3484,0.932,0.9002,0.9252,0.8953,0.9983,0.8542,0.531,0.5012,0.4901,0.3919,0.4008,0.4599,0.4742,0.4182,0.4251,0.4808,0.4551,0.4895,0.5684})</x:f>
        <x:v>23893.356142124892</x:v>
      </x:c>
    </x:row>
    <x:row r="164" ht="14" customHeight="1">
      <x:c r="A164" s="3">
        <x:v>45851</x:v>
      </x:c>
      <x:c r="B164" s="23" t="n">
        <x:v>749.2568359375</x:v>
      </x:c>
      <x:c r="C164" s="23" t="n">
        <x:v>772.4132486979166</x:v>
      </x:c>
      <x:c r="D164" s="23" t="n">
        <x:v>785.7294921875</x:v>
      </x:c>
      <x:c r="E164" s="23" t="n">
        <x:v>770.669677734375</x:v>
      </x:c>
      <x:c r="F164" s="23" t="n">
        <x:v>725.531982421875</x:v>
      </x:c>
      <x:c r="G164" s="23" t="n">
        <x:v>767.6183268229166</x:v>
      </x:c>
      <x:c r="H164" s="23" t="n">
        <x:v>749.357666015625</x:v>
      </x:c>
      <x:c r="I164" s="23" t="n">
        <x:v>727.2744140625</x:v>
      </x:c>
      <x:c r="J164" s="23" t="n">
        <x:v>684.890380859375</x:v>
      </x:c>
      <x:c r="K164" s="23" t="n">
        <x:v>719.9119466145833</x:v>
      </x:c>
      <x:c r="L164" s="23" t="n">
        <x:v>689.135009765625</x:v>
      </x:c>
      <x:c r="M164" s="23" t="n">
        <x:v>706.8359375</x:v>
      </x:c>
      <x:c r="N164" s="23" t="n">
        <x:v>723.6434733072916</x:v>
      </x:c>
      <x:c r="O164" s="23" t="n">
        <x:v>679.6971435546875</x:v>
      </x:c>
      <x:c r="P164" s="23" t="n">
        <x:v>665.0714925130208</x:v>
      </x:c>
      <x:c r="Q164" s="23" t="n">
        <x:v>710.7259114583333</x:v>
      </x:c>
      <x:c r="R164" s="23" t="n">
        <x:v>754.0618489583333</x:v>
      </x:c>
      <x:c r="S164" s="23" t="n">
        <x:v>681.0515543619791</x:v>
      </x:c>
      <x:c r="T164" s="23" t="n">
        <x:v>676.81640625</x:v>
      </x:c>
      <x:c r="U164" s="23" t="n">
        <x:v>655.0121663411458</x:v>
      </x:c>
      <x:c r="V164" s="23" t="n">
        <x:v>1483.8770345052083</x:v>
      </x:c>
      <x:c r="W164" s="23" t="n">
        <x:v>1500.6250813802083</x:v>
      </x:c>
      <x:c r="X164" s="23" t="n">
        <x:v>689.619140625</x:v>
      </x:c>
      <x:c r="Y164" s="23" t="n">
        <x:v>718.697021484375</x:v>
      </x:c>
      <x:c r="Z164" s="23" t="n">
        <x:v>692.5581868489583</x:v>
      </x:c>
      <x:c r="AA164" s="23" t="n">
        <x:v>659.3607991536458</x:v>
      </x:c>
      <x:c r="AB164" s="23" t="n">
        <x:v>693.6551106770833</x:v>
      </x:c>
      <x:c r="AC164" s="23" t="n">
        <x:v>1526.0091003192658</x:v>
      </x:c>
      <x:c r="AD164" s="23" t="n">
        <x:v>674.6649576822916</x:v>
      </x:c>
      <x:c r="AE164" s="23" t="n">
        <x:v>651.3446893525029</x:v>
      </x:c>
      <x:c r="AF164" s="23" t="n">
        <x:v>1254.250895633425</x:v>
      </x:c>
      <x:c r="AG164" s="23" t="n">
        <x:v>1462.3426411493679</x:v>
      </x:c>
      <x:c r="AH164" s="23" t="n">
        <x:v>1413.4219876482334</x:v>
      </x:c>
      <x:c r="AI164" s="23" t="n">
        <x:v>1382.4813096552925</x:v>
      </x:c>
      <x:c r="AJ164" s="23" t="n">
        <x:v>574.2999289369303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455.9743787882061</x:v>
      </x:c>
      <x:c r="AQ164" s="23" t="n">
        <x:v>250.7889253591151</x:v>
      </x:c>
      <x:c r="AR164" s="23" t="n">
        <x:v>384.89190560742765</x:v>
      </x:c>
      <x:c r="AS164" s="23" t="n">
        <x:v>354.8022208358029</x:v>
      </x:c>
      <x:c r="AT164" s="23" t="n">
        <x:v>290.92653412037714</x:v>
      </x:c>
      <x:c r="AU164" s="23" t="n">
        <x:v>198.06386519006492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0</x:v>
      </x:c>
      <x:c r="BP164" s="23" t="n">
        <x:v>667.0307380403834</x:v>
      </x:c>
      <x:c r="BQ164" s="23" t="n">
        <x:v>0</x:v>
      </x:c>
      <x:c r="BR164" s="23" t="n">
        <x:v>643.7718001978625</x:v>
      </x:c>
      <x:c r="BS164" s="23" t="n">
        <x:v>0</x:v>
      </x:c>
      <x:c r="BT164" s="23" t="n">
        <x:v>0</x:v>
      </x:c>
      <x:c r="BU164" s="23" t="n">
        <x:v>571.8184249860899</x:v>
      </x:c>
      <x:c r="BV164" s="23" t="n">
        <x:v>560.4349403644176</x:v>
      </x:c>
      <x:c r="BW164" s="23" t="n">
        <x:v>0</x:v>
      </x:c>
      <x:c r="BX164" s="23" t="n">
        <x:v>582.8334592141439</x:v>
      </x:c>
      <x:c r="BY164" s="23" t="n">
        <x:v>607.4917115520075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202.73702123329377</x:v>
      </x:c>
      <x:c r="CN164" s="23" t="n">
        <x:v>796.5364276829547</x:v>
      </x:c>
      <x:c r="CO164" s="23" t="n">
        <x:v>284.6725259651812</x:v>
      </x:c>
      <x:c r="CP164" s="23" t="n">
        <x:v>325.9922849782024</x:v>
      </x:c>
      <x:c r="CQ164" s="23" t="n">
        <x:v>367.05971456190565</x:v>
      </x:c>
      <x:c r="CR164" s="23" t="n">
        <x:v>418.6195375991301</x:v>
      </x:c>
      <x:c r="CS164" s="23" t="n">
        <x:v>469.51606296916236</x:v>
      </x:c>
      <x:c r="CT164" s="23" t="n">
        <x:v>518.6528922895341</x:v>
      </x:c>
      <x:c r="CU164" s="23" t="n">
        <x:v>556.4431539765718</x:v>
      </x:c>
      <x:c r="CV164" s="23" t="n">
        <x:v>598.8158281987368</x:v>
      </x:c>
      <x:c r="CW164" s="23" t="n">
        <x:v>639.395939029312</x:v>
      </x:c>
      <x:c r="CX164" s="23" t="n">
        <x:v>688.2847765836956</x:v>
      </x:c>
      <x:c r="CY164" s="23" t="n">
        <x:v>729.6656793387654</x:v>
      </x:c>
      <x:c r="CZ164" s="23" t="n">
        <x:v>780.734837832361</x:v>
      </x:c>
      <x:c r="DA164" s="23" t="n">
        <x:v>830.7481211380671</x:v>
      </x:c>
      <x:c r="DB164" s="23" t="n">
        <x:v>879.2520776494877</x:v>
      </x:c>
      <x:c r="DC164" s="23" t="n">
        <x:v>920.7474700247949</x:v>
      </x:c>
      <x:c r="DD164" s="23" t="n">
        <x:v>936.8787295192581</x:v>
      </x:c>
      <x:c r="DE164" s="23" t="n">
        <x:v>715.7539307194589</x:v>
      </x:c>
      <x:c r="DF164" s="23" t="n">
        <x:v>733.4396166395741</x:v>
      </x:c>
      <x:c r="DG164" s="23" t="n">
        <x:v>809.0135722442001</x:v>
      </x:c>
      <x:c r="DH164" s="23" t="n">
        <x:v>891.2591438661166</x:v>
      </x:c>
      <x:c r="DI164" s="23" t="n">
        <x:v>898.9665197303377</x:v>
      </x:c>
      <x:c r="DJ164" s="23" t="n">
        <x:v>945.5005598413751</x:v>
      </x:c>
      <x:c r="DK164" s="23" t="n">
        <x:v>173.3945624367384</x:v>
      </x:c>
      <x:c r="DL164" s="23" t="n">
        <x:v>215.8462316666667</x:v>
      </x:c>
      <x:c r="DM164" s="23" t="n">
        <x:v>179.31683752168342</x:v>
      </x:c>
      <x:c r="DN164" s="23" t="n">
        <x:v>188.46148665724905</x:v>
      </x:c>
      <x:c r="DO164" s="23" t="n">
        <x:v>165.0376397395833</x:v>
      </x:c>
      <x:c r="DP164" s="23" t="n">
        <x:v>163.48812442708336</x:v>
      </x:c>
      <x:c r="DQ164" s="23" t="n">
        <x:v>169.84091796874992</x:v>
      </x:c>
      <x:c r="DR164" s="23" t="n">
        <x:v>164.95721544270828</x:v>
      </x:c>
      <x:c r="DS164" s="23" t="n">
        <x:v>183.85254169270834</x:v>
      </x:c>
      <x:c r="DT164" s="23" t="n">
        <x:v>199.92278710937504</x:v>
      </x:c>
      <x:c r="DU164" s="23" t="n">
        <x:v>204.24477725260414</x:v>
      </x:c>
      <x:c r="DV164" s="23" t="n">
        <x:v>974.8170572916666</x:v>
      </x:c>
      <x:c r="DW164" s="23" t="n">
        <x:v>978.6729329427083</x:v>
      </x:c>
      <x:c r="DX164" s="23" t="n">
        <x:v>975.8250325520833</x:v>
      </x:c>
      <x:c r="DY164" s="23" t="n">
        <x:v>936.3951822916666</x:v>
      </x:c>
      <x:c r="DZ164" s="23" t="n">
        <x:v>979.3291015625</x:v>
      </x:c>
      <x:c r="EA164" s="23" t="n">
        <x:v>999.899886393229</x:v>
      </x:c>
      <x:c r="EB164" s="23" t="n">
        <x:v>900.7744954427083</x:v>
      </x:c>
      <x:c r="EC164" s="23" t="n">
        <x:v>809.2041829427083</x:v>
      </x:c>
      <x:c r="ED164" s="23" t="n">
        <x:v>1628.060302734375</x:v>
      </x:c>
      <x:c r="EE164" s="23" t="n">
        <x:v>794.29931640625</x:v>
      </x:c>
      <x:c r="EF164" s="23" t="n">
        <x:v>791.4308268229166</x:v>
      </x:c>
      <x:c r="EG164" s="23" t="n">
        <x:v>798.4453125</x:v>
      </x:c>
      <x:c r="EH164" s="23" t="n">
        <x:v>773.6573079427083</x:v>
      </x:c>
      <x:c r="EI164" s="23" t="n">
        <x:v>1509.9617513020833</x:v>
      </x:c>
      <x:c r="EJ164" s="23" t="n">
        <x:v>1501.061808268229</x:v>
      </x:c>
      <x:c r="EK164" s="23" t="n">
        <x:v>687.2633463541666</x:v>
      </x:c>
      <x:c r="EL164" s="23" t="n">
        <x:v>1587.115234375</x:v>
      </x:c>
      <x:c r="EM164" s="23" t="n">
        <x:v>1599.8517252604165</x:v>
      </x:c>
      <x:c r="EN164" s="23" t="n">
        <x:v>1013.8145887586807</x:v>
      </x:c>
      <x:c r="EO164" s="23" t="n">
        <x:v>1584.4935709635415</x:v>
      </x:c>
      <x:c r="EP164" s="23" t="n">
        <x:f>SUM(B164:EO164)</x:f>
        <x:v>75112.16421330656</x:v>
      </x:c>
      <x:c r="EQ164" s="23" t="n">
        <x:f>SUMPRODUCT(B164:EO164,{0.5292,0.521,0.5744,0.564,0.5326,0.5356,0.5742,0.5626,0.5131,0.5243,0.5631,0.5642,0.501,0.4894,0.5318,0.5222,0.5109,0.5122,0.4888,0.5004,0.5457,0.552,0.5055,0.4694,0.5153,0.5104,0.4551,0.4801,0.5027,0.4769,0.4478,0.4513,0.4322,0.351,0.5575,0.9243,0.942,0.8639,0.8597,0.8447,0.8365,0.8317,0.7948,0.7586,0.7272,0.7067,0.8818,1.1584,1.2198,1.1554,1.0892,1.0637,1.0745,1.0774,1.0345,1.0389,1.0352,0.9014,0.9577,1.167,1.1566,1.0839,1.1192,1.219,1.0045,0.5859,0.4698,0.4755,0.4549,0.4531,0.4461,0.4235,0.4047,0.3909,0.3624,0.3392,0.546,0.8284,0.7917,0.7832,0.8821,0.8411,0.921,1.1364,1.2085,1.1987,1.2251,1.2908,1.091,0.769,0.7933,0.8491,0.7967,0.8104,0.8201,0.8011,0.8199,0.8668,0.9244,0.9817,1.008,0.9904,0.9638,1.0536,1.1768,1.1369,1.1891,1.3398,1.3403,1.3631,1.4246,1.376,1.4591,1.6572,1.6879,1.6388,1.6135,1.6314,1.6933,1.7345,1.6731,1.6056,1.6317,1.7206,1.5144,1.1293,1.0612,1.1121,1.1141,1.0715,0.8554,0.5802,0.5249,0.5203,0.4969,0.5491,0.5755,0.5297,0.4725,0.468,0.5164,0.5586,0.553,0.5266})</x:f>
        <x:v>54462.35432063751</x:v>
      </x:c>
    </x:row>
    <x:row r="165" ht="14" customHeight="1">
      <x:c r="A165" s="3">
        <x:v>45852</x:v>
      </x:c>
      <x:c r="B165" s="23" t="n">
        <x:v>749.0357259114583</x:v>
      </x:c>
      <x:c r="C165" s="23" t="n">
        <x:v>740.2210286458333</x:v>
      </x:c>
      <x:c r="D165" s="23" t="n">
        <x:v>760.8929850260416</x:v>
      </x:c>
      <x:c r="E165" s="23" t="n">
        <x:v>769.2596028645833</x:v>
      </x:c>
      <x:c r="F165" s="23" t="n">
        <x:v>762.337890625</x:v>
      </x:c>
      <x:c r="G165" s="23" t="n">
        <x:v>770.7657063802083</x:v>
      </x:c>
      <x:c r="H165" s="23" t="n">
        <x:v>746.228515625</x:v>
      </x:c>
      <x:c r="I165" s="23" t="n">
        <x:v>726.7215983072916</x:v>
      </x:c>
      <x:c r="J165" s="23" t="n">
        <x:v>1532.0867513020833</x:v>
      </x:c>
      <x:c r="K165" s="23" t="n">
        <x:v>751.0824381510416</x:v>
      </x:c>
      <x:c r="L165" s="23" t="n">
        <x:v>742.9908854166666</x:v>
      </x:c>
      <x:c r="M165" s="23" t="n">
        <x:v>722.6630859375</x:v>
      </x:c>
      <x:c r="N165" s="23" t="n">
        <x:v>735.891845703125</x:v>
      </x:c>
      <x:c r="O165" s="23" t="n">
        <x:v>735.8387858072916</x:v>
      </x:c>
      <x:c r="P165" s="23" t="n">
        <x:v>694.1357421875</x:v>
      </x:c>
      <x:c r="Q165" s="23" t="n">
        <x:v>687.2007649739583</x:v>
      </x:c>
      <x:c r="R165" s="23" t="n">
        <x:v>709.861083984375</x:v>
      </x:c>
      <x:c r="S165" s="23" t="n">
        <x:v>734.8248697916666</x:v>
      </x:c>
      <x:c r="T165" s="23" t="n">
        <x:v>702.7798665364583</x:v>
      </x:c>
      <x:c r="U165" s="23" t="n">
        <x:v>697.39111328125</x:v>
      </x:c>
      <x:c r="V165" s="23" t="n">
        <x:v>718.5154622395833</x:v>
      </x:c>
      <x:c r="W165" s="23" t="n">
        <x:v>691.8238932291666</x:v>
      </x:c>
      <x:c r="X165" s="23" t="n">
        <x:v>1496.93115234375</x:v>
      </x:c>
      <x:c r="Y165" s="23" t="n">
        <x:v>1372.350676744953</x:v>
      </x:c>
      <x:c r="Z165" s="23" t="n">
        <x:v>667.12060546875</x:v>
      </x:c>
      <x:c r="AA165" s="23" t="n">
        <x:v>682.0236002604166</x:v>
      </x:c>
      <x:c r="AB165" s="23" t="n">
        <x:v>678.4642740885416</x:v>
      </x:c>
      <x:c r="AC165" s="23" t="n">
        <x:v>673.1888570717764</x:v>
      </x:c>
      <x:c r="AD165" s="23" t="n">
        <x:v>681.9326171875</x:v>
      </x:c>
      <x:c r="AE165" s="23" t="n">
        <x:v>671.270981445094</x:v>
      </x:c>
      <x:c r="AF165" s="23" t="n">
        <x:v>1469.312712939332</x:v>
      </x:c>
      <x:c r="AG165" s="23" t="n">
        <x:v>1435.7406673360033</x:v>
      </x:c>
      <x:c r="AH165" s="23" t="n">
        <x:v>1405.1848579012426</x:v>
      </x:c>
      <x:c r="AI165" s="23" t="n">
        <x:v>1364.3160240179673</x:v>
      </x:c>
      <x:c r="AJ165" s="23" t="n">
        <x:v>550.5849166704469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295.04433139630805</x:v>
      </x:c>
      <x:c r="AU165" s="23" t="n">
        <x:v>189.7712648804332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0</x:v>
      </x:c>
      <x:c r="BP165" s="23" t="n">
        <x:v>654.556068195118</x:v>
      </x:c>
      <x:c r="BQ165" s="23" t="n">
        <x:v>0</x:v>
      </x:c>
      <x:c r="BR165" s="23" t="n">
        <x:v>616.4400312794975</x:v>
      </x:c>
      <x:c r="BS165" s="23" t="n">
        <x:v>0</x:v>
      </x:c>
      <x:c r="BT165" s="23" t="n">
        <x:v>415.26900281756826</x:v>
      </x:c>
      <x:c r="BU165" s="23" t="n">
        <x:v>535.8052055878491</x:v>
      </x:c>
      <x:c r="BV165" s="23" t="n">
        <x:v>491.83551957709426</x:v>
      </x:c>
      <x:c r="BW165" s="23" t="n">
        <x:v>477.4495958589353</x:v>
      </x:c>
      <x:c r="BX165" s="23" t="n">
        <x:v>509.45111976121945</x:v>
      </x:c>
      <x:c r="BY165" s="23" t="n">
        <x:v>530.2904600574872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212.42966751417435</x:v>
      </x:c>
      <x:c r="CN165" s="23" t="n">
        <x:v>804.1705128814834</x:v>
      </x:c>
      <x:c r="CO165" s="23" t="n">
        <x:v>288.1120838748817</x:v>
      </x:c>
      <x:c r="CP165" s="23" t="n">
        <x:v>326.36163539034135</x:v>
      </x:c>
      <x:c r="CQ165" s="23" t="n">
        <x:v>363.232003776305</x:v>
      </x:c>
      <x:c r="CR165" s="23" t="n">
        <x:v>424.8335193238152</x:v>
      </x:c>
      <x:c r="CS165" s="23" t="n">
        <x:v>470.6316959941511</x:v>
      </x:c>
      <x:c r="CT165" s="23" t="n">
        <x:v>512.607156886636</x:v>
      </x:c>
      <x:c r="CU165" s="23" t="n">
        <x:v>550.8378434350936</x:v>
      </x:c>
      <x:c r="CV165" s="23" t="n">
        <x:v>591.8496550916486</x:v>
      </x:c>
      <x:c r="CW165" s="23" t="n">
        <x:v>644.8550745019936</x:v>
      </x:c>
      <x:c r="CX165" s="23" t="n">
        <x:v>694.3932141924903</x:v>
      </x:c>
      <x:c r="CY165" s="23" t="n">
        <x:v>737.7722632907504</x:v>
      </x:c>
      <x:c r="CZ165" s="23" t="n">
        <x:v>782.2625934631933</x:v>
      </x:c>
      <x:c r="DA165" s="23" t="n">
        <x:v>825.0619856636686</x:v>
      </x:c>
      <x:c r="DB165" s="23" t="n">
        <x:v>858.1575649483289</x:v>
      </x:c>
      <x:c r="DC165" s="23" t="n">
        <x:v>890.6094934979261</x:v>
      </x:c>
      <x:c r="DD165" s="23" t="n">
        <x:v>901.401240285127</x:v>
      </x:c>
      <x:c r="DE165" s="23" t="n">
        <x:v>730.892321839897</x:v>
      </x:c>
      <x:c r="DF165" s="23" t="n">
        <x:v>765.1325624260837</x:v>
      </x:c>
      <x:c r="DG165" s="23" t="n">
        <x:v>866.0123362384766</x:v>
      </x:c>
      <x:c r="DH165" s="23" t="n">
        <x:v>909.583009006467</x:v>
      </x:c>
      <x:c r="DI165" s="23" t="n">
        <x:v>940.2763977709876</x:v>
      </x:c>
      <x:c r="DJ165" s="23" t="n">
        <x:v>939.7621820674069</x:v>
      </x:c>
      <x:c r="DK165" s="23" t="n">
        <x:v>228.9095561477473</x:v>
      </x:c>
      <x:c r="DL165" s="23" t="n">
        <x:v>256.7615846858131</x:v>
      </x:c>
      <x:c r="DM165" s="23" t="n">
        <x:v>252.1898491697484</x:v>
      </x:c>
      <x:c r="DN165" s="23" t="n">
        <x:v>227.61568489583334</x:v>
      </x:c>
      <x:c r="DO165" s="23" t="n">
        <x:v>216.77764847656255</x:v>
      </x:c>
      <x:c r="DP165" s="23" t="n">
        <x:v>243.83429088541652</x:v>
      </x:c>
      <x:c r="DQ165" s="23" t="n">
        <x:v>242.3161705729167</x:v>
      </x:c>
      <x:c r="DR165" s="23" t="n">
        <x:v>221.3940894270833</x:v>
      </x:c>
      <x:c r="DS165" s="23" t="n">
        <x:v>220.0943251822917</x:v>
      </x:c>
      <x:c r="DT165" s="23" t="n">
        <x:v>234.68820898437494</x:v>
      </x:c>
      <x:c r="DU165" s="23" t="n">
        <x:v>256.75064328125</x:v>
      </x:c>
      <x:c r="DV165" s="23" t="n">
        <x:v>873.3402041989527</x:v>
      </x:c>
      <x:c r="DW165" s="23" t="n">
        <x:v>1017.454833984375</x:v>
      </x:c>
      <x:c r="DX165" s="23" t="n">
        <x:v>1014.5265299479166</x:v>
      </x:c>
      <x:c r="DY165" s="23" t="n">
        <x:v>1015.4168294270833</x:v>
      </x:c>
      <x:c r="DZ165" s="23" t="n">
        <x:v>1022.6800130208333</x:v>
      </x:c>
      <x:c r="EA165" s="23" t="n">
        <x:v>1015.2531248177081</x:v>
      </x:c>
      <x:c r="EB165" s="23" t="n">
        <x:v>920.9310894740229</x:v>
      </x:c>
      <x:c r="EC165" s="23" t="n">
        <x:v>1601.3209635416665</x:v>
      </x:c>
      <x:c r="ED165" s="23" t="n">
        <x:v>1596.9642740885415</x:v>
      </x:c>
      <x:c r="EE165" s="23" t="n">
        <x:v>815.3441569010416</x:v>
      </x:c>
      <x:c r="EF165" s="23" t="n">
        <x:v>803.4703776041666</x:v>
      </x:c>
      <x:c r="EG165" s="23" t="n">
        <x:v>814.5408528645833</x:v>
      </x:c>
      <x:c r="EH165" s="23" t="n">
        <x:v>780.0774739583333</x:v>
      </x:c>
      <x:c r="EI165" s="23" t="n">
        <x:v>1584.111572265625</x:v>
      </x:c>
      <x:c r="EJ165" s="23" t="n">
        <x:v>1596.8824055989583</x:v>
      </x:c>
      <x:c r="EK165" s="23" t="n">
        <x:v>1010.604452602559</x:v>
      </x:c>
      <x:c r="EL165" s="23" t="n">
        <x:v>1581.8134765625</x:v>
      </x:c>
      <x:c r="EM165" s="23" t="n">
        <x:v>1604.1646321614583</x:v>
      </x:c>
      <x:c r="EN165" s="23" t="n">
        <x:v>784.6338704427083</x:v>
      </x:c>
      <x:c r="EO165" s="23" t="n">
        <x:v>800.8135579427083</x:v>
      </x:c>
      <x:c r="EP165" s="23" t="n">
        <x:f>SUM(B165:EO165)</x:f>
        <x:v>75633.79894129049</x:v>
      </x:c>
      <x:c r="EQ165" s="23" t="n">
        <x:f>SUMPRODUCT(B165:EO165,{0.5394,0.5333,0.5036,0.5117,0.5478,0.5989,0.6458,0.5903,0.507,0.5715,0.6014,0.5339,0.4907,0.4848,0.4941,0.4993,0.5155,0.5431,0.563,0.5717,0.5719,0.5585,0.4925,0.4223,0.4443,0.4656,0.4551,0.4698,0.4797,0.4734,0.4724,0.4647,0.4157,0.3522,0.5776,0.9361,0.9359,0.8413,0.8339,0.8388,0.8619,0.8606,0.7668,0.6925,0.6738,0.6789,0.8776,1.1725,1.2416,1.1391,1.0287,1.0357,1.0896,1.1183,1.1003,1.0279,0.959,0.9884,1.1035,1.2188,1.2346,1.1798,1.1637,1.2307,1.0006,0.5797,0.4858,0.5225,0.5186,0.5071,0.4955,0.4873,0.4846,0.4666,0.4346,0.4467,0.6636,0.9323,0.9198,0.911,0.9813,0.9461,1.0366,1.2214,1.2113,1.1605,1.1985,1.2575,1.0614,0.7398,0.7166,0.7787,0.7873,0.8204,0.8682,0.904,0.9148,0.9133,0.9322,0.9913,1.0072,0.988,1.0242,1.0733,1.0972,1.115,1.2103,1.3294,1.3282,1.3099,1.3435,1.4162,1.5733,1.7201,1.692,1.6578,1.6817,1.6752,1.6923,1.7217,1.6813,1.62,1.6363,1.7345,1.5045,1.0951,1.0821,1.1199,1.0793,1.14,0.9256,0.5277,0.4699,0.5646,0.6083,0.592,0.6036,0.6346,0.597,0.5578,0.5512,0.5411,0.5049,0.4809})</x:f>
        <x:v>55924.26665425171</x:v>
      </x:c>
    </x:row>
    <x:row r="166" ht="14" customHeight="1">
      <x:c r="A166" s="3">
        <x:v>45853</x:v>
      </x:c>
      <x:c r="B166" s="23" t="n">
        <x:v>792.0775553385416</x:v>
      </x:c>
      <x:c r="C166" s="23" t="n">
        <x:v>803.3951009114583</x:v>
      </x:c>
      <x:c r="D166" s="23" t="n">
        <x:v>799.5779622395833</x:v>
      </x:c>
      <x:c r="E166" s="23" t="n">
        <x:v>781.6698404947916</x:v>
      </x:c>
      <x:c r="F166" s="23" t="n">
        <x:v>784.7589518229166</x:v>
      </x:c>
      <x:c r="G166" s="23" t="n">
        <x:v>773.642333984375</x:v>
      </x:c>
      <x:c r="H166" s="23" t="n">
        <x:v>781.1097005208333</x:v>
      </x:c>
      <x:c r="I166" s="23" t="n">
        <x:v>774.60302734375</x:v>
      </x:c>
      <x:c r="J166" s="23" t="n">
        <x:v>786.4003092447916</x:v>
      </x:c>
      <x:c r="K166" s="23" t="n">
        <x:v>793.0497233072916</x:v>
      </x:c>
      <x:c r="L166" s="23" t="n">
        <x:v>799.3816731770833</x:v>
      </x:c>
      <x:c r="M166" s="23" t="n">
        <x:v>783.4200032552083</x:v>
      </x:c>
      <x:c r="N166" s="23" t="n">
        <x:v>773.1061197916666</x:v>
      </x:c>
      <x:c r="O166" s="23" t="n">
        <x:v>742.410888671875</x:v>
      </x:c>
      <x:c r="P166" s="23" t="n">
        <x:v>1535.708740234375</x:v>
      </x:c>
      <x:c r="Q166" s="23" t="n">
        <x:v>704.1298014322916</x:v>
      </x:c>
      <x:c r="R166" s="23" t="n">
        <x:v>768.2794596354166</x:v>
      </x:c>
      <x:c r="S166" s="23" t="n">
        <x:v>768.925537109375</x:v>
      </x:c>
      <x:c r="T166" s="23" t="n">
        <x:v>745.6858723958333</x:v>
      </x:c>
      <x:c r="U166" s="23" t="n">
        <x:v>1050.2085709818678</x:v>
      </x:c>
      <x:c r="V166" s="23" t="n">
        <x:v>715.02392578125</x:v>
      </x:c>
      <x:c r="W166" s="23" t="n">
        <x:v>1529.6736653645833</x:v>
      </x:c>
      <x:c r="X166" s="23" t="n">
        <x:v>1528.9375</x:v>
      </x:c>
      <x:c r="Y166" s="23" t="n">
        <x:v>712.2316080729166</x:v>
      </x:c>
      <x:c r="Z166" s="23" t="n">
        <x:v>686.4409993489583</x:v>
      </x:c>
      <x:c r="AA166" s="23" t="n">
        <x:v>684.7145182291666</x:v>
      </x:c>
      <x:c r="AB166" s="23" t="n">
        <x:v>693.2914225260416</x:v>
      </x:c>
      <x:c r="AC166" s="23" t="n">
        <x:v>691.3168095805446</x:v>
      </x:c>
      <x:c r="AD166" s="23" t="n">
        <x:v>714.164794921875</x:v>
      </x:c>
      <x:c r="AE166" s="23" t="n">
        <x:v>727.992431640625</x:v>
      </x:c>
      <x:c r="AF166" s="23" t="n">
        <x:v>686.7270369997768</x:v>
      </x:c>
      <x:c r="AG166" s="23" t="n">
        <x:v>1459.0837678912278</x:v>
      </x:c>
      <x:c r="AH166" s="23" t="n">
        <x:v>1429.1666453282098</x:v>
      </x:c>
      <x:c r="AI166" s="23" t="n">
        <x:v>1393.4438193033538</x:v>
      </x:c>
      <x:c r="AJ166" s="23" t="n">
        <x:v>598.6205785349616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365.74882329670857</x:v>
      </x:c>
      <x:c r="AS166" s="23" t="n">
        <x:v>331.02373440427516</x:v>
      </x:c>
      <x:c r="AT166" s="23" t="n">
        <x:v>0</x:v>
      </x:c>
      <x:c r="AU166" s="23" t="n">
        <x:v>255.69696211252676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0</x:v>
      </x:c>
      <x:c r="BP166" s="23" t="n">
        <x:v>653.0995794100214</x:v>
      </x:c>
      <x:c r="BQ166" s="23" t="n">
        <x:v>0</x:v>
      </x:c>
      <x:c r="BR166" s="23" t="n">
        <x:v>0</x:v>
      </x:c>
      <x:c r="BS166" s="23" t="n">
        <x:v>80.16339292336033</x:v>
      </x:c>
      <x:c r="BT166" s="23" t="n">
        <x:v>560.8534034472759</x:v>
      </x:c>
      <x:c r="BU166" s="23" t="n">
        <x:v>525.3224365543834</x:v>
      </x:c>
      <x:c r="BV166" s="23" t="n">
        <x:v>491.21850390573064</x:v>
      </x:c>
      <x:c r="BW166" s="23" t="n">
        <x:v>486.30996430502057</x:v>
      </x:c>
      <x:c r="BX166" s="23" t="n">
        <x:v>520.6452874797739</x:v>
      </x:c>
      <x:c r="BY166" s="23" t="n">
        <x:v>547.2780622090979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186.36703553329392</x:v>
      </x:c>
      <x:c r="CN166" s="23" t="n">
        <x:v>739.8532772403928</x:v>
      </x:c>
      <x:c r="CO166" s="23" t="n">
        <x:v>275.7188545597452</x:v>
      </x:c>
      <x:c r="CP166" s="23" t="n">
        <x:v>316.93437653720366</x:v>
      </x:c>
      <x:c r="CQ166" s="23" t="n">
        <x:v>373.9050161903293</x:v>
      </x:c>
      <x:c r="CR166" s="23" t="n">
        <x:v>430.17420942684913</x:v>
      </x:c>
      <x:c r="CS166" s="23" t="n">
        <x:v>469.23601527515586</x:v>
      </x:c>
      <x:c r="CT166" s="23" t="n">
        <x:v>513.3443403291121</x:v>
      </x:c>
      <x:c r="CU166" s="23" t="n">
        <x:v>556.6676977218098</x:v>
      </x:c>
      <x:c r="CV166" s="23" t="n">
        <x:v>597.5043576806293</x:v>
      </x:c>
      <x:c r="CW166" s="23" t="n">
        <x:v>650.1195953085296</x:v>
      </x:c>
      <x:c r="CX166" s="23" t="n">
        <x:v>700.1891947194008</x:v>
      </x:c>
      <x:c r="CY166" s="23" t="n">
        <x:v>746.5098107549575</x:v>
      </x:c>
      <x:c r="CZ166" s="23" t="n">
        <x:v>788.5923059546759</x:v>
      </x:c>
      <x:c r="DA166" s="23" t="n">
        <x:v>834.8331986720659</x:v>
      </x:c>
      <x:c r="DB166" s="23" t="n">
        <x:v>882.4066554108251</x:v>
      </x:c>
      <x:c r="DC166" s="23" t="n">
        <x:v>912.9749907142498</x:v>
      </x:c>
      <x:c r="DD166" s="23" t="n">
        <x:v>935.4427148728955</x:v>
      </x:c>
      <x:c r="DE166" s="23" t="n">
        <x:v>816.8020792022531</x:v>
      </x:c>
      <x:c r="DF166" s="23" t="n">
        <x:v>835.5066578957791</x:v>
      </x:c>
      <x:c r="DG166" s="23" t="n">
        <x:v>898.0079712610445</x:v>
      </x:c>
      <x:c r="DH166" s="23" t="n">
        <x:v>894.4725904684984</x:v>
      </x:c>
      <x:c r="DI166" s="23" t="n">
        <x:v>942.4815207711781</x:v>
      </x:c>
      <x:c r="DJ166" s="23" t="n">
        <x:v>986.2213655201006</x:v>
      </x:c>
      <x:c r="DK166" s="23" t="n">
        <x:v>267.84773958333335</x:v>
      </x:c>
      <x:c r="DL166" s="23" t="n">
        <x:v>255.05764588372978</x:v>
      </x:c>
      <x:c r="DM166" s="23" t="n">
        <x:v>217.13781958364626</x:v>
      </x:c>
      <x:c r="DN166" s="23" t="n">
        <x:v>248.32434375000003</x:v>
      </x:c>
      <x:c r="DO166" s="23" t="n">
        <x:v>242.12237503906255</x:v>
      </x:c>
      <x:c r="DP166" s="23" t="n">
        <x:v>247.01495494791652</x:v>
      </x:c>
      <x:c r="DQ166" s="23" t="n">
        <x:v>259.3007897135417</x:v>
      </x:c>
      <x:c r="DR166" s="23" t="n">
        <x:v>236.8538062239583</x:v>
      </x:c>
      <x:c r="DS166" s="23" t="n">
        <x:v>239.97570270833344</x:v>
      </x:c>
      <x:c r="DT166" s="23" t="n">
        <x:v>259.6796028645834</x:v>
      </x:c>
      <x:c r="DU166" s="23" t="n">
        <x:v>256.36007334635417</x:v>
      </x:c>
      <x:c r="DV166" s="23" t="n">
        <x:v>898.2796335869734</x:v>
      </x:c>
      <x:c r="DW166" s="23" t="n">
        <x:v>1006.6984049479166</x:v>
      </x:c>
      <x:c r="DX166" s="23" t="n">
        <x:v>1028.8102213541665</x:v>
      </x:c>
      <x:c r="DY166" s="23" t="n">
        <x:v>1021.2054850260416</x:v>
      </x:c>
      <x:c r="DZ166" s="23" t="n">
        <x:v>1022.2484537760416</x:v>
      </x:c>
      <x:c r="EA166" s="23" t="n">
        <x:v>1022.0723793749999</x:v>
      </x:c>
      <x:c r="EB166" s="23" t="n">
        <x:v>944.0918967656895</x:v>
      </x:c>
      <x:c r="EC166" s="23" t="n">
        <x:v>1641.70068359375</x:v>
      </x:c>
      <x:c r="ED166" s="23" t="n">
        <x:v>1629.8136393229165</x:v>
      </x:c>
      <x:c r="EE166" s="23" t="n">
        <x:v>806.2706705729166</x:v>
      </x:c>
      <x:c r="EF166" s="23" t="n">
        <x:v>806.6432291666666</x:v>
      </x:c>
      <x:c r="EG166" s="23" t="n">
        <x:v>1641.1818033854165</x:v>
      </x:c>
      <x:c r="EH166" s="23" t="n">
        <x:v>1641.2095540364583</x:v>
      </x:c>
      <x:c r="EI166" s="23" t="n">
        <x:v>789.5543619791666</x:v>
      </x:c>
      <x:c r="EJ166" s="23" t="n">
        <x:v>1639.7338053385415</x:v>
      </x:c>
      <x:c r="EK166" s="23" t="n">
        <x:v>1637.1222330729165</x:v>
      </x:c>
      <x:c r="EL166" s="23" t="n">
        <x:v>1006.4824636702674</x:v>
      </x:c>
      <x:c r="EM166" s="23" t="n">
        <x:v>791.68310546875</x:v>
      </x:c>
      <x:c r="EN166" s="23" t="n">
        <x:v>785.7308756510416</x:v>
      </x:c>
      <x:c r="EO166" s="23" t="n">
        <x:v>803.0255533854166</x:v>
      </x:c>
      <x:c r="EP166" s="23" t="n">
        <x:f>SUM(B166:EO166)</x:f>
        <x:v>77187.22998460649</x:v>
      </x:c>
      <x:c r="EQ166" s="23" t="n">
        <x:f>SUMPRODUCT(B166:EO166,{0.5206,0.5086,0.483,0.5829,0.5824,0.4889,0.5371,0.5726,0.5405,0.5458,0.5377,0.5009,0.4944,0.5586,0.6131,0.5336,0.4736,0.4942,0.5144,0.5325,0.5301,0.4819,0.4805,0.5147,0.486,0.4751,0.5023,0.4993,0.4707,0.4591,0.4938,0.4806,0.3946,0.3419,0.5366,0.8635,0.9642,0.9275,0.8932,0.9013,0.857,0.7807,0.7847,0.7621,0.6595,0.5848,0.8242,1.183,1.1545,1.0644,1.0851,1.0707,1.0653,1.0452,0.9354,0.9227,0.994,0.9633,1.0082,1.1432,1.1751,1.1101,1.0859,1.1845,0.981,0.5785,0.5288,0.5715,0.5561,0.5985,0.604,0.5701,0.6003,0.6306,0.598,0.5392,0.6943,0.9612,0.9801,0.9234,0.917,0.9404,1.1119,1.2968,1.215,1.1512,1.25,1.338,1.1298,0.7839,0.7519,0.7961,0.7957,0.8648,0.889,0.8752,0.9466,0.9719,0.9285,0.9349,0.9755,1.0032,1.0044,1.0762,1.1585,1.1077,1.1742,1.3468,1.3574,1.348,1.3873,1.4107,1.531,1.7039,1.7416,1.6953,1.6493,1.6408,1.6368,1.6344,1.6537,1.621,1.6085,1.7142,1.4938,1.0601,1.0041,1.0639,1.0866,1.1492,0.9524,0.596,0.5187,0.5327,0.4973,0.48,0.5391,0.6174,0.5992,0.5757,0.5621,0.4922,0.4824,0.5402})</x:f>
        <x:v>57434.41636305355</x:v>
      </x:c>
    </x:row>
    <x:row r="167" ht="14" customHeight="1">
      <x:c r="A167" s="3">
        <x:v>45854</x:v>
      </x:c>
      <x:c r="B167" s="23" t="n">
        <x:v>762.57861328125</x:v>
      </x:c>
      <x:c r="C167" s="23" t="n">
        <x:v>768.669677734375</x:v>
      </x:c>
      <x:c r="D167" s="23" t="n">
        <x:v>786.4022623697916</x:v>
      </x:c>
      <x:c r="E167" s="23" t="n">
        <x:v>796.96875</x:v>
      </x:c>
      <x:c r="F167" s="23" t="n">
        <x:v>799.3970540364583</x:v>
      </x:c>
      <x:c r="G167" s="23" t="n">
        <x:v>784.967041015625</x:v>
      </x:c>
      <x:c r="H167" s="23" t="n">
        <x:v>785.8373209635416</x:v>
      </x:c>
      <x:c r="I167" s="23" t="n">
        <x:v>783.0286458333333</x:v>
      </x:c>
      <x:c r="J167" s="23" t="n">
        <x:v>787.752685546875</x:v>
      </x:c>
      <x:c r="K167" s="23" t="n">
        <x:v>784.752685546875</x:v>
      </x:c>
      <x:c r="L167" s="23" t="n">
        <x:v>786.2408040364583</x:v>
      </x:c>
      <x:c r="M167" s="23" t="n">
        <x:v>790.3169759114583</x:v>
      </x:c>
      <x:c r="N167" s="23" t="n">
        <x:v>758.2953287760416</x:v>
      </x:c>
      <x:c r="O167" s="23" t="n">
        <x:v>748.44140625</x:v>
      </x:c>
      <x:c r="P167" s="23" t="n">
        <x:v>753.4395345052083</x:v>
      </x:c>
      <x:c r="Q167" s="23" t="n">
        <x:v>732.0467122395833</x:v>
      </x:c>
      <x:c r="R167" s="23" t="n">
        <x:v>739.8079427083333</x:v>
      </x:c>
      <x:c r="S167" s="23" t="n">
        <x:v>1599.5750047839506</x:v>
      </x:c>
      <x:c r="T167" s="23" t="n">
        <x:v>740.1361490885416</x:v>
      </x:c>
      <x:c r="U167" s="23" t="n">
        <x:v>705.9500325520833</x:v>
      </x:c>
      <x:c r="V167" s="23" t="n">
        <x:v>701.3474934895833</x:v>
      </x:c>
      <x:c r="W167" s="23" t="n">
        <x:v>740.4130859375</x:v>
      </x:c>
      <x:c r="X167" s="23" t="n">
        <x:v>730.7311197916666</x:v>
      </x:c>
      <x:c r="Y167" s="23" t="n">
        <x:v>710.9507649739583</x:v>
      </x:c>
      <x:c r="Z167" s="23" t="n">
        <x:v>700.3474934895833</x:v>
      </x:c>
      <x:c r="AA167" s="23" t="n">
        <x:v>701.6267903645833</x:v>
      </x:c>
      <x:c r="AB167" s="23" t="n">
        <x:v>697.388916015625</x:v>
      </x:c>
      <x:c r="AC167" s="23" t="n">
        <x:v>701.582228078478</x:v>
      </x:c>
      <x:c r="AD167" s="23" t="n">
        <x:v>687.5372721354166</x:v>
      </x:c>
      <x:c r="AE167" s="23" t="n">
        <x:v>1516.2936197916665</x:v>
      </x:c>
      <x:c r="AF167" s="23" t="n">
        <x:v>1492.0891118990971</x:v>
      </x:c>
      <x:c r="AG167" s="23" t="n">
        <x:v>1483.2055164755766</x:v>
      </x:c>
      <x:c r="AH167" s="23" t="n">
        <x:v>1416.455919815707</x:v>
      </x:c>
      <x:c r="AI167" s="23" t="n">
        <x:v>1385.9501493152322</x:v>
      </x:c>
      <x:c r="AJ167" s="23" t="n">
        <x:v>592.9784500035316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276.88659256846455</x:v>
      </x:c>
      <x:c r="AU167" s="23" t="n">
        <x:v>182.8483065284943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530.1681232695398</x:v>
      </x:c>
      <x:c r="BP167" s="23" t="n">
        <x:v>651.2788315489945</x:v>
      </x:c>
      <x:c r="BQ167" s="23" t="n">
        <x:v>640.6820803338405</x:v>
      </x:c>
      <x:c r="BR167" s="23" t="n">
        <x:v>0</x:v>
      </x:c>
      <x:c r="BS167" s="23" t="n">
        <x:v>0</x:v>
      </x:c>
      <x:c r="BT167" s="23" t="n">
        <x:v>0</x:v>
      </x:c>
      <x:c r="BU167" s="23" t="n">
        <x:v>569.804763456859</x:v>
      </x:c>
      <x:c r="BV167" s="23" t="n">
        <x:v>560.0145013543381</x:v>
      </x:c>
      <x:c r="BW167" s="23" t="n">
        <x:v>543.1556272875862</x:v>
      </x:c>
      <x:c r="BX167" s="23" t="n">
        <x:v>563.5658719696405</x:v>
      </x:c>
      <x:c r="BY167" s="23" t="n">
        <x:v>618.7383138949468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199.24593477360975</x:v>
      </x:c>
      <x:c r="CN167" s="23" t="n">
        <x:v>776.5566930298412</x:v>
      </x:c>
      <x:c r="CO167" s="23" t="n">
        <x:v>279.5812225600493</x:v>
      </x:c>
      <x:c r="CP167" s="23" t="n">
        <x:v>330.21875562324385</x:v>
      </x:c>
      <x:c r="CQ167" s="23" t="n">
        <x:v>379.8813400989637</x:v>
      </x:c>
      <x:c r="CR167" s="23" t="n">
        <x:v>422.49236168950426</x:v>
      </x:c>
      <x:c r="CS167" s="23" t="n">
        <x:v>465.4008774296365</x:v>
      </x:c>
      <x:c r="CT167" s="23" t="n">
        <x:v>506.2293042544391</x:v>
      </x:c>
      <x:c r="CU167" s="23" t="n">
        <x:v>556.3579781516398</x:v>
      </x:c>
      <x:c r="CV167" s="23" t="n">
        <x:v>582.93595489449</x:v>
      </x:c>
      <x:c r="CW167" s="23" t="n">
        <x:v>649.8991271536543</x:v>
      </x:c>
      <x:c r="CX167" s="23" t="n">
        <x:v>709.9745325684416</x:v>
      </x:c>
      <x:c r="CY167" s="23" t="n">
        <x:v>754.5247026018242</x:v>
      </x:c>
      <x:c r="CZ167" s="23" t="n">
        <x:v>793.4831734049058</x:v>
      </x:c>
      <x:c r="DA167" s="23" t="n">
        <x:v>843.2558916369837</x:v>
      </x:c>
      <x:c r="DB167" s="23" t="n">
        <x:v>883.3880453981917</x:v>
      </x:c>
      <x:c r="DC167" s="23" t="n">
        <x:v>922.6405001048457</x:v>
      </x:c>
      <x:c r="DD167" s="23" t="n">
        <x:v>934.7754973129446</x:v>
      </x:c>
      <x:c r="DE167" s="23" t="n">
        <x:v>813.9621897771336</x:v>
      </x:c>
      <x:c r="DF167" s="23" t="n">
        <x:v>845.787581164522</x:v>
      </x:c>
      <x:c r="DG167" s="23" t="n">
        <x:v>904.391807528179</x:v>
      </x:c>
      <x:c r="DH167" s="23" t="n">
        <x:v>932.6624146148343</x:v>
      </x:c>
      <x:c r="DI167" s="23" t="n">
        <x:v>945.5851142032191</x:v>
      </x:c>
      <x:c r="DJ167" s="23" t="n">
        <x:v>989.4531653941976</x:v>
      </x:c>
      <x:c r="DK167" s="23" t="n">
        <x:v>239.6791011533475</x:v>
      </x:c>
      <x:c r="DL167" s="23" t="n">
        <x:v>248.32774679518812</x:v>
      </x:c>
      <x:c r="DM167" s="23" t="n">
        <x:v>266.4304319279602</x:v>
      </x:c>
      <x:c r="DN167" s="23" t="n">
        <x:v>251.95487760416668</x:v>
      </x:c>
      <x:c r="DO167" s="23" t="n">
        <x:v>236.46512197916672</x:v>
      </x:c>
      <x:c r="DP167" s="23" t="n">
        <x:v>225.52724335937484</x:v>
      </x:c>
      <x:c r="DQ167" s="23" t="n">
        <x:v>212.81584505208335</x:v>
      </x:c>
      <x:c r="DR167" s="23" t="n">
        <x:v>212.7884766666666</x:v>
      </x:c>
      <x:c r="DS167" s="23" t="n">
        <x:v>192.35487106770825</x:v>
      </x:c>
      <x:c r="DT167" s="23" t="n">
        <x:v>224.73640625000007</x:v>
      </x:c>
      <x:c r="DU167" s="23" t="n">
        <x:v>224.73784027343754</x:v>
      </x:c>
      <x:c r="DV167" s="23" t="n">
        <x:v>889.3369336706056</x:v>
      </x:c>
      <x:c r="DW167" s="23" t="n">
        <x:v>999.7630208333333</x:v>
      </x:c>
      <x:c r="DX167" s="23" t="n">
        <x:v>1014.9334309895833</x:v>
      </x:c>
      <x:c r="DY167" s="23" t="n">
        <x:v>1015.0082194010416</x:v>
      </x:c>
      <x:c r="DZ167" s="23" t="n">
        <x:v>1027.7910970052083</x:v>
      </x:c>
      <x:c r="EA167" s="23" t="n">
        <x:v>1016.2048063541666</x:v>
      </x:c>
      <x:c r="EB167" s="23" t="n">
        <x:v>932.7938992492928</x:v>
      </x:c>
      <x:c r="EC167" s="23" t="n">
        <x:v>1604.3002115885415</x:v>
      </x:c>
      <x:c r="ED167" s="23" t="n">
        <x:v>797.210693359375</x:v>
      </x:c>
      <x:c r="EE167" s="23" t="n">
        <x:v>798.057373046875</x:v>
      </x:c>
      <x:c r="EF167" s="23" t="n">
        <x:v>1040.0615652327674</x:v>
      </x:c>
      <x:c r="EG167" s="23" t="n">
        <x:v>1615.0912272135415</x:v>
      </x:c>
      <x:c r="EH167" s="23" t="n">
        <x:v>780.71875</x:v>
      </x:c>
      <x:c r="EI167" s="23" t="n">
        <x:v>779.3689778645833</x:v>
      </x:c>
      <x:c r="EJ167" s="23" t="n">
        <x:v>1621.068115234375</x:v>
      </x:c>
      <x:c r="EK167" s="23" t="n">
        <x:v>1619.2709147135415</x:v>
      </x:c>
      <x:c r="EL167" s="23" t="n">
        <x:v>1637.2620442708333</x:v>
      </x:c>
      <x:c r="EM167" s="23" t="n">
        <x:v>789.503662109375</x:v>
      </x:c>
      <x:c r="EN167" s="23" t="n">
        <x:v>786.3495279947916</x:v>
      </x:c>
      <x:c r="EO167" s="23" t="n">
        <x:v>1605.4003092447915</x:v>
      </x:c>
      <x:c r="EP167" s="23" t="n">
        <x:f>SUM(B167:EO167)</x:f>
        <x:v>76918.64247784474</x:v>
      </x:c>
      <x:c r="EQ167" s="23" t="n">
        <x:f>SUMPRODUCT(B167:EO167,{0.5532,0.5547,0.548,0.5004,0.498,0.5385,0.5349,0.5341,0.5494,0.5417,0.533,0.5396,0.5517,0.5436,0.5136,0.4906,0.5106,0.5297,0.4703,0.4388,0.4686,0.4858,0.4748,0.49,0.5815,0.5749,0.4738,0.4588,0.482,0.5032,0.5331,0.5189,0.4377,0.3718,0.6173,0.9996,1.0105,0.8917,0.8539,0.8677,0.845,0.768,0.7041,0.7224,0.7484,0.6809,0.8613,1.1857,1.1775,1.086,1.0782,1.0646,1.0127,0.9712,1.0054,0.9967,0.9264,0.9121,1.0241,1.1507,1.1077,1.0837,1.1578,1.1833,0.9443,0.603,0.5585,0.5941,0.5618,0.5284,0.5149,0.5302,0.573,0.5945,0.5613,0.5167,0.6834,0.9522,0.9746,0.9396,0.9359,0.8897,1.0198,1.242,1.2341,1.2233,1.3078,1.3194,1.1179,0.8356,0.7653,0.7968,0.8335,0.8836,0.9056,0.9134,0.9641,1.0088,0.9949,0.9265,0.9345,1.0143,1.0412,1.0733,1.1287,1.1628,1.2267,1.3259,1.4038,1.4382,1.4205,1.3831,1.4913,1.6647,1.6483,1.5956,1.6207,1.6753,1.647,1.5952,1.6733,1.6813,1.6275,1.6728,1.4248,1.0253,1.0492,1.12,1.089,1.1433,0.946,0.5963,0.5783,0.6385,0.5997,0.5471,0.5447,0.5694,0.5497,0.5344,0.5494,0.5665,0.5621,0.5634})</x:f>
        <x:v>57746.473512648154</x:v>
      </x:c>
    </x:row>
    <x:row r="168" ht="14" customHeight="1">
      <x:c r="A168" s="3">
        <x:v>45855</x:v>
      </x:c>
      <x:c r="B168" s="23" t="n">
        <x:v>755.941162109375</x:v>
      </x:c>
      <x:c r="C168" s="23" t="n">
        <x:v>782.9700520833333</x:v>
      </x:c>
      <x:c r="D168" s="23" t="n">
        <x:v>787.8883463541666</x:v>
      </x:c>
      <x:c r="E168" s="23" t="n">
        <x:v>784.599853515625</x:v>
      </x:c>
      <x:c r="F168" s="23" t="n">
        <x:v>741.5814615885416</x:v>
      </x:c>
      <x:c r="G168" s="23" t="n">
        <x:v>750.378173828125</x:v>
      </x:c>
      <x:c r="H168" s="23" t="n">
        <x:v>757.9988606770833</x:v>
      </x:c>
      <x:c r="I168" s="23" t="n">
        <x:v>717.210205078125</x:v>
      </x:c>
      <x:c r="J168" s="23" t="n">
        <x:v>916.7930533342969</x:v>
      </x:c>
      <x:c r="K168" s="23" t="n">
        <x:v>750.26220703125</x:v>
      </x:c>
      <x:c r="L168" s="23" t="n">
        <x:v>799.045166015625</x:v>
      </x:c>
      <x:c r="M168" s="23" t="n">
        <x:v>770.734130859375</x:v>
      </x:c>
      <x:c r="N168" s="23" t="n">
        <x:v>783.0055338541666</x:v>
      </x:c>
      <x:c r="O168" s="23" t="n">
        <x:v>801.2977701822916</x:v>
      </x:c>
      <x:c r="P168" s="23" t="n">
        <x:v>739.0335286458333</x:v>
      </x:c>
      <x:c r="Q168" s="23" t="n">
        <x:v>743.8140462239583</x:v>
      </x:c>
      <x:c r="R168" s="23" t="n">
        <x:v>766.3766276041666</x:v>
      </x:c>
      <x:c r="S168" s="23" t="n">
        <x:v>742.3069661458333</x:v>
      </x:c>
      <x:c r="T168" s="23" t="n">
        <x:v>723.498046875</x:v>
      </x:c>
      <x:c r="U168" s="23" t="n">
        <x:v>725.8233235677083</x:v>
      </x:c>
      <x:c r="V168" s="23" t="n">
        <x:v>757.9092610677083</x:v>
      </x:c>
      <x:c r="W168" s="23" t="n">
        <x:v>730.900146484375</x:v>
      </x:c>
      <x:c r="X168" s="23" t="n">
        <x:v>1532.8721516927083</x:v>
      </x:c>
      <x:c r="Y168" s="23" t="n">
        <x:v>1506.4734700520833</x:v>
      </x:c>
      <x:c r="Z168" s="23" t="n">
        <x:v>1530.42724609375</x:v>
      </x:c>
      <x:c r="AA168" s="23" t="n">
        <x:v>728.4549967447916</x:v>
      </x:c>
      <x:c r="AB168" s="23" t="n">
        <x:v>722.5489908854166</x:v>
      </x:c>
      <x:c r="AC168" s="23" t="n">
        <x:v>717.4386162435236</x:v>
      </x:c>
      <x:c r="AD168" s="23" t="n">
        <x:v>713.4671223958333</x:v>
      </x:c>
      <x:c r="AE168" s="23" t="n">
        <x:v>684.6997884114583</x:v>
      </x:c>
      <x:c r="AF168" s="23" t="n">
        <x:v>667.3026935095205</x:v>
      </x:c>
      <x:c r="AG168" s="23" t="n">
        <x:v>1459.7745251233669</x:v>
      </x:c>
      <x:c r="AH168" s="23" t="n">
        <x:v>1432.2497008834966</x:v>
      </x:c>
      <x:c r="AI168" s="23" t="n">
        <x:v>1397.606066354348</x:v>
      </x:c>
      <x:c r="AJ168" s="23" t="n">
        <x:v>614.0098042064078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180.06218920316454</x:v>
      </x:c>
      <x:c r="AU168" s="23" t="n">
        <x:v>223.88773951053727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669.871235785368</x:v>
      </x:c>
      <x:c r="BP168" s="23" t="n">
        <x:v>640.394458198369</x:v>
      </x:c>
      <x:c r="BQ168" s="23" t="n">
        <x:v>0</x:v>
      </x:c>
      <x:c r="BR168" s="23" t="n">
        <x:v>0</x:v>
      </x:c>
      <x:c r="BS168" s="23" t="n">
        <x:v>0</x:v>
      </x:c>
      <x:c r="BT168" s="23" t="n">
        <x:v>0</x:v>
      </x:c>
      <x:c r="BU168" s="23" t="n">
        <x:v>574.503705669999</x:v>
      </x:c>
      <x:c r="BV168" s="23" t="n">
        <x:v>558.0662429048394</x:v>
      </x:c>
      <x:c r="BW168" s="23" t="n">
        <x:v>565.822572616196</x:v>
      </x:c>
      <x:c r="BX168" s="23" t="n">
        <x:v>594.632408670599</x:v>
      </x:c>
      <x:c r="BY168" s="23" t="n">
        <x:v>636.9716108203617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182.97816467894182</x:v>
      </x:c>
      <x:c r="CN168" s="23" t="n">
        <x:v>602.9573834789036</x:v>
      </x:c>
      <x:c r="CO168" s="23" t="n">
        <x:v>284.2406763564268</x:v>
      </x:c>
      <x:c r="CP168" s="23" t="n">
        <x:v>330.6407830874335</x:v>
      </x:c>
      <x:c r="CQ168" s="23" t="n">
        <x:v>379.8615561887623</x:v>
      </x:c>
      <x:c r="CR168" s="23" t="n">
        <x:v>428.23231575864094</x:v>
      </x:c>
      <x:c r="CS168" s="23" t="n">
        <x:v>471.91131196704055</x:v>
      </x:c>
      <x:c r="CT168" s="23" t="n">
        <x:v>523.0280818484754</x:v>
      </x:c>
      <x:c r="CU168" s="23" t="n">
        <x:v>564.9883724962607</x:v>
      </x:c>
      <x:c r="CV168" s="23" t="n">
        <x:v>598.1201055514828</x:v>
      </x:c>
      <x:c r="CW168" s="23" t="n">
        <x:v>649.716181988255</x:v>
      </x:c>
      <x:c r="CX168" s="23" t="n">
        <x:v>702.0477768916058</x:v>
      </x:c>
      <x:c r="CY168" s="23" t="n">
        <x:v>745.5497151816301</x:v>
      </x:c>
      <x:c r="CZ168" s="23" t="n">
        <x:v>793.2704417844479</x:v>
      </x:c>
      <x:c r="DA168" s="23" t="n">
        <x:v>842.2729393533921</x:v>
      </x:c>
      <x:c r="DB168" s="23" t="n">
        <x:v>881.412471265715</x:v>
      </x:c>
      <x:c r="DC168" s="23" t="n">
        <x:v>920.4364458337539</x:v>
      </x:c>
      <x:c r="DD168" s="23" t="n">
        <x:v>928.2743688474054</x:v>
      </x:c>
      <x:c r="DE168" s="23" t="n">
        <x:v>780.0408565859123</x:v>
      </x:c>
      <x:c r="DF168" s="23" t="n">
        <x:v>796.6081201978943</x:v>
      </x:c>
      <x:c r="DG168" s="23" t="n">
        <x:v>879.4567612575665</x:v>
      </x:c>
      <x:c r="DH168" s="23" t="n">
        <x:v>918.2834828610919</x:v>
      </x:c>
      <x:c r="DI168" s="23" t="n">
        <x:v>919.142050872144</x:v>
      </x:c>
      <x:c r="DJ168" s="23" t="n">
        <x:v>956.7425119285797</x:v>
      </x:c>
      <x:c r="DK168" s="23" t="n">
        <x:v>264.92543904397246</x:v>
      </x:c>
      <x:c r="DL168" s="23" t="n">
        <x:v>236.16173117018812</x:v>
      </x:c>
      <x:c r="DM168" s="23" t="n">
        <x:v>215.2023086466791</x:v>
      </x:c>
      <x:c r="DN168" s="23" t="n">
        <x:v>222.41646614583334</x:v>
      </x:c>
      <x:c r="DO168" s="23" t="n">
        <x:v>189.63225455729162</x:v>
      </x:c>
      <x:c r="DP168" s="23" t="n">
        <x:v>200.87237682291652</x:v>
      </x:c>
      <x:c r="DQ168" s="23" t="n">
        <x:v>245.677091796875</x:v>
      </x:c>
      <x:c r="DR168" s="23" t="n">
        <x:v>220.1939942447916</x:v>
      </x:c>
      <x:c r="DS168" s="23" t="n">
        <x:v>239.66666195312501</x:v>
      </x:c>
      <x:c r="DT168" s="23" t="n">
        <x:v>256.4261035156251</x:v>
      </x:c>
      <x:c r="DU168" s="23" t="n">
        <x:v>207.3180811588542</x:v>
      </x:c>
      <x:c r="DV168" s="23" t="n">
        <x:v>848.8225284362303</x:v>
      </x:c>
      <x:c r="DW168" s="23" t="n">
        <x:v>966.3189290364583</x:v>
      </x:c>
      <x:c r="DX168" s="23" t="n">
        <x:v>968.540283203125</x:v>
      </x:c>
      <x:c r="DY168" s="23" t="n">
        <x:v>971.426283203125</x:v>
      </x:c>
      <x:c r="DZ168" s="23" t="n">
        <x:v>1002.0789388020833</x:v>
      </x:c>
      <x:c r="EA168" s="23" t="n">
        <x:v>999.606601888021</x:v>
      </x:c>
      <x:c r="EB168" s="23" t="n">
        <x:v>934.8456217447916</x:v>
      </x:c>
      <x:c r="EC168" s="23" t="n">
        <x:v>1694.5240071614583</x:v>
      </x:c>
      <x:c r="ED168" s="23" t="n">
        <x:v>1067.7078868473507</x:v>
      </x:c>
      <x:c r="EE168" s="23" t="n">
        <x:v>810.0732421875</x:v>
      </x:c>
      <x:c r="EF168" s="23" t="n">
        <x:v>841.7252604166666</x:v>
      </x:c>
      <x:c r="EG168" s="23" t="n">
        <x:v>1640.1837565104165</x:v>
      </x:c>
      <x:c r="EH168" s="23" t="n">
        <x:v>797.92626953125</x:v>
      </x:c>
      <x:c r="EI168" s="23" t="n">
        <x:v>805.8362630208333</x:v>
      </x:c>
      <x:c r="EJ168" s="23" t="n">
        <x:v>803.5169270833333</x:v>
      </x:c>
      <x:c r="EK168" s="23" t="n">
        <x:v>1624.9193522135415</x:v>
      </x:c>
      <x:c r="EL168" s="23" t="n">
        <x:v>1593.0359700520833</x:v>
      </x:c>
      <x:c r="EM168" s="23" t="n">
        <x:v>801.4622395833333</x:v>
      </x:c>
      <x:c r="EN168" s="23" t="n">
        <x:v>1534.7578125</x:v>
      </x:c>
      <x:c r="EO168" s="23" t="n">
        <x:v>1491.1222737630208</x:v>
      </x:c>
      <x:c r="EP168" s="23" t="n">
        <x:f>SUM(B168:EO168)</x:f>
        <x:v>75958.04109160462</x:v>
      </x:c>
      <x:c r="EQ168" s="23" t="n">
        <x:f>SUMPRODUCT(B168:EO168,{0.6069,0.5766,0.5014,0.5292,0.5543,0.5352,0.5385,0.5444,0.5501,0.5714,0.5435,0.469,0.4271,0.4507,0.4956,0.4892,0.4975,0.5269,0.5166,0.5152,0.5504,0.5899,0.5657,0.5051,0.4991,0.4839,0.4645,0.5179,0.5752,0.5706,0.5031,0.4613,0.4313,0.3696,0.5852,0.9573,1.0069,0.8952,0.8145,0.8049,0.8337,0.8322,0.7567,0.7317,0.7374,0.6772,0.8654,1.1877,1.1815,1.1153,1.1375,1.1275,1.1224,1.137,1.1248,1.057,0.9722,0.958,1.0455,1.1835,1.2623,1.2147,1.1317,1.1302,0.8693,0.4688,0.4369,0.5392,0.5891,0.6108,0.5239,0.41,0.458,0.5292,0.507,0.4408,0.6037,0.9029,0.9582,0.9149,0.8982,0.9037,1.0216,1.1998,1.2703,1.272,1.2993,1.3611,1.1401,0.7656,0.7168,0.7729,0.7875,0.8343,0.8524,0.8517,0.9134,0.9801,1.0165,1.0408,1.0573,1.0677,1.0767,1.0918,1.1058,1.113,1.1734,1.2928,1.3987,1.3923,1.3287,1.3774,1.5237,1.659,1.6781,1.669,1.6643,1.6204,1.6043,1.6434,1.6843,1.6358,1.5978,1.7092,1.4955,1.0702,1.0577,1.1662,1.1765,1.125,0.8456,0.5078,0.503,0.5655,0.5536,0.5767,0.5862,0.5608,0.5402,0.5284,0.5532,0.6258,0.5686,0.428})</x:f>
        <x:v>56058.271892226825</x:v>
      </x:c>
    </x:row>
    <x:row r="169" ht="14" customHeight="1">
      <x:c r="A169" s="3">
        <x:v>45856</x:v>
      </x:c>
      <x:c r="B169" s="23" t="n">
        <x:v>608.2155151508015</x:v>
      </x:c>
      <x:c r="C169" s="23" t="n">
        <x:v>623.4897054036458</x:v>
      </x:c>
      <x:c r="D169" s="23" t="n">
        <x:v>612.7695719401041</x:v>
      </x:c>
      <x:c r="E169" s="23" t="n">
        <x:v>619.0916748046875</x:v>
      </x:c>
      <x:c r="F169" s="23" t="n">
        <x:v>625.2886555989583</x:v>
      </x:c>
      <x:c r="G169" s="23" t="n">
        <x:v>0</x:v>
      </x:c>
      <x:c r="H169" s="23" t="n">
        <x:v>0</x:v>
      </x:c>
      <x:c r="I169" s="23" t="n">
        <x:v>0</x:v>
      </x:c>
      <x:c r="J169" s="23" t="n">
        <x:v>613.0462239583333</x:v>
      </x:c>
      <x:c r="K169" s="23" t="n">
        <x:v>617.7485758463541</x:v>
      </x:c>
      <x:c r="L169" s="23" t="n">
        <x:v>616.559814453125</x:v>
      </x:c>
      <x:c r="M169" s="23" t="n">
        <x:v>598.0800374348958</x:v>
      </x:c>
      <x:c r="N169" s="23" t="n">
        <x:v>0</x:v>
      </x:c>
      <x:c r="O169" s="23" t="n">
        <x:v>0</x:v>
      </x:c>
      <x:c r="P169" s="23" t="n">
        <x:v>596.7288004557291</x:v>
      </x:c>
      <x:c r="Q169" s="23" t="n">
        <x:v>594.1779378255208</x:v>
      </x:c>
      <x:c r="R169" s="23" t="n">
        <x:v>586.5858968098958</x:v>
      </x:c>
      <x:c r="S169" s="23" t="n">
        <x:v>566.6964925130208</x:v>
      </x:c>
      <x:c r="T169" s="23" t="n">
        <x:v>568.990966796875</x:v>
      </x:c>
      <x:c r="U169" s="23" t="n">
        <x:v>594.222412109375</x:v>
      </x:c>
      <x:c r="V169" s="23" t="n">
        <x:v>590.8305257161458</x:v>
      </x:c>
      <x:c r="W169" s="23" t="n">
        <x:v>566.0930989583333</x:v>
      </x:c>
      <x:c r="X169" s="23" t="n">
        <x:v>554.7249755859375</x:v>
      </x:c>
      <x:c r="Y169" s="23" t="n">
        <x:v>548.7115478515625</x:v>
      </x:c>
      <x:c r="Z169" s="23" t="n">
        <x:v>540.7323404947916</x:v>
      </x:c>
      <x:c r="AA169" s="23" t="n">
        <x:v>548.3299153645833</x:v>
      </x:c>
      <x:c r="AB169" s="23" t="n">
        <x:v>561.5481770833333</x:v>
      </x:c>
      <x:c r="AC169" s="23" t="n">
        <x:v>545.1437876283828</x:v>
      </x:c>
      <x:c r="AD169" s="23" t="n">
        <x:v>545.6875</x:v>
      </x:c>
      <x:c r="AE169" s="23" t="n">
        <x:v>533.5055745442708</x:v>
      </x:c>
      <x:c r="AF169" s="23" t="n">
        <x:v>528.6035370960655</x:v>
      </x:c>
      <x:c r="AG169" s="23" t="n">
        <x:v>485.9733827365383</x:v>
      </x:c>
      <x:c r="AH169" s="23" t="n">
        <x:v>439.2547848396807</x:v>
      </x:c>
      <x:c r="AI169" s="23" t="n">
        <x:v>1229.9092033155666</x:v>
      </x:c>
      <x:c r="AJ169" s="23" t="n">
        <x:v>368.573051687045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52.15477511986394</x:v>
      </x:c>
      <x:c r="CT169" s="23" t="n">
        <x:v>109.8768974148041</x:v>
      </x:c>
      <x:c r="CU169" s="23" t="n">
        <x:v>157.60455534652598</x:v>
      </x:c>
      <x:c r="CV169" s="23" t="n">
        <x:v>209.12412866343394</x:v>
      </x:c>
      <x:c r="CW169" s="23" t="n">
        <x:v>438.8826301207683</x:v>
      </x:c>
      <x:c r="CX169" s="23" t="n">
        <x:v>293.8445237972719</x:v>
      </x:c>
      <x:c r="CY169" s="23" t="n">
        <x:v>207.11094248293207</x:v>
      </x:c>
      <x:c r="CZ169" s="23" t="n">
        <x:v>246.21184481286468</x:v>
      </x:c>
      <x:c r="DA169" s="23" t="n">
        <x:v>313.86113264431515</x:v>
      </x:c>
      <x:c r="DB169" s="23" t="n">
        <x:v>406.1323059361169</x:v>
      </x:c>
      <x:c r="DC169" s="23" t="n">
        <x:v>413.62472945272805</x:v>
      </x:c>
      <x:c r="DD169" s="23" t="n">
        <x:v>458.59568078149084</x:v>
      </x:c>
      <x:c r="DE169" s="23" t="n">
        <x:v>522.1206897444999</x:v>
      </x:c>
      <x:c r="DF169" s="23" t="n">
        <x:v>527.7817945039724</x:v>
      </x:c>
      <x:c r="DG169" s="23" t="n">
        <x:v>539.5068443801761</x:v>
      </x:c>
      <x:c r="DH169" s="23" t="n">
        <x:v>586.5053435660188</x:v>
      </x:c>
      <x:c r="DI169" s="23" t="n">
        <x:v>634.4288736250353</x:v>
      </x:c>
      <x:c r="DJ169" s="23" t="n">
        <x:v>582.9222784460367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0</x:v>
      </x:c>
      <x:c r="DW169" s="23" t="n">
        <x:v>761.8411458333333</x:v>
      </x:c>
      <x:c r="DX169" s="23" t="n">
        <x:v>748.9647623697916</x:v>
      </x:c>
      <x:c r="DY169" s="23" t="n">
        <x:v>707.5287408854166</x:v>
      </x:c>
      <x:c r="DZ169" s="23" t="n">
        <x:v>718.4308268229166</x:v>
      </x:c>
      <x:c r="EA169" s="23" t="n">
        <x:v>729.8468011458333</x:v>
      </x:c>
      <x:c r="EB169" s="23" t="n">
        <x:v>678.111322751897</x:v>
      </x:c>
      <x:c r="EC169" s="23" t="n">
        <x:v>1455.261271158854</x:v>
      </x:c>
      <x:c r="ED169" s="23" t="n">
        <x:v>1452.2476399739583</x:v>
      </x:c>
      <x:c r="EE169" s="23" t="n">
        <x:v>623.088134765625</x:v>
      </x:c>
      <x:c r="EF169" s="23" t="n">
        <x:v>1471.646728515625</x:v>
      </x:c>
      <x:c r="EG169" s="23" t="n">
        <x:v>884.8039561832882</x:v>
      </x:c>
      <x:c r="EH169" s="23" t="n">
        <x:v>633.2930908203125</x:v>
      </x:c>
      <x:c r="EI169" s="23" t="n">
        <x:v>640.1202799479166</x:v>
      </x:c>
      <x:c r="EJ169" s="23" t="n">
        <x:v>1466.5272216796875</x:v>
      </x:c>
      <x:c r="EK169" s="23" t="n">
        <x:v>1459.9032389322915</x:v>
      </x:c>
      <x:c r="EL169" s="23" t="n">
        <x:v>1462.2354329427083</x:v>
      </x:c>
      <x:c r="EM169" s="23" t="n">
        <x:v>629.50439453125</x:v>
      </x:c>
      <x:c r="EN169" s="23" t="n">
        <x:v>633.1598714192708</x:v>
      </x:c>
      <x:c r="EO169" s="23" t="n">
        <x:v>639.8971354166666</x:v>
      </x:c>
      <x:c r="EP169" s="23" t="n">
        <x:f>SUM(B169:EO169)</x:f>
        <x:v>42126.01565093906</x:v>
      </x:c>
      <x:c r="EQ169" s="23" t="n">
        <x:f>SUMPRODUCT(B169:EO169,{0.4294,0.4368,0.4018,0.4186,0.4325,0.4254,0.442,0.4746,0.4878,0.4519,0.4109,0.3968,0.407,0.4249,0.4318,0.4206,0.4254,0.4307,0.3935,0.3926,0.4253,0.4042,0.3546,0.3149,0.3092,0.3645,0.4144,0.3589,0.332,0.3751,0.4,0.4082,0.3767,0.3095,0.4893,0.7754,0.7277,0.6677,0.7014,0.6191,0.5833,0.6361,0.6351,0.574,0.5161,0.5488,0.7155,0.8873,0.8673,0.8206,0.8121,0.7613,0.7681,0.8127,0.7681,0.7441,0.7719,0.7831,0.8634,0.9672,0.9438,0.9049,0.9562,1.0379,0.7518,0.3031,0.3199,0.3956,0.3341,0.3439,0.3521,0.3405,0.3803,0.3822,0.3314,0.3238,0.4286,0.5858,0.6549,0.6564,0.6464,0.6759,0.7961,0.9404,0.9835,1.0266,1.1009,1.0954,0.852,0.5347,0.4996,0.5544,0.5574,0.5619,0.6308,0.7106,0.6845,0.6442,0.6597,0.7082,0.7016,0.6664,0.7125,0.7657,0.7779,0.7978,0.9601,1.1637,1.1657,1.1679,1.2274,1.2193,1.3151,1.4855,1.5086,1.4982,1.5073,1.4754,1.4749,1.5141,1.5168,1.4687,1.4704,1.5835,1.3503,0.9162,0.9066,0.9519,0.8956,0.9302,0.7832,0.4925,0.4132,0.4457,0.4654,0.4582,0.4742,0.4966,0.46,0.4271,0.4453,0.4951,0.4884,0.4354})</x:f>
        <x:v>23676.525089958657</x:v>
      </x:c>
    </x:row>
    <x:row r="170" ht="14" customHeight="1">
      <x:c r="A170" s="3">
        <x:v>45857</x:v>
      </x:c>
      <x:c r="B170" s="23" t="n">
        <x:v>0</x:v>
      </x:c>
      <x:c r="C170" s="23" t="n">
        <x:v>0</x:v>
      </x:c>
      <x:c r="D170" s="23" t="n">
        <x:v>0</x:v>
      </x:c>
      <x:c r="E170" s="23" t="n">
        <x:v>582.6067883961499</x:v>
      </x:c>
      <x:c r="F170" s="23" t="n">
        <x:v>0</x:v>
      </x:c>
      <x:c r="G170" s="23" t="n">
        <x:v>0</x:v>
      </x:c>
      <x:c r="H170" s="23" t="n">
        <x:v>0</x:v>
      </x:c>
      <x:c r="I170" s="23" t="n">
        <x:v>0</x:v>
      </x:c>
      <x:c r="J170" s="23" t="n">
        <x:v>617.136962890625</x:v>
      </x:c>
      <x:c r="K170" s="23" t="n">
        <x:v>590.30224609375</x:v>
      </x:c>
      <x:c r="L170" s="23" t="n">
        <x:v>577.8021240234375</x:v>
      </x:c>
      <x:c r="M170" s="23" t="n">
        <x:v>597.0834554036458</x:v>
      </x:c>
      <x:c r="N170" s="23" t="n">
        <x:v>589.2530136483997</x:v>
      </x:c>
      <x:c r="O170" s="23" t="n">
        <x:v>590.4696044921875</x:v>
      </x:c>
      <x:c r="P170" s="23" t="n">
        <x:v>588.6944986979166</x:v>
      </x:c>
      <x:c r="Q170" s="23" t="n">
        <x:v>579.2376708984375</x:v>
      </x:c>
      <x:c r="R170" s="23" t="n">
        <x:v>564.43896484375</x:v>
      </x:c>
      <x:c r="S170" s="23" t="n">
        <x:v>577.1751302083333</x:v>
      </x:c>
      <x:c r="T170" s="23" t="n">
        <x:v>587.8359781901041</x:v>
      </x:c>
      <x:c r="U170" s="23" t="n">
        <x:v>582.96533203125</x:v>
      </x:c>
      <x:c r="V170" s="23" t="n">
        <x:v>550.6679280598958</x:v>
      </x:c>
      <x:c r="W170" s="23" t="n">
        <x:v>529.0045979817708</x:v>
      </x:c>
      <x:c r="X170" s="23" t="n">
        <x:v>533.4826253255208</x:v>
      </x:c>
      <x:c r="Y170" s="23" t="n">
        <x:v>530.5939127604166</x:v>
      </x:c>
      <x:c r="Z170" s="23" t="n">
        <x:v>558.6236979166666</x:v>
      </x:c>
      <x:c r="AA170" s="23" t="n">
        <x:v>564.9822998046875</x:v>
      </x:c>
      <x:c r="AB170" s="23" t="n">
        <x:v>550.1911214192708</x:v>
      </x:c>
      <x:c r="AC170" s="23" t="n">
        <x:v>540.3224857028755</x:v>
      </x:c>
      <x:c r="AD170" s="23" t="n">
        <x:v>536.4084065755208</x:v>
      </x:c>
      <x:c r="AE170" s="23" t="n">
        <x:v>528.6642252604166</x:v>
      </x:c>
      <x:c r="AF170" s="23" t="n">
        <x:v>502.2502103373277</x:v>
      </x:c>
      <x:c r="AG170" s="23" t="n">
        <x:v>702.7091751846298</x:v>
      </x:c>
      <x:c r="AH170" s="23" t="n">
        <x:v>1273.7331277492844</x:v>
      </x:c>
      <x:c r="AI170" s="23" t="n">
        <x:v>1231.5174290456544</x:v>
      </x:c>
      <x:c r="AJ170" s="23" t="n">
        <x:v>364.8955791240235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85.17950389628427</x:v>
      </x:c>
      <x:c r="CQ170" s="23" t="n">
        <x:v>121.77236775695776</x:v>
      </x:c>
      <x:c r="CR170" s="23" t="n">
        <x:v>165.165648636748</x:v>
      </x:c>
      <x:c r="CS170" s="23" t="n">
        <x:v>49.52185936747931</x:v>
      </x:c>
      <x:c r="CT170" s="23" t="n">
        <x:v>255.20128759945217</x:v>
      </x:c>
      <x:c r="CU170" s="23" t="n">
        <x:v>279.30298952521827</x:v>
      </x:c>
      <x:c r="CV170" s="23" t="n">
        <x:v>342.417921132993</x:v>
      </x:c>
      <x:c r="CW170" s="23" t="n">
        <x:v>237.02823937075033</x:v>
      </x:c>
      <x:c r="CX170" s="23" t="n">
        <x:v>240.457830123215</x:v>
      </x:c>
      <x:c r="CY170" s="23" t="n">
        <x:v>218.80917854557916</x:v>
      </x:c>
      <x:c r="CZ170" s="23" t="n">
        <x:v>299.48364420051706</x:v>
      </x:c>
      <x:c r="DA170" s="23" t="n">
        <x:v>353.4319108632536</x:v>
      </x:c>
      <x:c r="DB170" s="23" t="n">
        <x:v>374.486073643281</x:v>
      </x:c>
      <x:c r="DC170" s="23" t="n">
        <x:v>419.4693934740859</x:v>
      </x:c>
      <x:c r="DD170" s="23" t="n">
        <x:v>462.5867974639883</x:v>
      </x:c>
      <x:c r="DE170" s="23" t="n">
        <x:v>508.903958775314</x:v>
      </x:c>
      <x:c r="DF170" s="23" t="n">
        <x:v>545.4047686901285</x:v>
      </x:c>
      <x:c r="DG170" s="23" t="n">
        <x:v>577.9853895753743</x:v>
      </x:c>
      <x:c r="DH170" s="23" t="n">
        <x:v>606.4445758579457</x:v>
      </x:c>
      <x:c r="DI170" s="23" t="n">
        <x:v>636.0206184851631</x:v>
      </x:c>
      <x:c r="DJ170" s="23" t="n">
        <x:v>371.2214356965152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0</x:v>
      </x:c>
      <x:c r="DW170" s="23" t="n">
        <x:v>682.2126057942708</x:v>
      </x:c>
      <x:c r="DX170" s="23" t="n">
        <x:v>672.5785725911458</x:v>
      </x:c>
      <x:c r="DY170" s="23" t="n">
        <x:v>688.3424479166666</x:v>
      </x:c>
      <x:c r="DZ170" s="23" t="n">
        <x:v>699.8933919270833</x:v>
      </x:c>
      <x:c r="EA170" s="23" t="n">
        <x:v>725.3579755859374</x:v>
      </x:c>
      <x:c r="EB170" s="23" t="n">
        <x:v>697.673583984375</x:v>
      </x:c>
      <x:c r="EC170" s="23" t="n">
        <x:v>650.2977294921875</x:v>
      </x:c>
      <x:c r="ED170" s="23" t="n">
        <x:v>1462.967325846354</x:v>
      </x:c>
      <x:c r="EE170" s="23" t="n">
        <x:v>622.8758544921875</x:v>
      </x:c>
      <x:c r="EF170" s="23" t="n">
        <x:v>1454.20751953125</x:v>
      </x:c>
      <x:c r="EG170" s="23" t="n">
        <x:v>1440.4658203125</x:v>
      </x:c>
      <x:c r="EH170" s="23" t="n">
        <x:v>615.8029378255208</x:v>
      </x:c>
      <x:c r="EI170" s="23" t="n">
        <x:v>621.9845784505208</x:v>
      </x:c>
      <x:c r="EJ170" s="23" t="n">
        <x:v>872.6910942925348</x:v>
      </x:c>
      <x:c r="EK170" s="23" t="n">
        <x:v>1446.9130045572915</x:v>
      </x:c>
      <x:c r="EL170" s="23" t="n">
        <x:v>1466.4766845703125</x:v>
      </x:c>
      <x:c r="EM170" s="23" t="n">
        <x:v>1445.6403401692708</x:v>
      </x:c>
      <x:c r="EN170" s="23" t="n">
        <x:v>633.5584309895833</x:v>
      </x:c>
      <x:c r="EO170" s="23" t="n">
        <x:v>778.0088704427083</x:v>
      </x:c>
      <x:c r="EP170" s="23" t="n">
        <x:f>SUM(B170:EO170)</x:f>
        <x:v>41951.292753517904</x:v>
      </x:c>
      <x:c r="EQ170" s="23" t="n">
        <x:f>SUMPRODUCT(B170:EO170,{0.4317,0.4565,0.479,0.4836,0.4406,0.4029,0.4595,0.5001,0.4786,0.4467,0.3903,0.3566,0.4227,0.4755,0.4627,0.4371,0.4325,0.4457,0.4412,0.3829,0.3461,0.4368,0.4518,0.377,0.3944,0.4046,0.3652,0.3483,0.3602,0.3791,0.3865,0.4167,0.4033,0.2817,0.4216,0.7148,0.6688,0.5886,0.6313,0.644,0.6471,0.6512,0.6229,0.5776,0.5231,0.483,0.6161,0.8293,0.8453,0.7896,0.7747,0.7872,0.7817,0.7654,0.7818,0.783,0.7633,0.7755,0.8418,0.9071,0.8915,0.8874,0.9506,0.9991,0.739,0.3257,0.2429,0.2935,0.3154,0.3302,0.2597,0.1683,0.2088,0.2145,0.1583,0.2031,0.3841,0.5786,0.6138,0.6052,0.6275,0.6613,0.7632,0.8804,0.892,0.9169,1.0153,1.0822,0.8544,0.5218,0.557,0.6209,0.5622,0.568,0.5959,0.6071,0.6238,0.6521,0.6665,0.6409,0.6499,0.7072,0.7509,0.7659,0.7613,0.7791,0.9398,1.1657,1.2367,1.2282,1.2213,1.2406,1.3595,1.4904,1.4647,1.4742,1.5436,1.5068,1.4649,1.4777,1.4969,1.4937,1.515,1.5795,1.3392,0.9449,0.9149,0.8949,0.8272,0.9773,0.8493,0.4715,0.4032,0.4574,0.4607,0.4408,0.3976,0.3661,0.3978,0.4375,0.4478,0.4496,0.5116,0.5873})</x:f>
        <x:v>23529.666684305263</x:v>
      </x:c>
    </x:row>
    <x:row r="171" ht="14" customHeight="1">
      <x:c r="A171" s="3">
        <x:v>45858</x:v>
      </x:c>
      <x:c r="B171" s="23" t="n">
        <x:v>800.663818359375</x:v>
      </x:c>
      <x:c r="C171" s="23" t="n">
        <x:v>794.7582194010416</x:v>
      </x:c>
      <x:c r="D171" s="23" t="n">
        <x:v>774.2515462239583</x:v>
      </x:c>
      <x:c r="E171" s="23" t="n">
        <x:v>797.519287109375</x:v>
      </x:c>
      <x:c r="F171" s="23" t="n">
        <x:v>776.139404296875</x:v>
      </x:c>
      <x:c r="G171" s="23" t="n">
        <x:v>768.362060546875</x:v>
      </x:c>
      <x:c r="H171" s="23" t="n">
        <x:v>774.4679361979166</x:v>
      </x:c>
      <x:c r="I171" s="23" t="n">
        <x:v>775.8992513020833</x:v>
      </x:c>
      <x:c r="J171" s="23" t="n">
        <x:v>740.866455078125</x:v>
      </x:c>
      <x:c r="K171" s="23" t="n">
        <x:v>723.444091796875</x:v>
      </x:c>
      <x:c r="L171" s="23" t="n">
        <x:v>732.1444498697916</x:v>
      </x:c>
      <x:c r="M171" s="23" t="n">
        <x:v>775.7757161458333</x:v>
      </x:c>
      <x:c r="N171" s="23" t="n">
        <x:v>726.9375813802083</x:v>
      </x:c>
      <x:c r="O171" s="23" t="n">
        <x:v>706.95947265625</x:v>
      </x:c>
      <x:c r="P171" s="23" t="n">
        <x:v>694.0662434895833</x:v>
      </x:c>
      <x:c r="Q171" s="23" t="n">
        <x:v>742.1898600260416</x:v>
      </x:c>
      <x:c r="R171" s="23" t="n">
        <x:v>744.933837890625</x:v>
      </x:c>
      <x:c r="S171" s="23" t="n">
        <x:v>685.5410970052083</x:v>
      </x:c>
      <x:c r="T171" s="23" t="n">
        <x:v>1523.1380208333333</x:v>
      </x:c>
      <x:c r="U171" s="23" t="n">
        <x:v>1211.0472133318874</x:v>
      </x:c>
      <x:c r="V171" s="23" t="n">
        <x:v>708.0856119791666</x:v>
      </x:c>
      <x:c r="W171" s="23" t="n">
        <x:v>705.3467610677083</x:v>
      </x:c>
      <x:c r="X171" s="23" t="n">
        <x:v>722.0714518229166</x:v>
      </x:c>
      <x:c r="Y171" s="23" t="n">
        <x:v>728.7190755208333</x:v>
      </x:c>
      <x:c r="Z171" s="23" t="n">
        <x:v>719.3688151041666</x:v>
      </x:c>
      <x:c r="AA171" s="23" t="n">
        <x:v>705.7019856770833</x:v>
      </x:c>
      <x:c r="AB171" s="23" t="n">
        <x:v>648.5260823567708</x:v>
      </x:c>
      <x:c r="AC171" s="23" t="n">
        <x:v>703.3728963967002</x:v>
      </x:c>
      <x:c r="AD171" s="23" t="n">
        <x:v>715.8395182291666</x:v>
      </x:c>
      <x:c r="AE171" s="23" t="n">
        <x:v>1514.3561604817708</x:v>
      </x:c>
      <x:c r="AF171" s="23" t="n">
        <x:v>1481.9356094883565</x:v>
      </x:c>
      <x:c r="AG171" s="23" t="n">
        <x:v>1443.4289440713765</x:v>
      </x:c>
      <x:c r="AH171" s="23" t="n">
        <x:v>1408.5242054947407</x:v>
      </x:c>
      <x:c r="AI171" s="23" t="n">
        <x:v>1357.112405790128</x:v>
      </x:c>
      <x:c r="AJ171" s="23" t="n">
        <x:v>568.7868068985506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180.3295361165025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336.6813834363029</x:v>
      </x:c>
      <x:c r="BQ171" s="23" t="n">
        <x:v>0</x:v>
      </x:c>
      <x:c r="BR171" s="23" t="n">
        <x:v>641.9285920841694</x:v>
      </x:c>
      <x:c r="BS171" s="23" t="n">
        <x:v>654.2092498129778</x:v>
      </x:c>
      <x:c r="BT171" s="23" t="n">
        <x:v>0</x:v>
      </x:c>
      <x:c r="BU171" s="23" t="n">
        <x:v>584.1812785954659</x:v>
      </x:c>
      <x:c r="BV171" s="23" t="n">
        <x:v>564.9326206026935</x:v>
      </x:c>
      <x:c r="BW171" s="23" t="n">
        <x:v>550.2271005317725</x:v>
      </x:c>
      <x:c r="BX171" s="23" t="n">
        <x:v>537.110897868413</x:v>
      </x:c>
      <x:c r="BY171" s="23" t="n">
        <x:v>562.092378336911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186.68691178856352</x:v>
      </x:c>
      <x:c r="CN171" s="23" t="n">
        <x:v>633.6031799996209</x:v>
      </x:c>
      <x:c r="CO171" s="23" t="n">
        <x:v>261.61830009091136</x:v>
      </x:c>
      <x:c r="CP171" s="23" t="n">
        <x:v>323.21758846813555</x:v>
      </x:c>
      <x:c r="CQ171" s="23" t="n">
        <x:v>369.60231604878084</x:v>
      </x:c>
      <x:c r="CR171" s="23" t="n">
        <x:v>410.1593906615053</x:v>
      </x:c>
      <x:c r="CS171" s="23" t="n">
        <x:v>451.48709595593147</x:v>
      </x:c>
      <x:c r="CT171" s="23" t="n">
        <x:v>502.0566011945365</x:v>
      </x:c>
      <x:c r="CU171" s="23" t="n">
        <x:v>544.9975534245019</x:v>
      </x:c>
      <x:c r="CV171" s="23" t="n">
        <x:v>592.5660362422836</x:v>
      </x:c>
      <x:c r="CW171" s="23" t="n">
        <x:v>651.4316576075669</x:v>
      </x:c>
      <x:c r="CX171" s="23" t="n">
        <x:v>695.8294742681803</x:v>
      </x:c>
      <x:c r="CY171" s="23" t="n">
        <x:v>745.4528127426893</x:v>
      </x:c>
      <x:c r="CZ171" s="23" t="n">
        <x:v>789.5950807187256</x:v>
      </x:c>
      <x:c r="DA171" s="23" t="n">
        <x:v>840.7615381639216</x:v>
      </x:c>
      <x:c r="DB171" s="23" t="n">
        <x:v>896.7700017022312</x:v>
      </x:c>
      <x:c r="DC171" s="23" t="n">
        <x:v>943.4144156952053</x:v>
      </x:c>
      <x:c r="DD171" s="23" t="n">
        <x:v>964.0970883704678</x:v>
      </x:c>
      <x:c r="DE171" s="23" t="n">
        <x:v>785.5693623622093</x:v>
      </x:c>
      <x:c r="DF171" s="23" t="n">
        <x:v>769.204225854972</x:v>
      </x:c>
      <x:c r="DG171" s="23" t="n">
        <x:v>887.1520042523607</x:v>
      </x:c>
      <x:c r="DH171" s="23" t="n">
        <x:v>950.1625876038136</x:v>
      </x:c>
      <x:c r="DI171" s="23" t="n">
        <x:v>975.7250437185387</x:v>
      </x:c>
      <x:c r="DJ171" s="23" t="n">
        <x:v>966.0237377356852</x:v>
      </x:c>
      <x:c r="DK171" s="23" t="n">
        <x:v>194.94079595139206</x:v>
      </x:c>
      <x:c r="DL171" s="23" t="n">
        <x:v>225.04254480468745</x:v>
      </x:c>
      <x:c r="DM171" s="23" t="n">
        <x:v>249.1477284876246</x:v>
      </x:c>
      <x:c r="DN171" s="23" t="n">
        <x:v>252.50342271193705</x:v>
      </x:c>
      <x:c r="DO171" s="23" t="n">
        <x:v>214.22987036458335</x:v>
      </x:c>
      <x:c r="DP171" s="23" t="n">
        <x:v>227.20614200520836</x:v>
      </x:c>
      <x:c r="DQ171" s="23" t="n">
        <x:v>225.00407421874993</x:v>
      </x:c>
      <x:c r="DR171" s="23" t="n">
        <x:v>245.8081269010416</x:v>
      </x:c>
      <x:c r="DS171" s="23" t="n">
        <x:v>221.50667580729169</x:v>
      </x:c>
      <x:c r="DT171" s="23" t="n">
        <x:v>232.4492682291666</x:v>
      </x:c>
      <x:c r="DU171" s="23" t="n">
        <x:v>258.13401878906245</x:v>
      </x:c>
      <x:c r="DV171" s="23" t="n">
        <x:v>1035.5077311197915</x:v>
      </x:c>
      <x:c r="DW171" s="23" t="n">
        <x:v>1017.6952311197916</x:v>
      </x:c>
      <x:c r="DX171" s="23" t="n">
        <x:v>1027.4361979166665</x:v>
      </x:c>
      <x:c r="DY171" s="23" t="n">
        <x:v>1021.3977864583333</x:v>
      </x:c>
      <x:c r="DZ171" s="23" t="n">
        <x:v>1003.7693525390624</x:v>
      </x:c>
      <x:c r="EA171" s="23" t="n">
        <x:v>1025.8238932291665</x:v>
      </x:c>
      <x:c r="EB171" s="23" t="n">
        <x:v>902.8187662760416</x:v>
      </x:c>
      <x:c r="EC171" s="23" t="n">
        <x:v>784.5584309895833</x:v>
      </x:c>
      <x:c r="ED171" s="23" t="n">
        <x:v>1628.0878092447915</x:v>
      </x:c>
      <x:c r="EE171" s="23" t="n">
        <x:v>1068.759738498264</x:v>
      </x:c>
      <x:c r="EF171" s="23" t="n">
        <x:v>1568.5502115885415</x:v>
      </x:c>
      <x:c r="EG171" s="23" t="n">
        <x:v>806.48388671875</x:v>
      </x:c>
      <x:c r="EH171" s="23" t="n">
        <x:v>803.5059407552083</x:v>
      </x:c>
      <x:c r="EI171" s="23" t="n">
        <x:v>714.1063639322916</x:v>
      </x:c>
      <x:c r="EJ171" s="23" t="n">
        <x:v>1534.097900390625</x:v>
      </x:c>
      <x:c r="EK171" s="23" t="n">
        <x:v>1607.248779296875</x:v>
      </x:c>
      <x:c r="EL171" s="23" t="n">
        <x:v>1627.4727376302083</x:v>
      </x:c>
      <x:c r="EM171" s="23" t="n">
        <x:v>824.62158203125</x:v>
      </x:c>
      <x:c r="EN171" s="23" t="n">
        <x:v>796.9170735677083</x:v>
      </x:c>
      <x:c r="EO171" s="23" t="n">
        <x:v>1612.9370930989583</x:v>
      </x:c>
      <x:c r="EP171" s="23" t="n">
        <x:f>SUM(B171:EO171)</x:f>
        <x:v>76106.92811004988</x:v>
      </x:c>
      <x:c r="EQ171" s="23" t="n">
        <x:f>SUMPRODUCT(B171:EO171,{0.5575,0.5186,0.5231,0.5386,0.5855,0.613,0.5402,0.5024,0.5357,0.544,0.5189,0.4876,0.4796,0.4852,0.5145,0.5763,0.5627,0.4934,0.4969,0.51,0.5003,0.5065,0.5324,0.549,0.5242,0.504,0.5194,0.5508,0.5186,0.4391,0.4124,0.4347,0.4241,0.3497,0.5654,0.9364,0.9435,0.8578,0.8593,0.8564,0.8497,0.8367,0.8023,0.7939,0.7639,0.6605,0.8374,1.1791,1.1879,1.1116,1.1172,1.1115,1.0602,0.9952,0.9792,1.0027,0.9981,0.9279,1.0175,1.2262,1.2639,1.1702,1.1161,1.1833,0.9467,0.5272,0.5065,0.6253,0.6636,0.6444,0.5403,0.426,0.4342,0.4618,0.4376,0.4257,0.6418,0.9252,0.8844,0.8433,0.9346,0.9768,1.0292,1.1317,1.2317,1.2486,1.2442,1.3142,1.118,0.7596,0.7279,0.8355,0.8799,0.8449,0.8147,0.8446,0.9124,0.9044,0.8601,0.9292,1.0068,1.0245,1.0197,1.0387,1.0775,1.1051,1.1841,1.2969,1.3552,1.4006,1.4118,1.3443,1.4334,1.6353,1.6616,1.6391,1.6498,1.6393,1.617,1.6266,1.6887,1.6751,1.6356,1.7018,1.4965,1.1119,1.0538,1.1001,1.1146,1.1484,0.9226,0.5552,0.4879,0.5364,0.5514,0.5661,0.5574,0.5402,0.5581,0.5585,0.5395,0.5511,0.5509,0.531})</x:f>
        <x:v>55964.57937610301</x:v>
      </x:c>
    </x:row>
    <x:row r="172" ht="14" customHeight="1">
      <x:c r="A172" s="3">
        <x:v>45859</x:v>
      </x:c>
      <x:c r="B172" s="23" t="n">
        <x:v>789.794921875</x:v>
      </x:c>
      <x:c r="C172" s="23" t="n">
        <x:v>773.2058919270833</x:v>
      </x:c>
      <x:c r="D172" s="23" t="n">
        <x:v>780.7107747395833</x:v>
      </x:c>
      <x:c r="E172" s="23" t="n">
        <x:v>783.5492350260416</x:v>
      </x:c>
      <x:c r="F172" s="23" t="n">
        <x:v>792.7484537760416</x:v>
      </x:c>
      <x:c r="G172" s="23" t="n">
        <x:v>793.6082356770833</x:v>
      </x:c>
      <x:c r="H172" s="23" t="n">
        <x:v>26.386840494791763</x:v>
      </x:c>
      <x:c r="I172" s="23" t="n">
        <x:v>766.553466796875</x:v>
      </x:c>
      <x:c r="J172" s="23" t="n">
        <x:v>1126.8966243923614</x:v>
      </x:c>
      <x:c r="K172" s="23" t="n">
        <x:v>774.0839029947916</x:v>
      </x:c>
      <x:c r="L172" s="23" t="n">
        <x:v>779.1180013020833</x:v>
      </x:c>
      <x:c r="M172" s="23" t="n">
        <x:v>733.6044921875</x:v>
      </x:c>
      <x:c r="N172" s="23" t="n">
        <x:v>721.792236328125</x:v>
      </x:c>
      <x:c r="O172" s="23" t="n">
        <x:v>740.007080078125</x:v>
      </x:c>
      <x:c r="P172" s="23" t="n">
        <x:v>735.7832845052083</x:v>
      </x:c>
      <x:c r="Q172" s="23" t="n">
        <x:v>700.0288899739583</x:v>
      </x:c>
      <x:c r="R172" s="23" t="n">
        <x:v>711.4813639322916</x:v>
      </x:c>
      <x:c r="S172" s="23" t="n">
        <x:v>773.9763997395833</x:v>
      </x:c>
      <x:c r="T172" s="23" t="n">
        <x:v>737.6162109375</x:v>
      </x:c>
      <x:c r="U172" s="23" t="n">
        <x:v>717.9892578125</x:v>
      </x:c>
      <x:c r="V172" s="23" t="n">
        <x:v>749.9593912760416</x:v>
      </x:c>
      <x:c r="W172" s="23" t="n">
        <x:v>763.01123046875</x:v>
      </x:c>
      <x:c r="X172" s="23" t="n">
        <x:v>716.3221842447916</x:v>
      </x:c>
      <x:c r="Y172" s="23" t="n">
        <x:v>1511.7279866536458</x:v>
      </x:c>
      <x:c r="Z172" s="23" t="n">
        <x:v>1518.4176432291665</x:v>
      </x:c>
      <x:c r="AA172" s="23" t="n">
        <x:v>686.8441569010416</x:v>
      </x:c>
      <x:c r="AB172" s="23" t="n">
        <x:v>1524.66650390625</x:v>
      </x:c>
      <x:c r="AC172" s="23" t="n">
        <x:v>690.6554843140035</x:v>
      </x:c>
      <x:c r="AD172" s="23" t="n">
        <x:v>687.8173828125</x:v>
      </x:c>
      <x:c r="AE172" s="23" t="n">
        <x:v>684.58251953125</x:v>
      </x:c>
      <x:c r="AF172" s="23" t="n">
        <x:v>1501.6233187089788</x:v>
      </x:c>
      <x:c r="AG172" s="23" t="n">
        <x:v>1485.8321548425065</x:v>
      </x:c>
      <x:c r="AH172" s="23" t="n">
        <x:v>1428.7755068646538</x:v>
      </x:c>
      <x:c r="AI172" s="23" t="n">
        <x:v>1375.4147010195295</x:v>
      </x:c>
      <x:c r="AJ172" s="23" t="n">
        <x:v>572.9876015213773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322.8165123437525</x:v>
      </x:c>
      <x:c r="AT172" s="23" t="n">
        <x:v>277.9604943096209</x:v>
      </x:c>
      <x:c r="AU172" s="23" t="n">
        <x:v>196.97133183312718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0</x:v>
      </x:c>
      <x:c r="BP172" s="23" t="n">
        <x:v>658.3567277515627</x:v>
      </x:c>
      <x:c r="BQ172" s="23" t="n">
        <x:v>79.91859583593163</x:v>
      </x:c>
      <x:c r="BR172" s="23" t="n">
        <x:v>0</x:v>
      </x:c>
      <x:c r="BS172" s="23" t="n">
        <x:v>0</x:v>
      </x:c>
      <x:c r="BT172" s="23" t="n">
        <x:v>636.5885000533353</x:v>
      </x:c>
      <x:c r="BU172" s="23" t="n">
        <x:v>569.3248982914231</x:v>
      </x:c>
      <x:c r="BV172" s="23" t="n">
        <x:v>570.6278997552823</x:v>
      </x:c>
      <x:c r="BW172" s="23" t="n">
        <x:v>575.5456619193264</x:v>
      </x:c>
      <x:c r="BX172" s="23" t="n">
        <x:v>578.3411409920691</x:v>
      </x:c>
      <x:c r="BY172" s="23" t="n">
        <x:v>597.5656589514338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208.2064527619789</x:v>
      </x:c>
      <x:c r="CN172" s="23" t="n">
        <x:v>695.3266867675359</x:v>
      </x:c>
      <x:c r="CO172" s="23" t="n">
        <x:v>291.51225645887973</x:v>
      </x:c>
      <x:c r="CP172" s="23" t="n">
        <x:v>338.34814028629455</x:v>
      </x:c>
      <x:c r="CQ172" s="23" t="n">
        <x:v>375.83874813505645</x:v>
      </x:c>
      <x:c r="CR172" s="23" t="n">
        <x:v>410.813093816548</x:v>
      </x:c>
      <x:c r="CS172" s="23" t="n">
        <x:v>452.8249132229512</x:v>
      </x:c>
      <x:c r="CT172" s="23" t="n">
        <x:v>495.41061706032207</x:v>
      </x:c>
      <x:c r="CU172" s="23" t="n">
        <x:v>546.6536592541859</x:v>
      </x:c>
      <x:c r="CV172" s="23" t="n">
        <x:v>572.243977122213</x:v>
      </x:c>
      <x:c r="CW172" s="23" t="n">
        <x:v>636.945138491668</x:v>
      </x:c>
      <x:c r="CX172" s="23" t="n">
        <x:v>696.1042657747166</x:v>
      </x:c>
      <x:c r="CY172" s="23" t="n">
        <x:v>745.1008326250742</x:v>
      </x:c>
      <x:c r="CZ172" s="23" t="n">
        <x:v>790.2921622028935</x:v>
      </x:c>
      <x:c r="DA172" s="23" t="n">
        <x:v>836.2808070718629</x:v>
      </x:c>
      <x:c r="DB172" s="23" t="n">
        <x:v>882.8907485846046</x:v>
      </x:c>
      <x:c r="DC172" s="23" t="n">
        <x:v>911.2073032143186</x:v>
      </x:c>
      <x:c r="DD172" s="23" t="n">
        <x:v>945.8394578227794</x:v>
      </x:c>
      <x:c r="DE172" s="23" t="n">
        <x:v>840.9684187740552</x:v>
      </x:c>
      <x:c r="DF172" s="23" t="n">
        <x:v>822.88974805767</x:v>
      </x:c>
      <x:c r="DG172" s="23" t="n">
        <x:v>862.4926917270798</x:v>
      </x:c>
      <x:c r="DH172" s="23" t="n">
        <x:v>869.4193278229492</x:v>
      </x:c>
      <x:c r="DI172" s="23" t="n">
        <x:v>900.0193308960618</x:v>
      </x:c>
      <x:c r="DJ172" s="23" t="n">
        <x:v>942.9973746198284</x:v>
      </x:c>
      <x:c r="DK172" s="23" t="n">
        <x:v>214.49322875751415</x:v>
      </x:c>
      <x:c r="DL172" s="23" t="n">
        <x:v>222.13453872395831</x:v>
      </x:c>
      <x:c r="DM172" s="23" t="n">
        <x:v>232.0749316244346</x:v>
      </x:c>
      <x:c r="DN172" s="23" t="n">
        <x:v>222.25810026041668</x:v>
      </x:c>
      <x:c r="DO172" s="23" t="n">
        <x:v>194.57162630208327</x:v>
      </x:c>
      <x:c r="DP172" s="23" t="n">
        <x:v>195.7713983333333</x:v>
      </x:c>
      <x:c r="DQ172" s="23" t="n">
        <x:v>218.28190950520835</x:v>
      </x:c>
      <x:c r="DR172" s="23" t="n">
        <x:v>233.00299489583327</x:v>
      </x:c>
      <x:c r="DS172" s="23" t="n">
        <x:v>235.6846469791667</x:v>
      </x:c>
      <x:c r="DT172" s="23" t="n">
        <x:v>245.6732447916667</x:v>
      </x:c>
      <x:c r="DU172" s="23" t="n">
        <x:v>251.56352386718754</x:v>
      </x:c>
      <x:c r="DV172" s="23" t="n">
        <x:v>929.2168230699605</x:v>
      </x:c>
      <x:c r="DW172" s="23" t="n">
        <x:v>1019.3331705729166</x:v>
      </x:c>
      <x:c r="DX172" s="23" t="n">
        <x:v>975.956298828125</x:v>
      </x:c>
      <x:c r="DY172" s="23" t="n">
        <x:v>995.4204915364583</x:v>
      </x:c>
      <x:c r="DZ172" s="23" t="n">
        <x:v>1022.3753255208333</x:v>
      </x:c>
      <x:c r="EA172" s="23" t="n">
        <x:v>1030.6780673828125</x:v>
      </x:c>
      <x:c r="EB172" s="23" t="n">
        <x:v>935.50927734375</x:v>
      </x:c>
      <x:c r="EC172" s="23" t="n">
        <x:v>1635.385498046875</x:v>
      </x:c>
      <x:c r="ED172" s="23" t="n">
        <x:v>1612.9153645833333</x:v>
      </x:c>
      <x:c r="EE172" s="23" t="n">
        <x:v>789.3575846354166</x:v>
      </x:c>
      <x:c r="EF172" s="23" t="n">
        <x:v>809.1048990885416</x:v>
      </x:c>
      <x:c r="EG172" s="23" t="n">
        <x:v>803.5359700520833</x:v>
      </x:c>
      <x:c r="EH172" s="23" t="n">
        <x:v>800.4574381510416</x:v>
      </x:c>
      <x:c r="EI172" s="23" t="n">
        <x:v>779.2188313802083</x:v>
      </x:c>
      <x:c r="EJ172" s="23" t="n">
        <x:v>792.71484375</x:v>
      </x:c>
      <x:c r="EK172" s="23" t="n">
        <x:v>1034.1982839827674</x:v>
      </x:c>
      <x:c r="EL172" s="23" t="n">
        <x:v>1612.3990071614583</x:v>
      </x:c>
      <x:c r="EM172" s="23" t="n">
        <x:v>1592.7428385416665</x:v>
      </x:c>
      <x:c r="EN172" s="23" t="n">
        <x:v>1612.767333984375</x:v>
      </x:c>
      <x:c r="EO172" s="23" t="n">
        <x:v>1628.483154296875</x:v>
      </x:c>
      <x:c r="EP172" s="23" t="n">
        <x:f>SUM(B172:EO172)</x:f>
        <x:v>76669.4975513497</x:v>
      </x:c>
      <x:c r="EQ172" s="23" t="n">
        <x:f>SUMPRODUCT(B172:EO172,{0.5293,0.5348,0.5326,0.5218,0.5227,0.5397,0.5569,0.562,0.548,0.5228,0.5293,0.5626,0.5758,0.5781,0.5618,0.5077,0.4783,0.4885,0.4988,0.5258,0.5564,0.5438,0.486,0.4451,0.4899,0.5144,0.495,0.5035,0.4933,0.4777,0.5247,0.5575,0.4983,0.3888,0.5796,0.9256,0.9185,0.866,0.8974,0.8331,0.8026,0.8242,0.7751,0.7369,0.7297,0.7187,0.8926,1.1506,1.1758,1.1615,1.1796,1.1074,1.051,1.0507,1.0404,1.0338,1.0248,0.9961,1.0401,1.1298,1.1376,1.1256,1.1426,1.1318,0.8793,0.5354,0.501,0.5786,0.5723,0.4867,0.4939,0.592,0.6117,0.5723,0.5274,0.5349,0.719,0.9428,0.9279,0.9284,0.9881,0.9212,0.9911,1.1845,1.2057,1.1954,1.2642,1.33,1.1292,0.7864,0.7172,0.7799,0.8282,0.8585,0.8787,0.9064,0.9519,0.9669,0.9488,0.9486,0.9851,1.038,1.0705,1.1003,1.1328,1.169,1.287,1.4056,1.3554,1.3223,1.3611,1.3703,1.5019,1.6991,1.7176,1.6565,1.6318,1.6621,1.6692,1.656,1.6878,1.6731,1.6568,1.7317,1.5021,1.0871,1.0357,1.0764,1.0865,1.1741,0.9522,0.5482,0.5153,0.5585,0.5158,0.5351,0.594,0.6178,0.5606,0.5137,0.5212,0.547,0.5599,0.5442})</x:f>
        <x:v>57267.092305596634</x:v>
      </x:c>
    </x:row>
    <x:row r="173" ht="14" customHeight="1">
      <x:c r="A173" s="3">
        <x:v>45860</x:v>
      </x:c>
      <x:c r="B173" s="23" t="n">
        <x:v>785.8453776041666</x:v>
      </x:c>
      <x:c r="C173" s="23" t="n">
        <x:v>785.2832845052083</x:v>
      </x:c>
      <x:c r="D173" s="23" t="n">
        <x:v>749.912109375</x:v>
      </x:c>
      <x:c r="E173" s="23" t="n">
        <x:v>782.6638997395833</x:v>
      </x:c>
      <x:c r="F173" s="23" t="n">
        <x:v>784.7301432291666</x:v>
      </x:c>
      <x:c r="G173" s="23" t="n">
        <x:v>747.6360677083333</x:v>
      </x:c>
      <x:c r="H173" s="23" t="n">
        <x:v>751.6409505208333</x:v>
      </x:c>
      <x:c r="I173" s="23" t="n">
        <x:v>773.456298828125</x:v>
      </x:c>
      <x:c r="J173" s="23" t="n">
        <x:v>782.587890625</x:v>
      </x:c>
      <x:c r="K173" s="23" t="n">
        <x:v>753.1515299479166</x:v>
      </x:c>
      <x:c r="L173" s="23" t="n">
        <x:v>747.9752604166666</x:v>
      </x:c>
      <x:c r="M173" s="23" t="n">
        <x:v>798.3046061197916</x:v>
      </x:c>
      <x:c r="N173" s="23" t="n">
        <x:v>795.64453125</x:v>
      </x:c>
      <x:c r="O173" s="23" t="n">
        <x:v>780.42431640625</x:v>
      </x:c>
      <x:c r="P173" s="23" t="n">
        <x:v>765.7681477864583</x:v>
      </x:c>
      <x:c r="Q173" s="23" t="n">
        <x:v>731.989990234375</x:v>
      </x:c>
      <x:c r="R173" s="23" t="n">
        <x:v>713.617919921875</x:v>
      </x:c>
      <x:c r="S173" s="23" t="n">
        <x:v>741.578369140625</x:v>
      </x:c>
      <x:c r="T173" s="23" t="n">
        <x:v>729.3385416666666</x:v>
      </x:c>
      <x:c r="U173" s="23" t="n">
        <x:v>723.7861328125</x:v>
      </x:c>
      <x:c r="V173" s="23" t="n">
        <x:v>748.7350260416666</x:v>
      </x:c>
      <x:c r="W173" s="23" t="n">
        <x:v>1559.1729329427083</x:v>
      </x:c>
      <x:c r="X173" s="23" t="n">
        <x:v>1527.279541015625</x:v>
      </x:c>
      <x:c r="Y173" s="23" t="n">
        <x:v>702.6302897135416</x:v>
      </x:c>
      <x:c r="Z173" s="23" t="n">
        <x:v>1502.58935546875</x:v>
      </x:c>
      <x:c r="AA173" s="23" t="n">
        <x:v>770.8538233289921</x:v>
      </x:c>
      <x:c r="AB173" s="23" t="n">
        <x:v>692.5133463541666</x:v>
      </x:c>
      <x:c r="AC173" s="23" t="n">
        <x:v>711.7509754533357</x:v>
      </x:c>
      <x:c r="AD173" s="23" t="n">
        <x:v>689.6153157552083</x:v>
      </x:c>
      <x:c r="AE173" s="23" t="n">
        <x:v>668.147216796875</x:v>
      </x:c>
      <x:c r="AF173" s="23" t="n">
        <x:v>656.1725934091725</x:v>
      </x:c>
      <x:c r="AG173" s="23" t="n">
        <x:v>1478.4444722760754</x:v>
      </x:c>
      <x:c r="AH173" s="23" t="n">
        <x:v>1438.7738542711252</x:v>
      </x:c>
      <x:c r="AI173" s="23" t="n">
        <x:v>1380.2011152249652</x:v>
      </x:c>
      <x:c r="AJ173" s="23" t="n">
        <x:v>565.9357624215005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317.4248689866482</x:v>
      </x:c>
      <x:c r="AT173" s="23" t="n">
        <x:v>249.72236789029319</x:v>
      </x:c>
      <x:c r="AU173" s="23" t="n">
        <x:v>154.78359439010532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42.332768857864</x:v>
      </x:c>
      <x:c r="BP173" s="23" t="n">
        <x:v>646.0179693745746</x:v>
      </x:c>
      <x:c r="BQ173" s="23" t="n">
        <x:v>0</x:v>
      </x:c>
      <x:c r="BR173" s="23" t="n">
        <x:v>0</x:v>
      </x:c>
      <x:c r="BS173" s="23" t="n">
        <x:v>0</x:v>
      </x:c>
      <x:c r="BT173" s="23" t="n">
        <x:v>647.0787262493925</x:v>
      </x:c>
      <x:c r="BU173" s="23" t="n">
        <x:v>586.3793679161201</x:v>
      </x:c>
      <x:c r="BV173" s="23" t="n">
        <x:v>590.5303863061854</x:v>
      </x:c>
      <x:c r="BW173" s="23" t="n">
        <x:v>600.2867620492234</x:v>
      </x:c>
      <x:c r="BX173" s="23" t="n">
        <x:v>606.0708249718961</x:v>
      </x:c>
      <x:c r="BY173" s="23" t="n">
        <x:v>633.1320587930668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221.68294117703465</x:v>
      </x:c>
      <x:c r="CN173" s="23" t="n">
        <x:v>659.2618762018316</x:v>
      </x:c>
      <x:c r="CO173" s="23" t="n">
        <x:v>298.1722797332477</x:v>
      </x:c>
      <x:c r="CP173" s="23" t="n">
        <x:v>349.1385319587974</x:v>
      </x:c>
      <x:c r="CQ173" s="23" t="n">
        <x:v>377.13660751281293</x:v>
      </x:c>
      <x:c r="CR173" s="23" t="n">
        <x:v>411.9162829320459</x:v>
      </x:c>
      <x:c r="CS173" s="23" t="n">
        <x:v>464.99175178433836</x:v>
      </x:c>
      <x:c r="CT173" s="23" t="n">
        <x:v>520.0021782157283</x:v>
      </x:c>
      <x:c r="CU173" s="23" t="n">
        <x:v>554.9075697760254</x:v>
      </x:c>
      <x:c r="CV173" s="23" t="n">
        <x:v>591.8364340488026</x:v>
      </x:c>
      <x:c r="CW173" s="23" t="n">
        <x:v>659.103952295176</x:v>
      </x:c>
      <x:c r="CX173" s="23" t="n">
        <x:v>716.3087798870207</x:v>
      </x:c>
      <x:c r="CY173" s="23" t="n">
        <x:v>763.2118170879594</x:v>
      </x:c>
      <x:c r="CZ173" s="23" t="n">
        <x:v>806.9711584917646</x:v>
      </x:c>
      <x:c r="DA173" s="23" t="n">
        <x:v>851.3512892395231</x:v>
      </x:c>
      <x:c r="DB173" s="23" t="n">
        <x:v>899.7334041247739</x:v>
      </x:c>
      <x:c r="DC173" s="23" t="n">
        <x:v>934.3071404646427</x:v>
      </x:c>
      <x:c r="DD173" s="23" t="n">
        <x:v>966.007294781004</x:v>
      </x:c>
      <x:c r="DE173" s="23" t="n">
        <x:v>843.0983886453638</x:v>
      </x:c>
      <x:c r="DF173" s="23" t="n">
        <x:v>802.2471053783738</x:v>
      </x:c>
      <x:c r="DG173" s="23" t="n">
        <x:v>857.1986134166305</x:v>
      </x:c>
      <x:c r="DH173" s="23" t="n">
        <x:v>892.5571969325783</x:v>
      </x:c>
      <x:c r="DI173" s="23" t="n">
        <x:v>944.2244283113814</x:v>
      </x:c>
      <x:c r="DJ173" s="23" t="n">
        <x:v>987.5150796961317</x:v>
      </x:c>
      <x:c r="DK173" s="23" t="n">
        <x:v>265.61375284605583</x:v>
      </x:c>
      <x:c r="DL173" s="23" t="n">
        <x:v>250.33432713541666</x:v>
      </x:c>
      <x:c r="DM173" s="23" t="n">
        <x:v>251.51278986204093</x:v>
      </x:c>
      <x:c r="DN173" s="23" t="n">
        <x:v>224.41963997395834</x:v>
      </x:c>
      <x:c r="DO173" s="23" t="n">
        <x:v>192.25871940104162</x:v>
      </x:c>
      <x:c r="DP173" s="23" t="n">
        <x:v>203.20360861979162</x:v>
      </x:c>
      <x:c r="DQ173" s="23" t="n">
        <x:v>222.8199140625</x:v>
      </x:c>
      <x:c r="DR173" s="23" t="n">
        <x:v>170.78424489583327</x:v>
      </x:c>
      <x:c r="DS173" s="23" t="n">
        <x:v>168.3084262760417</x:v>
      </x:c>
      <x:c r="DT173" s="23" t="n">
        <x:v>228.0184596354167</x:v>
      </x:c>
      <x:c r="DU173" s="23" t="n">
        <x:v>239.87122243489586</x:v>
      </x:c>
      <x:c r="DV173" s="23" t="n">
        <x:v>908.237981924126</x:v>
      </x:c>
      <x:c r="DW173" s="23" t="n">
        <x:v>952.0457356770833</x:v>
      </x:c>
      <x:c r="DX173" s="23" t="n">
        <x:v>1013.3245442708333</x:v>
      </x:c>
      <x:c r="DY173" s="23" t="n">
        <x:v>1022.1746419270833</x:v>
      </x:c>
      <x:c r="DZ173" s="23" t="n">
        <x:v>1022.1704915364583</x:v>
      </x:c>
      <x:c r="EA173" s="23" t="n">
        <x:v>1030.0568922526043</x:v>
      </x:c>
      <x:c r="EB173" s="23" t="n">
        <x:v>937.0897623697916</x:v>
      </x:c>
      <x:c r="EC173" s="23" t="n">
        <x:v>796.3919318978265</x:v>
      </x:c>
      <x:c r="ED173" s="23" t="n">
        <x:v>1615.3999837239583</x:v>
      </x:c>
      <x:c r="EE173" s="23" t="n">
        <x:v>750.830078125</x:v>
      </x:c>
      <x:c r="EF173" s="23" t="n">
        <x:v>1553.4536946614583</x:v>
      </x:c>
      <x:c r="EG173" s="23" t="n">
        <x:v>1594.2843424479165</x:v>
      </x:c>
      <x:c r="EH173" s="23" t="n">
        <x:v>805.3275553385416</x:v>
      </x:c>
      <x:c r="EI173" s="23" t="n">
        <x:v>796.535400390625</x:v>
      </x:c>
      <x:c r="EJ173" s="23" t="n">
        <x:v>790.7188313802083</x:v>
      </x:c>
      <x:c r="EK173" s="23" t="n">
        <x:v>1604.1962076822915</x:v>
      </x:c>
      <x:c r="EL173" s="23" t="n">
        <x:v>1607.98974609375</x:v>
      </x:c>
      <x:c r="EM173" s="23" t="n">
        <x:v>1624.6487630208333</x:v>
      </x:c>
      <x:c r="EN173" s="23" t="n">
        <x:v>1009.037797397441</x:v>
      </x:c>
      <x:c r="EO173" s="23" t="n">
        <x:v>802.6556803385416</x:v>
      </x:c>
      <x:c r="EP173" s="23" t="n">
        <x:f>SUM(B173:EO173)</x:f>
        <x:v>76418.50795378999</x:v>
      </x:c>
      <x:c r="EQ173" s="23" t="n">
        <x:f>SUMPRODUCT(B173:EO173,{0.5133,0.5388,0.6044,0.617,0.5876,0.5667,0.5865,0.561,0.5113,0.5405,0.5409,0.4885,0.4694,0.4599,0.4434,0.4372,0.4515,0.4839,0.5198,0.5364,0.5252,0.4997,0.4978,0.5135,0.5096,0.517,0.5154,0.4577,0.46,0.5265,0.5425,0.5276,0.4737,0.3953,0.6257,0.9894,0.9514,0.8757,0.9295,0.9136,0.8696,0.8262,0.7614,0.7561,0.7584,0.6728,0.8415,1.1757,1.1998,1.0586,0.9706,1.0137,1.0577,1.0441,1.0281,1.0286,1.0098,0.9458,1.0166,1.1889,1.2273,1.1506,1.1185,1.2241,1.0272,0.6249,0.5678,0.552,0.4596,0.4921,0.5083,0.4693,0.4877,0.5166,0.5114,0.5122,0.706,0.9633,0.9542,0.9403,1.0087,0.9997,1.0616,1.2004,1.2476,1.2308,1.2604,1.3697,1.1835,0.7936,0.7009,0.7697,0.8206,0.8171,0.8034,0.8085,0.829,0.8666,0.9178,0.9677,0.9882,1.0037,1.0661,1.1129,1.1112,1.1043,1.2001,1.3366,1.3445,1.3597,1.4062,1.3849,1.457,1.6087,1.6503,1.6514,1.6578,1.6432,1.6568,1.6985,1.7059,1.6494,1.6211,1.6968,1.4673,1.0714,1.0775,1.1078,1.0412,1.1082,0.9651,0.6295,0.5121,0.5538,0.6189,0.6329,0.584,0.5387,0.5774,0.5903,0.5487,0.5365,0.5657,0.5774})</x:f>
        <x:v>56858.81277850359</x:v>
      </x:c>
    </x:row>
    <x:row r="174" ht="14" customHeight="1">
      <x:c r="A174" s="3">
        <x:v>45861</x:v>
      </x:c>
      <x:c r="B174" s="23" t="n">
        <x:v>785.4298502604166</x:v>
      </x:c>
      <x:c r="C174" s="23" t="n">
        <x:v>745.5802408854166</x:v>
      </x:c>
      <x:c r="D174" s="23" t="n">
        <x:v>759.605712890625</x:v>
      </x:c>
      <x:c r="E174" s="23" t="n">
        <x:v>796.40380859375</x:v>
      </x:c>
      <x:c r="F174" s="23" t="n">
        <x:v>780.491943359375</x:v>
      </x:c>
      <x:c r="G174" s="23" t="n">
        <x:v>732.0926106770833</x:v>
      </x:c>
      <x:c r="H174" s="23" t="n">
        <x:v>749.6097819010416</x:v>
      </x:c>
      <x:c r="I174" s="23" t="n">
        <x:v>751.0712076822916</x:v>
      </x:c>
      <x:c r="J174" s="23" t="n">
        <x:v>740.8841959635416</x:v>
      </x:c>
      <x:c r="K174" s="23" t="n">
        <x:v>752.6773274739583</x:v>
      </x:c>
      <x:c r="L174" s="23" t="n">
        <x:v>799.2593587239583</x:v>
      </x:c>
      <x:c r="M174" s="23" t="n">
        <x:v>786.0181477864583</x:v>
      </x:c>
      <x:c r="N174" s="23" t="n">
        <x:v>758.7473958333333</x:v>
      </x:c>
      <x:c r="O174" s="23" t="n">
        <x:v>769.8780924479166</x:v>
      </x:c>
      <x:c r="P174" s="23" t="n">
        <x:v>770.5096842447916</x:v>
      </x:c>
      <x:c r="Q174" s="23" t="n">
        <x:v>1559.60009765625</x:v>
      </x:c>
      <x:c r="R174" s="23" t="n">
        <x:v>716.6468098958333</x:v>
      </x:c>
      <x:c r="S174" s="23" t="n">
        <x:v>713.873779296875</x:v>
      </x:c>
      <x:c r="T174" s="23" t="n">
        <x:v>681.105224609375</x:v>
      </x:c>
      <x:c r="U174" s="23" t="n">
        <x:v>1500.6093343098958</x:v>
      </x:c>
      <x:c r="V174" s="23" t="n">
        <x:v>709.3436686197916</x:v>
      </x:c>
      <x:c r="W174" s="23" t="n">
        <x:v>751.963623046875</x:v>
      </x:c>
      <x:c r="X174" s="23" t="n">
        <x:v>726.4051106770833</x:v>
      </x:c>
      <x:c r="Y174" s="23" t="n">
        <x:v>695.6165364583333</x:v>
      </x:c>
      <x:c r="Z174" s="23" t="n">
        <x:v>729.2184244791666</x:v>
      </x:c>
      <x:c r="AA174" s="23" t="n">
        <x:v>736.9596354166666</x:v>
      </x:c>
      <x:c r="AB174" s="23" t="n">
        <x:v>1531.0304361979165</x:v>
      </x:c>
      <x:c r="AC174" s="23" t="n">
        <x:v>1536.4623141061677</x:v>
      </x:c>
      <x:c r="AD174" s="23" t="n">
        <x:v>691.4597981770833</x:v>
      </x:c>
      <x:c r="AE174" s="23" t="n">
        <x:v>934.3663449017315</x:v>
      </x:c>
      <x:c r="AF174" s="23" t="n">
        <x:v>675.7869633201524</x:v>
      </x:c>
      <x:c r="AG174" s="23" t="n">
        <x:v>665.5931366683878</x:v>
      </x:c>
      <x:c r="AH174" s="23" t="n">
        <x:v>1440.4298067062523</x:v>
      </x:c>
      <x:c r="AI174" s="23" t="n">
        <x:v>1383.6062869012749</x:v>
      </x:c>
      <x:c r="AJ174" s="23" t="n">
        <x:v>604.3558031269424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342.3658975617955</x:v>
      </x:c>
      <x:c r="AS174" s="23" t="n">
        <x:v>330.75919876494845</x:v>
      </x:c>
      <x:c r="AT174" s="23" t="n">
        <x:v>296.32204505793885</x:v>
      </x:c>
      <x:c r="AU174" s="23" t="n">
        <x:v>219.6306859380033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0</x:v>
      </x:c>
      <x:c r="BP174" s="23" t="n">
        <x:v>636.3079740963633</x:v>
      </x:c>
      <x:c r="BQ174" s="23" t="n">
        <x:v>0</x:v>
      </x:c>
      <x:c r="BR174" s="23" t="n">
        <x:v>0</x:v>
      </x:c>
      <x:c r="BS174" s="23" t="n">
        <x:v>112.07169501354394</x:v>
      </x:c>
      <x:c r="BT174" s="23" t="n">
        <x:v>615.141158757379</x:v>
      </x:c>
      <x:c r="BU174" s="23" t="n">
        <x:v>572.3873810926807</x:v>
      </x:c>
      <x:c r="BV174" s="23" t="n">
        <x:v>598.453350511496</x:v>
      </x:c>
      <x:c r="BW174" s="23" t="n">
        <x:v>578.560211826737</x:v>
      </x:c>
      <x:c r="BX174" s="23" t="n">
        <x:v>557.9273816786747</x:v>
      </x:c>
      <x:c r="BY174" s="23" t="n">
        <x:v>614.148937539698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234.44266829129657</x:v>
      </x:c>
      <x:c r="CN174" s="23" t="n">
        <x:v>794.7936751645575</x:v>
      </x:c>
      <x:c r="CO174" s="23" t="n">
        <x:v>303.5204344214444</x:v>
      </x:c>
      <x:c r="CP174" s="23" t="n">
        <x:v>348.4404933251247</x:v>
      </x:c>
      <x:c r="CQ174" s="23" t="n">
        <x:v>379.86503320077674</x:v>
      </x:c>
      <x:c r="CR174" s="23" t="n">
        <x:v>425.6505914058331</x:v>
      </x:c>
      <x:c r="CS174" s="23" t="n">
        <x:v>471.1958002221439</x:v>
      </x:c>
      <x:c r="CT174" s="23" t="n">
        <x:v>520.3738296146709</x:v>
      </x:c>
      <x:c r="CU174" s="23" t="n">
        <x:v>562.7724630962459</x:v>
      </x:c>
      <x:c r="CV174" s="23" t="n">
        <x:v>603.5087087907756</x:v>
      </x:c>
      <x:c r="CW174" s="23" t="n">
        <x:v>667.4729654642316</x:v>
      </x:c>
      <x:c r="CX174" s="23" t="n">
        <x:v>717.4171222583205</x:v>
      </x:c>
      <x:c r="CY174" s="23" t="n">
        <x:v>766.6758484171066</x:v>
      </x:c>
      <x:c r="CZ174" s="23" t="n">
        <x:v>814.0134812579681</x:v>
      </x:c>
      <x:c r="DA174" s="23" t="n">
        <x:v>859.8673594029196</x:v>
      </x:c>
      <x:c r="DB174" s="23" t="n">
        <x:v>892.9170509622222</x:v>
      </x:c>
      <x:c r="DC174" s="23" t="n">
        <x:v>936.9723776445609</x:v>
      </x:c>
      <x:c r="DD174" s="23" t="n">
        <x:v>943.2169749592588</x:v>
      </x:c>
      <x:c r="DE174" s="23" t="n">
        <x:v>803.8731076856907</x:v>
      </x:c>
      <x:c r="DF174" s="23" t="n">
        <x:v>805.5905546451304</x:v>
      </x:c>
      <x:c r="DG174" s="23" t="n">
        <x:v>903.4963969076708</x:v>
      </x:c>
      <x:c r="DH174" s="23" t="n">
        <x:v>922.4178315762257</x:v>
      </x:c>
      <x:c r="DI174" s="23" t="n">
        <x:v>929.9152050529192</x:v>
      </x:c>
      <x:c r="DJ174" s="23" t="n">
        <x:v>935.4139396171952</x:v>
      </x:c>
      <x:c r="DK174" s="23" t="n">
        <x:v>211.47125610126415</x:v>
      </x:c>
      <x:c r="DL174" s="23" t="n">
        <x:v>182.226986640625</x:v>
      </x:c>
      <x:c r="DM174" s="23" t="n">
        <x:v>209.18355762099446</x:v>
      </x:c>
      <x:c r="DN174" s="23" t="n">
        <x:v>239.54870898437503</x:v>
      </x:c>
      <x:c r="DO174" s="23" t="n">
        <x:v>217.26376497395827</x:v>
      </x:c>
      <x:c r="DP174" s="23" t="n">
        <x:v>215.09789572916662</x:v>
      </x:c>
      <x:c r="DQ174" s="23" t="n">
        <x:v>246.5376875</x:v>
      </x:c>
      <x:c r="DR174" s="23" t="n">
        <x:v>239.62742523437493</x:v>
      </x:c>
      <x:c r="DS174" s="23" t="n">
        <x:v>205.30369265624995</x:v>
      </x:c>
      <x:c r="DT174" s="23" t="n">
        <x:v>194.8802760416667</x:v>
      </x:c>
      <x:c r="DU174" s="23" t="n">
        <x:v>193.6498682682292</x:v>
      </x:c>
      <x:c r="DV174" s="23" t="n">
        <x:v>877.3692617678763</x:v>
      </x:c>
      <x:c r="DW174" s="23" t="n">
        <x:v>939.3951822916666</x:v>
      </x:c>
      <x:c r="DX174" s="23" t="n">
        <x:v>967.7556966145833</x:v>
      </x:c>
      <x:c r="DY174" s="23" t="n">
        <x:v>993.9937337239583</x:v>
      </x:c>
      <x:c r="DZ174" s="23" t="n">
        <x:v>970.6209309895833</x:v>
      </x:c>
      <x:c r="EA174" s="23" t="n">
        <x:v>1008.599047200521</x:v>
      </x:c>
      <x:c r="EB174" s="23" t="n">
        <x:v>917.4864095052083</x:v>
      </x:c>
      <x:c r="EC174" s="23" t="n">
        <x:v>812.9349006478265</x:v>
      </x:c>
      <x:c r="ED174" s="23" t="n">
        <x:v>1042.5120812516075</x:v>
      </x:c>
      <x:c r="EE174" s="23" t="n">
        <x:v>806.193115234375</x:v>
      </x:c>
      <x:c r="EF174" s="23" t="n">
        <x:v>833.9453938802083</x:v>
      </x:c>
      <x:c r="EG174" s="23" t="n">
        <x:v>1640.6985677083333</x:v>
      </x:c>
      <x:c r="EH174" s="23" t="n">
        <x:v>1622.4275716145833</x:v>
      </x:c>
      <x:c r="EI174" s="23" t="n">
        <x:v>800.1800130208333</x:v>
      </x:c>
      <x:c r="EJ174" s="23" t="n">
        <x:v>1640.2339680989583</x:v>
      </x:c>
      <x:c r="EK174" s="23" t="n">
        <x:v>1629.5398763020833</x:v>
      </x:c>
      <x:c r="EL174" s="23" t="n">
        <x:v>1639.9927571614583</x:v>
      </x:c>
      <x:c r="EM174" s="23" t="n">
        <x:v>797.521728515625</x:v>
      </x:c>
      <x:c r="EN174" s="23" t="n">
        <x:v>787.3624674479166</x:v>
      </x:c>
      <x:c r="EO174" s="23" t="n">
        <x:v>1601.1704915364583</x:v>
      </x:c>
      <x:c r="EP174" s="23" t="n">
        <x:f>SUM(B174:EO174)</x:f>
        <x:v>77165.3166387841</x:v>
      </x:c>
      <x:c r="EQ174" s="23" t="n">
        <x:f>SUMPRODUCT(B174:EO174,{0.5114,0.5007,0.5594,0.5666,0.5323,0.5066,0.5202,0.5096,0.4882,0.5306,0.5572,0.5433,0.5397,0.5244,0.5057,0.5184,0.5083,0.4806,0.4946,0.5011,0.4887,0.4961,0.5015,0.5083,0.5404,0.5436,0.5172,0.5102,0.4813,0.4529,0.4977,0.5426,0.5105,0.4298,0.5993,0.9126,0.9478,0.8983,0.8848,0.833,0.8134,0.8443,0.8573,0.8048,0.688,0.6073,0.864,1.2469,1.2152,1.1356,1.1758,1.1361,1.0729,1.0542,1.0729,1.0559,0.982,0.9188,1.009,1.1922,1.2423,1.1576,1.0931,1.1614,0.9406,0.5505,0.5618,0.6567,0.6281,0.5885,0.5705,0.5465,0.4789,0.4321,0.4363,0.4816,0.6333,0.8261,0.9044,0.9457,0.9821,0.9796,1.0568,1.1978,1.2532,1.2419,1.2744,1.3863,1.1525,0.716,0.6861,0.8144,0.854,0.8196,0.8674,0.9534,0.8976,0.8938,0.9798,0.9981,1.0179,1.0634,1.0825,1.1282,1.1592,1.0953,1.1738,1.3595,1.3743,1.3714,1.3947,1.3481,1.4451,1.6455,1.6716,1.6252,1.6336,1.7113,1.7196,1.6623,1.6698,1.666,1.6528,1.672,1.4232,1.055,1.0465,1.074,1.0393,1.1243,0.931,0.5521,0.5202,0.5775,0.543,0.5068,0.5176,0.5296,0.473,0.4939,0.5762,0.5563,0.5438,0.5748})</x:f>
        <x:v>56739.12961565294</x:v>
      </x:c>
    </x:row>
    <x:row r="175" ht="14" customHeight="1">
      <x:c r="A175" s="3">
        <x:v>45862</x:v>
      </x:c>
      <x:c r="B175" s="23" t="n">
        <x:v>773.7955729166666</x:v>
      </x:c>
      <x:c r="C175" s="23" t="n">
        <x:v>784.4095865885416</x:v>
      </x:c>
      <x:c r="D175" s="23" t="n">
        <x:v>768.2826334635416</x:v>
      </x:c>
      <x:c r="E175" s="23" t="n">
        <x:v>1055.156604408598</x:v>
      </x:c>
      <x:c r="F175" s="23" t="n">
        <x:v>770.13427734375</x:v>
      </x:c>
      <x:c r="G175" s="23" t="n">
        <x:v>782.7093098958333</x:v>
      </x:c>
      <x:c r="H175" s="23" t="n">
        <x:v>782.4064127604166</x:v>
      </x:c>
      <x:c r="I175" s="23" t="n">
        <x:v>776.6543782552083</x:v>
      </x:c>
      <x:c r="J175" s="23" t="n">
        <x:v>751.119140625</x:v>
      </x:c>
      <x:c r="K175" s="23" t="n">
        <x:v>733.1504720052083</x:v>
      </x:c>
      <x:c r="L175" s="23" t="n">
        <x:v>762.6761067708333</x:v>
      </x:c>
      <x:c r="M175" s="23" t="n">
        <x:v>779.1327311197916</x:v>
      </x:c>
      <x:c r="N175" s="23" t="n">
        <x:v>712.87158203125</x:v>
      </x:c>
      <x:c r="O175" s="23" t="n">
        <x:v>710.6587727864583</x:v>
      </x:c>
      <x:c r="P175" s="23" t="n">
        <x:v>733.9501953125</x:v>
      </x:c>
      <x:c r="Q175" s="23" t="n">
        <x:v>720.4917805989583</x:v>
      </x:c>
      <x:c r="R175" s="23" t="n">
        <x:v>710.7098795572916</x:v>
      </x:c>
      <x:c r="S175" s="23" t="n">
        <x:v>722.5694173177083</x:v>
      </x:c>
      <x:c r="T175" s="23" t="n">
        <x:v>696.429931640625</x:v>
      </x:c>
      <x:c r="U175" s="23" t="n">
        <x:v>697.1507161458333</x:v>
      </x:c>
      <x:c r="V175" s="23" t="n">
        <x:v>728.5445149739583</x:v>
      </x:c>
      <x:c r="W175" s="23" t="n">
        <x:v>737.6118977864583</x:v>
      </x:c>
      <x:c r="X175" s="23" t="n">
        <x:v>707.1228841145833</x:v>
      </x:c>
      <x:c r="Y175" s="23" t="n">
        <x:v>1519.0074055989583</x:v>
      </x:c>
      <x:c r="Z175" s="23" t="n">
        <x:v>1544.3409016927083</x:v>
      </x:c>
      <x:c r="AA175" s="23" t="n">
        <x:v>714.8992513020833</x:v>
      </x:c>
      <x:c r="AB175" s="23" t="n">
        <x:v>704.112548828125</x:v>
      </x:c>
      <x:c r="AC175" s="23" t="n">
        <x:v>695.5147512855256</x:v>
      </x:c>
      <x:c r="AD175" s="23" t="n">
        <x:v>714.52783203125</x:v>
      </x:c>
      <x:c r="AE175" s="23" t="n">
        <x:v>724.0445963541666</x:v>
      </x:c>
      <x:c r="AF175" s="23" t="n">
        <x:v>1501.8255828321792</x:v>
      </x:c>
      <x:c r="AG175" s="23" t="n">
        <x:v>1465.9656689284816</x:v>
      </x:c>
      <x:c r="AH175" s="23" t="n">
        <x:v>1424.3353309007343</x:v>
      </x:c>
      <x:c r="AI175" s="23" t="n">
        <x:v>1395.2837076615656</x:v>
      </x:c>
      <x:c r="AJ175" s="23" t="n">
        <x:v>595.0851096801512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115.87379341225365</x:v>
      </x:c>
      <x:c r="AU175" s="23" t="n">
        <x:v>196.28545734173431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687.3329613378739</x:v>
      </x:c>
      <x:c r="BP175" s="23" t="n">
        <x:v>698.2117502520705</x:v>
      </x:c>
      <x:c r="BQ175" s="23" t="n">
        <x:v>702.7656695208043</x:v>
      </x:c>
      <x:c r="BR175" s="23" t="n">
        <x:v>0</x:v>
      </x:c>
      <x:c r="BS175" s="23" t="n">
        <x:v>0</x:v>
      </x:c>
      <x:c r="BT175" s="23" t="n">
        <x:v>638.1729405668344</x:v>
      </x:c>
      <x:c r="BU175" s="23" t="n">
        <x:v>583.4969851153621</x:v>
      </x:c>
      <x:c r="BV175" s="23" t="n">
        <x:v>580.8943447746133</x:v>
      </x:c>
      <x:c r="BW175" s="23" t="n">
        <x:v>575.9711535693034</x:v>
      </x:c>
      <x:c r="BX175" s="23" t="n">
        <x:v>569.6831811396447</x:v>
      </x:c>
      <x:c r="BY175" s="23" t="n">
        <x:v>608.1690516473784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231.58352583530146</x:v>
      </x:c>
      <x:c r="CN175" s="23" t="n">
        <x:v>917.902911119095</x:v>
      </x:c>
      <x:c r="CO175" s="23" t="n">
        <x:v>295.1691824264386</x:v>
      </x:c>
      <x:c r="CP175" s="23" t="n">
        <x:v>369.6049062720188</x:v>
      </x:c>
      <x:c r="CQ175" s="23" t="n">
        <x:v>410.212662652542</x:v>
      </x:c>
      <x:c r="CR175" s="23" t="n">
        <x:v>437.62281635719893</x:v>
      </x:c>
      <x:c r="CS175" s="23" t="n">
        <x:v>480.00268319921025</x:v>
      </x:c>
      <x:c r="CT175" s="23" t="n">
        <x:v>531.8685889242694</x:v>
      </x:c>
      <x:c r="CU175" s="23" t="n">
        <x:v>583.2227778366919</x:v>
      </x:c>
      <x:c r="CV175" s="23" t="n">
        <x:v>625.3510122603669</x:v>
      </x:c>
      <x:c r="CW175" s="23" t="n">
        <x:v>669.1850328910688</x:v>
      </x:c>
      <x:c r="CX175" s="23" t="n">
        <x:v>718.7296260210649</x:v>
      </x:c>
      <x:c r="CY175" s="23" t="n">
        <x:v>767.805778953044</x:v>
      </x:c>
      <x:c r="CZ175" s="23" t="n">
        <x:v>814.8313925882296</x:v>
      </x:c>
      <x:c r="DA175" s="23" t="n">
        <x:v>863.6560917309528</x:v>
      </x:c>
      <x:c r="DB175" s="23" t="n">
        <x:v>899.9654284402474</x:v>
      </x:c>
      <x:c r="DC175" s="23" t="n">
        <x:v>943.2759676964652</x:v>
      </x:c>
      <x:c r="DD175" s="23" t="n">
        <x:v>934.4373419000678</x:v>
      </x:c>
      <x:c r="DE175" s="23" t="n">
        <x:v>808.5858009674282</x:v>
      </x:c>
      <x:c r="DF175" s="23" t="n">
        <x:v>824.9485086274905</x:v>
      </x:c>
      <x:c r="DG175" s="23" t="n">
        <x:v>891.9175860053022</x:v>
      </x:c>
      <x:c r="DH175" s="23" t="n">
        <x:v>920.999718214058</x:v>
      </x:c>
      <x:c r="DI175" s="23" t="n">
        <x:v>952.6463462561176</x:v>
      </x:c>
      <x:c r="DJ175" s="23" t="n">
        <x:v>955.3565362964207</x:v>
      </x:c>
      <x:c r="DK175" s="23" t="n">
        <x:v>242.72809203876415</x:v>
      </x:c>
      <x:c r="DL175" s="23" t="n">
        <x:v>250.29656671875</x:v>
      </x:c>
      <x:c r="DM175" s="23" t="n">
        <x:v>232.57671584846258</x:v>
      </x:c>
      <x:c r="DN175" s="23" t="n">
        <x:v>231.14506315104168</x:v>
      </x:c>
      <x:c r="DO175" s="23" t="n">
        <x:v>215.45666955729166</x:v>
      </x:c>
      <x:c r="DP175" s="23" t="n">
        <x:v>214.30492697916662</x:v>
      </x:c>
      <x:c r="DQ175" s="23" t="n">
        <x:v>199.992765625</x:v>
      </x:c>
      <x:c r="DR175" s="23" t="n">
        <x:v>209.51073729166666</x:v>
      </x:c>
      <x:c r="DS175" s="23" t="n">
        <x:v>202.0787577604166</x:v>
      </x:c>
      <x:c r="DT175" s="23" t="n">
        <x:v>220.3731959635417</x:v>
      </x:c>
      <x:c r="DU175" s="23" t="n">
        <x:v>227.36609548177086</x:v>
      </x:c>
      <x:c r="DV175" s="23" t="n">
        <x:v>891.4229279397533</x:v>
      </x:c>
      <x:c r="DW175" s="23" t="n">
        <x:v>992.3264973958333</x:v>
      </x:c>
      <x:c r="DX175" s="23" t="n">
        <x:v>1021.7685546875</x:v>
      </x:c>
      <x:c r="DY175" s="23" t="n">
        <x:v>1017.3123509114582</x:v>
      </x:c>
      <x:c r="DZ175" s="23" t="n">
        <x:v>951.833984375</x:v>
      </x:c>
      <x:c r="EA175" s="23" t="n">
        <x:v>978.6807212760416</x:v>
      </x:c>
      <x:c r="EB175" s="23" t="n">
        <x:v>942.8000680137604</x:v>
      </x:c>
      <x:c r="EC175" s="23" t="n">
        <x:v>1599.4305013020833</x:v>
      </x:c>
      <x:c r="ED175" s="23" t="n">
        <x:v>1617.2462565104165</x:v>
      </x:c>
      <x:c r="EE175" s="23" t="n">
        <x:v>807.5735677083333</x:v>
      </x:c>
      <x:c r="EF175" s="23" t="n">
        <x:v>807.12646484375</x:v>
      </x:c>
      <x:c r="EG175" s="23" t="n">
        <x:v>790.790771484375</x:v>
      </x:c>
      <x:c r="EH175" s="23" t="n">
        <x:v>796.483154296875</x:v>
      </x:c>
      <x:c r="EI175" s="23" t="n">
        <x:v>801.2166341145833</x:v>
      </x:c>
      <x:c r="EJ175" s="23" t="n">
        <x:v>1616.7568359375</x:v>
      </x:c>
      <x:c r="EK175" s="23" t="n">
        <x:v>1618.4952799479165</x:v>
      </x:c>
      <x:c r="EL175" s="23" t="n">
        <x:v>1618.0071614583333</x:v>
      </x:c>
      <x:c r="EM175" s="23" t="n">
        <x:v>831.7508951822916</x:v>
      </x:c>
      <x:c r="EN175" s="23" t="n">
        <x:v>1035.739218227559</x:v>
      </x:c>
      <x:c r="EO175" s="23" t="n">
        <x:v>1485.7012939453125</x:v>
      </x:c>
      <x:c r="EP175" s="23" t="n">
        <x:f>SUM(B175:EO175)</x:f>
        <x:v>77870.71372363849</x:v>
      </x:c>
      <x:c r="EQ175" s="23" t="n">
        <x:f>SUMPRODUCT(B175:EO175,{0.5649,0.524,0.505,0.5488,0.579,0.5512,0.4982,0.5095,0.5567,0.5265,0.4905,0.5071,0.5578,0.564,0.5266,0.5113,0.4719,0.4441,0.5166,0.5515,0.5093,0.4837,0.4796,0.5021,0.5478,0.494,0.4138,0.5046,0.5675,0.5248,0.4962,0.4993,0.4904,0.4612,0.6551,0.9333,0.8958,0.861,0.9267,0.8724,0.8193,0.8116,0.7639,0.733,0.7006,0.6336,0.8639,1.2249,1.1775,1.04,1.0283,1.0479,1.0554,1.0402,1.0135,1.0035,0.9668,0.861,0.933,1.1426,1.1903,1.1735,1.2007,1.2212,0.9406,0.5313,0.4956,0.5615,0.5393,0.5107,0.5136,0.5217,0.49,0.492,0.5264,0.5442,0.7137,0.9623,1.0202,1.0091,1.0066,0.9896,1.1001,1.271,1.2739,1.2385,1.2972,1.4054,1.1957,0.8062,0.7674,0.8464,0.8537,0.8437,0.8814,0.9412,0.9504,0.9991,1.0603,1.0218,1.054,1.1355,1.073,1.0346,1.0671,1.0717,1.21,1.3875,1.3316,1.3314,1.428,1.3931,1.4737,1.6568,1.6599,1.6477,1.6873,1.672,1.6503,1.6603,1.6793,1.6523,1.6418,1.7129,1.4689,1.0532,1.0334,1.0645,1.0225,1.0957,0.9216,0.5871,0.5801,0.636,0.5835,0.5286,0.5331,0.5608,0.5337,0.5352,0.5612,0.5135,0.4346,0.4014})</x:f>
        <x:v>57591.678550999604</x:v>
      </x:c>
    </x:row>
    <x:row r="176" ht="14" customHeight="1">
      <x:c r="A176" s="3">
        <x:v>45863</x:v>
      </x:c>
      <x:c r="B176" s="23" t="n">
        <x:v>603.280029296875</x:v>
      </x:c>
      <x:c r="C176" s="23" t="n">
        <x:v>619.4330647786458</x:v>
      </x:c>
      <x:c r="D176" s="23" t="n">
        <x:v>623.0123291015625</x:v>
      </x:c>
      <x:c r="E176" s="23" t="n">
        <x:v>623.7279459635416</x:v>
      </x:c>
      <x:c r="F176" s="23" t="n">
        <x:v>621.8760579427083</x:v>
      </x:c>
      <x:c r="G176" s="23" t="n">
        <x:v>0</x:v>
      </x:c>
      <x:c r="H176" s="23" t="n">
        <x:v>0</x:v>
      </x:c>
      <x:c r="I176" s="23" t="n">
        <x:v>0</x:v>
      </x:c>
      <x:c r="J176" s="23" t="n">
        <x:v>611.0001220703125</x:v>
      </x:c>
      <x:c r="K176" s="23" t="n">
        <x:v>602.3396402994791</x:v>
      </x:c>
      <x:c r="L176" s="23" t="n">
        <x:v>600.932861328125</x:v>
      </x:c>
      <x:c r="M176" s="23" t="n">
        <x:v>596.4602864583333</x:v>
      </x:c>
      <x:c r="N176" s="23" t="n">
        <x:v>532.1699531233121</x:v>
      </x:c>
      <x:c r="O176" s="23" t="n">
        <x:v>0</x:v>
      </x:c>
      <x:c r="P176" s="23" t="n">
        <x:v>0</x:v>
      </x:c>
      <x:c r="Q176" s="23" t="n">
        <x:v>566.2899983723958</x:v>
      </x:c>
      <x:c r="R176" s="23" t="n">
        <x:v>563.1488037109375</x:v>
      </x:c>
      <x:c r="S176" s="23" t="n">
        <x:v>581.2305908203125</x:v>
      </x:c>
      <x:c r="T176" s="23" t="n">
        <x:v>550.35107421875</x:v>
      </x:c>
      <x:c r="U176" s="23" t="n">
        <x:v>566.2314453125</x:v>
      </x:c>
      <x:c r="V176" s="23" t="n">
        <x:v>580.5249837239583</x:v>
      </x:c>
      <x:c r="W176" s="23" t="n">
        <x:v>554.819580078125</x:v>
      </x:c>
      <x:c r="X176" s="23" t="n">
        <x:v>532.0816650390625</x:v>
      </x:c>
      <x:c r="Y176" s="23" t="n">
        <x:v>544.0923665364583</x:v>
      </x:c>
      <x:c r="Z176" s="23" t="n">
        <x:v>533.21240234375</x:v>
      </x:c>
      <x:c r="AA176" s="23" t="n">
        <x:v>560.1291910807291</x:v>
      </x:c>
      <x:c r="AB176" s="23" t="n">
        <x:v>569.3909098307291</x:v>
      </x:c>
      <x:c r="AC176" s="23" t="n">
        <x:v>539.3807968381732</x:v>
      </x:c>
      <x:c r="AD176" s="23" t="n">
        <x:v>514.2480875651041</x:v>
      </x:c>
      <x:c r="AE176" s="23" t="n">
        <x:v>536.5035807291666</x:v>
      </x:c>
      <x:c r="AF176" s="23" t="n">
        <x:v>523.9639695137926</x:v>
      </x:c>
      <x:c r="AG176" s="23" t="n">
        <x:v>486.4245588745481</x:v>
      </x:c>
      <x:c r="AH176" s="23" t="n">
        <x:v>436.54556758029395</x:v>
      </x:c>
      <x:c r="AI176" s="23" t="n">
        <x:v>1245.6897947119235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0</x:v>
      </x:c>
      <x:c r="CR176" s="23" t="n">
        <x:v>13.512430225970395</x:v>
      </x:c>
      <x:c r="CS176" s="23" t="n">
        <x:v>258.25909872247405</x:v>
      </x:c>
      <x:c r="CT176" s="23" t="n">
        <x:v>118.12566804581039</x:v>
      </x:c>
      <x:c r="CU176" s="23" t="n">
        <x:v>131.22656415639386</x:v>
      </x:c>
      <x:c r="CV176" s="23" t="n">
        <x:v>182.23257842667573</x:v>
      </x:c>
      <x:c r="CW176" s="23" t="n">
        <x:v>283.5784899292979</x:v>
      </x:c>
      <x:c r="CX176" s="23" t="n">
        <x:v>263.1003855282946</x:v>
      </x:c>
      <x:c r="CY176" s="23" t="n">
        <x:v>207.11537110647114</x:v>
      </x:c>
      <x:c r="CZ176" s="23" t="n">
        <x:v>277.199530294699</x:v>
      </x:c>
      <x:c r="DA176" s="23" t="n">
        <x:v>318.55458434565963</x:v>
      </x:c>
      <x:c r="DB176" s="23" t="n">
        <x:v>344.76877987050887</x:v>
      </x:c>
      <x:c r="DC176" s="23" t="n">
        <x:v>412.70454540418416</x:v>
      </x:c>
      <x:c r="DD176" s="23" t="n">
        <x:v>476.7127347996826</x:v>
      </x:c>
      <x:c r="DE176" s="23" t="n">
        <x:v>531.1080995353518</x:v>
      </x:c>
      <x:c r="DF176" s="23" t="n">
        <x:v>536.2186177074796</x:v>
      </x:c>
      <x:c r="DG176" s="23" t="n">
        <x:v>558.8476548450981</x:v>
      </x:c>
      <x:c r="DH176" s="23" t="n">
        <x:v>593.3586999412394</x:v>
      </x:c>
      <x:c r="DI176" s="23" t="n">
        <x:v>629.6296930221185</x:v>
      </x:c>
      <x:c r="DJ176" s="23" t="n">
        <x:v>346.8372682273258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0</x:v>
      </x:c>
      <x:c r="DW176" s="23" t="n">
        <x:v>723.5233561197916</x:v>
      </x:c>
      <x:c r="DX176" s="23" t="n">
        <x:v>737.7666015625</x:v>
      </x:c>
      <x:c r="DY176" s="23" t="n">
        <x:v>704.99781640625</x:v>
      </x:c>
      <x:c r="DZ176" s="23" t="n">
        <x:v>692.6263834635416</x:v>
      </x:c>
      <x:c r="EA176" s="23" t="n">
        <x:v>701.960361653646</x:v>
      </x:c>
      <x:c r="EB176" s="23" t="n">
        <x:v>650.3727620442708</x:v>
      </x:c>
      <x:c r="EC176" s="23" t="n">
        <x:v>628.7881314420972</x:v>
      </x:c>
      <x:c r="ED176" s="23" t="n">
        <x:v>1458.1039225260415</x:v>
      </x:c>
      <x:c r="EE176" s="23" t="n">
        <x:v>1472.4212646484375</x:v>
      </x:c>
      <x:c r="EF176" s="23" t="n">
        <x:v>880.920813347962</x:v>
      </x:c>
      <x:c r="EG176" s="23" t="n">
        <x:v>1462.5914713541665</x:v>
      </x:c>
      <x:c r="EH176" s="23" t="n">
        <x:v>633.3310139973958</x:v>
      </x:c>
      <x:c r="EI176" s="23" t="n">
        <x:v>645.394287109375</x:v>
      </x:c>
      <x:c r="EJ176" s="23" t="n">
        <x:v>1465.6615397135415</x:v>
      </x:c>
      <x:c r="EK176" s="23" t="n">
        <x:v>1465.2684326171875</x:v>
      </x:c>
      <x:c r="EL176" s="23" t="n">
        <x:v>1465.1394856770833</x:v>
      </x:c>
      <x:c r="EM176" s="23" t="n">
        <x:v>632.2701822916666</x:v>
      </x:c>
      <x:c r="EN176" s="23" t="n">
        <x:v>629.3509521484375</x:v>
      </x:c>
      <x:c r="EO176" s="23" t="n">
        <x:v>614.680908203125</x:v>
      </x:c>
      <x:c r="EP176" s="23" t="n">
        <x:f>SUM(B176:EO176)</x:f>
        <x:v>41166.75213770486</x:v>
      </x:c>
      <x:c r="EQ176" s="23" t="n">
        <x:f>SUMPRODUCT(B176:EO176,{0.4501,0.4718,0.4344,0.4099,0.4305,0.4621,0.4387,0.3884,0.3599,0.378,0.3859,0.3634,0.3513,0.4013,0.4579,0.4192,0.4238,0.4678,0.41,0.3728,0.4168,0.4686,0.4413,0.3828,0.4178,0.436,0.4063,0.4067,0.3995,0.3936,0.4354,0.417,0.3147,0.2497,0.4113,0.6773,0.719,0.6792,0.6438,0.5666,0.5783,0.6503,0.6137,0.5562,0.5314,0.5315,0.6898,0.899,0.8824,0.7882,0.7509,0.7696,0.7952,0.7757,0.699,0.6746,0.7119,0.7291,0.798,0.9055,0.9504,0.9743,1.0155,1.0113,0.6764,0.2222,0.1922,0.2691,0.2386,0.2057,0.2483,0.308,0.2633,0.2341,0.2333,0.192,0.3704,0.6533,0.645,0.6496,0.7441,0.7122,0.7764,0.9442,0.9726,0.9347,0.9582,1.0513,0.8785,0.519,0.4125,0.4468,0.4937,0.5483,0.5864,0.6036,0.6176,0.6344,0.6689,0.7249,0.722,0.6679,0.6644,0.7465,0.8331,0.8279,0.9501,1.1619,1.197,1.2139,1.249,1.1976,1.2992,1.4965,1.4796,1.4589,1.5162,1.5156,1.5017,1.5009,1.4827,1.4555,1.4665,1.508,1.2627,0.878,0.8545,0.9505,0.9886,0.9923,0.7794,0.4705,0.4159,0.4598,0.4749,0.4824,0.4621,0.4459,0.4894,0.4952,0.4522,0.4473,0.4579,0.4392})</x:f>
        <x:v>23201.085275551603</x:v>
      </x:c>
    </x:row>
    <x:row r="177" ht="14" customHeight="1">
      <x:c r="A177" s="3">
        <x:v>45864</x:v>
      </x:c>
      <x:c r="B177" s="23" t="n">
        <x:v>147.41639017144786</x:v>
      </x:c>
      <x:c r="C177" s="23" t="n">
        <x:v>0</x:v>
      </x:c>
      <x:c r="D177" s="23" t="n">
        <x:v>0</x:v>
      </x:c>
      <x:c r="E177" s="23" t="n">
        <x:v>0</x:v>
      </x:c>
      <x:c r="F177" s="23" t="n">
        <x:v>0</x:v>
      </x:c>
      <x:c r="G177" s="23" t="n">
        <x:v>0</x:v>
      </x:c>
      <x:c r="H177" s="23" t="n">
        <x:v>584.568603515625</x:v>
      </x:c>
      <x:c r="I177" s="23" t="n">
        <x:v>0</x:v>
      </x:c>
      <x:c r="J177" s="23" t="n">
        <x:v>607.3326009114583</x:v>
      </x:c>
      <x:c r="K177" s="23" t="n">
        <x:v>583.65771484375</x:v>
      </x:c>
      <x:c r="L177" s="23" t="n">
        <x:v>575.3074137369791</x:v>
      </x:c>
      <x:c r="M177" s="23" t="n">
        <x:v>584.4834391276041</x:v>
      </x:c>
      <x:c r="N177" s="23" t="n">
        <x:v>570.6658528645833</x:v>
      </x:c>
      <x:c r="O177" s="23" t="n">
        <x:v>582.7998860677083</x:v>
      </x:c>
      <x:c r="P177" s="23" t="n">
        <x:v>615.5174560546875</x:v>
      </x:c>
      <x:c r="Q177" s="23" t="n">
        <x:v>586.4175211588541</x:v>
      </x:c>
      <x:c r="R177" s="23" t="n">
        <x:v>578.5019124348958</x:v>
      </x:c>
      <x:c r="S177" s="23" t="n">
        <x:v>575.6073404947916</x:v>
      </x:c>
      <x:c r="T177" s="23" t="n">
        <x:v>566.531005859375</x:v>
      </x:c>
      <x:c r="U177" s="23" t="n">
        <x:v>558.5183919270833</x:v>
      </x:c>
      <x:c r="V177" s="23" t="n">
        <x:v>578.0522054036458</x:v>
      </x:c>
      <x:c r="W177" s="23" t="n">
        <x:v>577.6929117838541</x:v>
      </x:c>
      <x:c r="X177" s="23" t="n">
        <x:v>563.1866861979166</x:v>
      </x:c>
      <x:c r="Y177" s="23" t="n">
        <x:v>1362.5347493489583</x:v>
      </x:c>
      <x:c r="Z177" s="23" t="n">
        <x:v>542.5098470052083</x:v>
      </x:c>
      <x:c r="AA177" s="23" t="n">
        <x:v>576.9131673177083</x:v>
      </x:c>
      <x:c r="AB177" s="23" t="n">
        <x:v>553.1569417317708</x:v>
      </x:c>
      <x:c r="AC177" s="23" t="n">
        <x:v>528.9129555886099</x:v>
      </x:c>
      <x:c r="AD177" s="23" t="n">
        <x:v>520.439208984375</x:v>
      </x:c>
      <x:c r="AE177" s="23" t="n">
        <x:v>524.5240885416666</x:v>
      </x:c>
      <x:c r="AF177" s="23" t="n">
        <x:v>517.4170441080797</x:v>
      </x:c>
      <x:c r="AG177" s="23" t="n">
        <x:v>510.5543152091239</x:v>
      </x:c>
      <x:c r="AH177" s="23" t="n">
        <x:v>479.7193045755255</x:v>
      </x:c>
      <x:c r="AI177" s="23" t="n">
        <x:v>1230.7957498406583</x:v>
      </x:c>
      <x:c r="AJ177" s="23" t="n">
        <x:v>348.1904100038085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78.99330755723427</x:v>
      </x:c>
      <x:c r="CQ177" s="23" t="n">
        <x:v>0</x:v>
      </x:c>
      <x:c r="CR177" s="23" t="n">
        <x:v>0</x:v>
      </x:c>
      <x:c r="CS177" s="23" t="n">
        <x:v>24.851347925705944</x:v>
      </x:c>
      <x:c r="CT177" s="23" t="n">
        <x:v>83.26109558864762</x:v>
      </x:c>
      <x:c r="CU177" s="23" t="n">
        <x:v>300.8201986971824</x:v>
      </x:c>
      <x:c r="CV177" s="23" t="n">
        <x:v>349.61442316116865</x:v>
      </x:c>
      <x:c r="CW177" s="23" t="n">
        <x:v>215.16479200540152</x:v>
      </x:c>
      <x:c r="CX177" s="23" t="n">
        <x:v>207.81597673073614</x:v>
      </x:c>
      <x:c r="CY177" s="23" t="n">
        <x:v>239.42517668873293</x:v>
      </x:c>
      <x:c r="CZ177" s="23" t="n">
        <x:v>307.6036518830581</x:v>
      </x:c>
      <x:c r="DA177" s="23" t="n">
        <x:v>351.1766688180178</x:v>
      </x:c>
      <x:c r="DB177" s="23" t="n">
        <x:v>384.74887022456926</x:v>
      </x:c>
      <x:c r="DC177" s="23" t="n">
        <x:v>441.99370267356136</x:v>
      </x:c>
      <x:c r="DD177" s="23" t="n">
        <x:v>482.23294227832776</x:v>
      </x:c>
      <x:c r="DE177" s="23" t="n">
        <x:v>500.003883590961</x:v>
      </x:c>
      <x:c r="DF177" s="23" t="n">
        <x:v>540.5059443504525</x:v>
      </x:c>
      <x:c r="DG177" s="23" t="n">
        <x:v>579.7695117598984</x:v>
      </x:c>
      <x:c r="DH177" s="23" t="n">
        <x:v>588.241167162863</x:v>
      </x:c>
      <x:c r="DI177" s="23" t="n">
        <x:v>648.4382068649134</x:v>
      </x:c>
      <x:c r="DJ177" s="23" t="n">
        <x:v>369.24543797977003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0</x:v>
      </x:c>
      <x:c r="DW177" s="23" t="n">
        <x:v>692.391845703125</x:v>
      </x:c>
      <x:c r="DX177" s="23" t="n">
        <x:v>695.2600911458333</x:v>
      </x:c>
      <x:c r="DY177" s="23" t="n">
        <x:v>685.6590169270833</x:v>
      </x:c>
      <x:c r="DZ177" s="23" t="n">
        <x:v>692.6039225260416</x:v>
      </x:c>
      <x:c r="EA177" s="23" t="n">
        <x:v>703.7377115885416</x:v>
      </x:c>
      <x:c r="EB177" s="23" t="n">
        <x:v>705.6892357092335</x:v>
      </x:c>
      <x:c r="EC177" s="23" t="n">
        <x:v>624.3686930338541</x:v>
      </x:c>
      <x:c r="ED177" s="23" t="n">
        <x:v>994.0519027898341</x:v>
      </x:c>
      <x:c r="EE177" s="23" t="n">
        <x:v>603.021484375</x:v>
      </x:c>
      <x:c r="EF177" s="23" t="n">
        <x:v>1438.4801025390625</x:v>
      </x:c>
      <x:c r="EG177" s="23" t="n">
        <x:v>1435.857666015625</x:v>
      </x:c>
      <x:c r="EH177" s="23" t="n">
        <x:v>1434.697265625</x:v>
      </x:c>
      <x:c r="EI177" s="23" t="n">
        <x:v>602.9110107421875</x:v>
      </x:c>
      <x:c r="EJ177" s="23" t="n">
        <x:v>1418.4250081380208</x:v>
      </x:c>
      <x:c r="EK177" s="23" t="n">
        <x:v>1429.3048502604165</x:v>
      </x:c>
      <x:c r="EL177" s="23" t="n">
        <x:v>1463.6650390625</x:v>
      </x:c>
      <x:c r="EM177" s="23" t="n">
        <x:v>1457.164306640625</x:v>
      </x:c>
      <x:c r="EN177" s="23" t="n">
        <x:v>669.0309651692708</x:v>
      </x:c>
      <x:c r="EO177" s="23" t="n">
        <x:v>13.622805338541639</x:v>
      </x:c>
      <x:c r="EP177" s="23" t="n">
        <x:f>SUM(B177:EO177)</x:f>
        <x:v>41585.77434408076</x:v>
      </x:c>
      <x:c r="EQ177" s="23" t="n">
        <x:f>SUMPRODUCT(B177:EO177,{0.3805,0.373,0.4257,0.4607,0.4825,0.4801,0.4357,0.4473,0.4933,0.4539,0.4119,0.4042,0.3838,0.3597,0.3736,0.4542,0.5118,0.4931,0.4249,0.3831,0.3847,0.3937,0.4379,0.4836,0.4531,0.4053,0.3826,0.3782,0.3938,0.4091,0.3948,0.3817,0.3651,0.339,0.4827,0.7151,0.7508,0.7094,0.6795,0.6364,0.6372,0.6348,0.5324,0.5291,0.5967,0.5311,0.6125,0.8351,0.8856,0.8573,0.8127,0.7317,0.7978,0.8998,0.7409,0.6514,0.7047,0.6663,0.7272,0.8787,0.8827,0.8265,0.8439,0.9345,0.7409,0.3853,0.3661,0.4234,0.3912,0.3639,0.3208,0.2778,0.2914,0.307,0.3008,0.3204,0.4518,0.6217,0.6587,0.6672,0.6845,0.661,0.7451,0.9045,0.9498,0.9876,1.0853,1.1458,0.8933,0.4975,0.4461,0.5527,0.6036,0.5726,0.5905,0.6483,0.6232,0.6368,0.7041,0.7044,0.6552,0.6354,0.7067,0.768,0.7639,0.7571,0.9241,1.175,1.2256,1.188,1.1845,1.235,1.3204,1.4082,1.4708,1.5148,1.5261,1.4845,1.4573,1.4692,1.4872,1.5067,1.5485,1.5779,1.2969,0.8869,0.8674,0.9439,0.957,0.9883,0.7277,0.3549,0.4066,0.5015,0.4482,0.4345,0.4623,0.4871,0.4815,0.4669,0.4402,0.3975,0.4658,0.5829})</x:f>
        <x:v>23395.619898947305</x:v>
      </x:c>
    </x:row>
    <x:row r="178" ht="14" customHeight="1">
      <x:c r="A178" s="3">
        <x:v>45865</x:v>
      </x:c>
      <x:c r="B178" s="23" t="n">
        <x:v>804.886962890625</x:v>
      </x:c>
      <x:c r="C178" s="23" t="n">
        <x:v>731.1255696614583</x:v>
      </x:c>
      <x:c r="D178" s="23" t="n">
        <x:v>730.4685872395833</x:v>
      </x:c>
      <x:c r="E178" s="23" t="n">
        <x:v>771.5731608072916</x:v>
      </x:c>
      <x:c r="F178" s="23" t="n">
        <x:v>775.1097819010416</x:v>
      </x:c>
      <x:c r="G178" s="23" t="n">
        <x:v>790.81396484375</x:v>
      </x:c>
      <x:c r="H178" s="23" t="n">
        <x:v>790.5303548177083</x:v>
      </x:c>
      <x:c r="I178" s="23" t="n">
        <x:v>731.1024576822916</x:v>
      </x:c>
      <x:c r="J178" s="23" t="n">
        <x:v>714.052734375</x:v>
      </x:c>
      <x:c r="K178" s="23" t="n">
        <x:v>700.787353515625</x:v>
      </x:c>
      <x:c r="L178" s="23" t="n">
        <x:v>749.771240234375</x:v>
      </x:c>
      <x:c r="M178" s="23" t="n">
        <x:v>755.5763346354166</x:v>
      </x:c>
      <x:c r="N178" s="23" t="n">
        <x:v>713.3544108072916</x:v>
      </x:c>
      <x:c r="O178" s="23" t="n">
        <x:v>668.3760172526041</x:v>
      </x:c>
      <x:c r="P178" s="23" t="n">
        <x:v>701.6815592447916</x:v>
      </x:c>
      <x:c r="Q178" s="23" t="n">
        <x:v>739.5021158854166</x:v>
      </x:c>
      <x:c r="R178" s="23" t="n">
        <x:v>739.365966796875</x:v>
      </x:c>
      <x:c r="S178" s="23" t="n">
        <x:v>721.4358723958333</x:v>
      </x:c>
      <x:c r="T178" s="23" t="n">
        <x:v>1535.4569498697915</x:v>
      </x:c>
      <x:c r="U178" s="23" t="n">
        <x:v>701.5953776041666</x:v>
      </x:c>
      <x:c r="V178" s="23" t="n">
        <x:v>697.9599609375</x:v>
      </x:c>
      <x:c r="W178" s="23" t="n">
        <x:v>689.725830078125</x:v>
      </x:c>
      <x:c r="X178" s="23" t="n">
        <x:v>722.6407877604166</x:v>
      </x:c>
      <x:c r="Y178" s="23" t="n">
        <x:v>709.507080078125</x:v>
      </x:c>
      <x:c r="Z178" s="23" t="n">
        <x:v>677.1846923828125</x:v>
      </x:c>
      <x:c r="AA178" s="23" t="n">
        <x:v>680.800537109375</x:v>
      </x:c>
      <x:c r="AB178" s="23" t="n">
        <x:v>1074.7706489896814</x:v>
      </x:c>
      <x:c r="AC178" s="23" t="n">
        <x:v>701.585098079253</x:v>
      </x:c>
      <x:c r="AD178" s="23" t="n">
        <x:v>695.3749186197916</x:v>
      </x:c>
      <x:c r="AE178" s="23" t="n">
        <x:v>1488.9814453125</x:v>
      </x:c>
      <x:c r="AF178" s="23" t="n">
        <x:v>1489.3970712079777</x:v>
      </x:c>
      <x:c r="AG178" s="23" t="n">
        <x:v>1470.919074441053</x:v>
      </x:c>
      <x:c r="AH178" s="23" t="n">
        <x:v>1416.6568500681444</x:v>
      </x:c>
      <x:c r="AI178" s="23" t="n">
        <x:v>1348.3393600568572</x:v>
      </x:c>
      <x:c r="AJ178" s="23" t="n">
        <x:v>557.6355916390593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160.30481523091686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716.3758001244353</x:v>
      </x:c>
      <x:c r="BP178" s="23" t="n">
        <x:v>714.3703704672482</x:v>
      </x:c>
      <x:c r="BQ178" s="23" t="n">
        <x:v>107.32375725304541</x:v>
      </x:c>
      <x:c r="BR178" s="23" t="n">
        <x:v>0</x:v>
      </x:c>
      <x:c r="BS178" s="23" t="n">
        <x:v>0</x:v>
      </x:c>
      <x:c r="BT178" s="23" t="n">
        <x:v>656.2497186549517</x:v>
      </x:c>
      <x:c r="BU178" s="23" t="n">
        <x:v>622.8774280370956</x:v>
      </x:c>
      <x:c r="BV178" s="23" t="n">
        <x:v>584.0605131305201</x:v>
      </x:c>
      <x:c r="BW178" s="23" t="n">
        <x:v>601.8048318910508</x:v>
      </x:c>
      <x:c r="BX178" s="23" t="n">
        <x:v>635.0772542710798</x:v>
      </x:c>
      <x:c r="BY178" s="23" t="n">
        <x:v>652.6987723210425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939.4154229960404</x:v>
      </x:c>
      <x:c r="CN178" s="23" t="n">
        <x:v>241.49838709489384</x:v>
      </x:c>
      <x:c r="CO178" s="23" t="n">
        <x:v>282.59388110685904</x:v>
      </x:c>
      <x:c r="CP178" s="23" t="n">
        <x:v>339.3408676472409</x:v>
      </x:c>
      <x:c r="CQ178" s="23" t="n">
        <x:v>378.2549337292994</x:v>
      </x:c>
      <x:c r="CR178" s="23" t="n">
        <x:v>420.8110931043655</x:v>
      </x:c>
      <x:c r="CS178" s="23" t="n">
        <x:v>464.34104731044556</x:v>
      </x:c>
      <x:c r="CT178" s="23" t="n">
        <x:v>505.38685299063354</x:v>
      </x:c>
      <x:c r="CU178" s="23" t="n">
        <x:v>553.0632408429058</x:v>
      </x:c>
      <x:c r="CV178" s="23" t="n">
        <x:v>601.8993695145773</x:v>
      </x:c>
      <x:c r="CW178" s="23" t="n">
        <x:v>646.1990541723609</x:v>
      </x:c>
      <x:c r="CX178" s="23" t="n">
        <x:v>692.5262411653222</x:v>
      </x:c>
      <x:c r="CY178" s="23" t="n">
        <x:v>755.3107286433338</x:v>
      </x:c>
      <x:c r="CZ178" s="23" t="n">
        <x:v>801.6354996976045</x:v>
      </x:c>
      <x:c r="DA178" s="23" t="n">
        <x:v>851.947512804895</x:v>
      </x:c>
      <x:c r="DB178" s="23" t="n">
        <x:v>912.7300332633251</x:v>
      </x:c>
      <x:c r="DC178" s="23" t="n">
        <x:v>948.8005410658207</x:v>
      </x:c>
      <x:c r="DD178" s="23" t="n">
        <x:v>977.5818647999328</x:v>
      </x:c>
      <x:c r="DE178" s="23" t="n">
        <x:v>844.5690317389868</x:v>
      </x:c>
      <x:c r="DF178" s="23" t="n">
        <x:v>781.2295062973087</x:v>
      </x:c>
      <x:c r="DG178" s="23" t="n">
        <x:v>879.5665960451342</x:v>
      </x:c>
      <x:c r="DH178" s="23" t="n">
        <x:v>893.8533770759574</x:v>
      </x:c>
      <x:c r="DI178" s="23" t="n">
        <x:v>915.1437204329943</x:v>
      </x:c>
      <x:c r="DJ178" s="23" t="n">
        <x:v>920.6922159194465</x:v>
      </x:c>
      <x:c r="DK178" s="23" t="n">
        <x:v>157.44054911574494</x:v>
      </x:c>
      <x:c r="DL178" s="23" t="n">
        <x:v>194.27361221354172</x:v>
      </x:c>
      <x:c r="DM178" s="23" t="n">
        <x:v>248.26986399449908</x:v>
      </x:c>
      <x:c r="DN178" s="23" t="n">
        <x:v>284.25543494867736</x:v>
      </x:c>
      <x:c r="DO178" s="23" t="n">
        <x:v>197.52611934895836</x:v>
      </x:c>
      <x:c r="DP178" s="23" t="n">
        <x:v>182.31049151041663</x:v>
      </x:c>
      <x:c r="DQ178" s="23" t="n">
        <x:v>233.1166204427083</x:v>
      </x:c>
      <x:c r="DR178" s="23" t="n">
        <x:v>219.3848469791666</x:v>
      </x:c>
      <x:c r="DS178" s="23" t="n">
        <x:v>192.79709994791665</x:v>
      </x:c>
      <x:c r="DT178" s="23" t="n">
        <x:v>205.7242076822916</x:v>
      </x:c>
      <x:c r="DU178" s="23" t="n">
        <x:v>231.79945610677078</x:v>
      </x:c>
      <x:c r="DV178" s="23" t="n">
        <x:v>994.3211535937503</x:v>
      </x:c>
      <x:c r="DW178" s="23" t="n">
        <x:v>994.2474772135416</x:v>
      </x:c>
      <x:c r="DX178" s="23" t="n">
        <x:v>981.48974609375</x:v>
      </x:c>
      <x:c r="DY178" s="23" t="n">
        <x:v>1006.1848958333333</x:v>
      </x:c>
      <x:c r="DZ178" s="23" t="n">
        <x:v>1023.4829619010416</x:v>
      </x:c>
      <x:c r="EA178" s="23" t="n">
        <x:v>1012.5341796875</x:v>
      </x:c>
      <x:c r="EB178" s="23" t="n">
        <x:v>901.6371801215279</x:v>
      </x:c>
      <x:c r="EC178" s="23" t="n">
        <x:v>799.91357421875</x:v>
      </x:c>
      <x:c r="ED178" s="23" t="n">
        <x:v>1569.7113444010415</x:v>
      </x:c>
      <x:c r="EE178" s="23" t="n">
        <x:v>1575.2111002604165</x:v>
      </x:c>
      <x:c r="EF178" s="23" t="n">
        <x:v>1613.4944661458333</x:v>
      </x:c>
      <x:c r="EG178" s="23" t="n">
        <x:v>780.5611165364583</x:v>
      </x:c>
      <x:c r="EH178" s="23" t="n">
        <x:v>777.76904296875</x:v>
      </x:c>
      <x:c r="EI178" s="23" t="n">
        <x:v>757.519775390625</x:v>
      </x:c>
      <x:c r="EJ178" s="23" t="n">
        <x:v>1584.8894856770833</x:v>
      </x:c>
      <x:c r="EK178" s="23" t="n">
        <x:v>1607.1682942708333</x:v>
      </x:c>
      <x:c r="EL178" s="23" t="n">
        <x:v>1568.329345703125</x:v>
      </x:c>
      <x:c r="EM178" s="23" t="n">
        <x:v>796.9439290364583</x:v>
      </x:c>
      <x:c r="EN178" s="23" t="n">
        <x:v>774.6263834635416</x:v>
      </x:c>
      <x:c r="EO178" s="23" t="n">
        <x:v>1036.030434188529</x:v>
      </x:c>
      <x:c r="EP178" s="23" t="n">
        <x:f>SUM(B178:EO178)</x:f>
        <x:v>76490.54418905925</x:v>
      </x:c>
      <x:c r="EQ178" s="23" t="n">
        <x:f>SUMPRODUCT(B178:EO178,{0.5502,0.5075,0.5149,0.5014,0.5311,0.5779,0.5454,0.5535,0.5887,0.5178,0.4751,0.5162,0.5556,0.5363,0.4962,0.5206,0.5465,0.5252,0.475,0.4666,0.5044,0.5318,0.5595,0.5624,0.4998,0.4769,0.5007,0.4827,0.4921,0.5255,0.5037,0.4938,0.4688,0.3756,0.5603,0.9187,0.9682,0.9117,0.8975,0.8649,0.8395,0.8393,0.8451,0.8175,0.7532,0.7232,0.9191,1.1998,1.2101,1.1731,1.1947,1.1563,1.1053,1.0999,1.1303,1.0637,0.9375,0.9416,1.0673,1.1968,1.2018,1.1414,1.1262,1.1759,0.9501,0.5485,0.4446,0.4932,0.5131,0.4765,0.4637,0.4818,0.4714,0.4972,0.5199,0.4651,0.6413,0.9449,0.9416,0.9004,0.9337,0.9037,1.0091,1.2246,1.2899,1.2522,1.2723,1.4078,1.2034,0.7981,0.8008,0.8307,0.7405,0.7799,0.8362,0.8477,0.8837,0.9465,0.9818,0.9423,0.9546,1.0255,1.0378,1.0335,1.0599,1.1261,1.2295,1.3361,1.3925,1.3861,1.3679,1.4232,1.5595,1.6779,1.6569,1.6267,1.6494,1.6661,1.6603,1.6464,1.6463,1.6397,1.6535,1.6917,1.4557,1.0857,1.0512,1.0907,1.0901,1.1502,0.9169,0.5207,0.4958,0.5928,0.6054,0.5756,0.553,0.5431,0.5271,0.5597,0.6029,0.5586,0.5278,0.5593})</x:f>
        <x:v>56555.98450037822</x:v>
      </x:c>
    </x:row>
    <x:row r="179" ht="14" customHeight="1">
      <x:c r="A179" s="3">
        <x:v>45866</x:v>
      </x:c>
      <x:c r="B179" s="23" t="n">
        <x:v>796.90380859375</x:v>
      </x:c>
      <x:c r="C179" s="23" t="n">
        <x:v>776.990234375</x:v>
      </x:c>
      <x:c r="D179" s="23" t="n">
        <x:v>763.107421875</x:v>
      </x:c>
      <x:c r="E179" s="23" t="n">
        <x:v>761.0072428385416</x:v>
      </x:c>
      <x:c r="F179" s="23" t="n">
        <x:v>755.9645182291666</x:v>
      </x:c>
      <x:c r="G179" s="23" t="n">
        <x:v>756.1854654947916</x:v>
      </x:c>
      <x:c r="H179" s="23" t="n">
        <x:v>17.315795572916763</x:v>
      </x:c>
      <x:c r="I179" s="23" t="n">
        <x:v>790.05419921875</x:v>
      </x:c>
      <x:c r="J179" s="23" t="n">
        <x:v>751.273681640625</x:v>
      </x:c>
      <x:c r="K179" s="23" t="n">
        <x:v>719.779296875</x:v>
      </x:c>
      <x:c r="L179" s="23" t="n">
        <x:v>712.799560546875</x:v>
      </x:c>
      <x:c r="M179" s="23" t="n">
        <x:v>749.9791666666666</x:v>
      </x:c>
      <x:c r="N179" s="23" t="n">
        <x:v>762.1581217447916</x:v>
      </x:c>
      <x:c r="O179" s="23" t="n">
        <x:v>764.3186848958333</x:v>
      </x:c>
      <x:c r="P179" s="23" t="n">
        <x:v>727.7503255208333</x:v>
      </x:c>
      <x:c r="Q179" s="23" t="n">
        <x:v>718.3894856770833</x:v>
      </x:c>
      <x:c r="R179" s="23" t="n">
        <x:v>712.4620768229166</x:v>
      </x:c>
      <x:c r="S179" s="23" t="n">
        <x:v>716.7811686197916</x:v>
      </x:c>
      <x:c r="T179" s="23" t="n">
        <x:v>700.7073567708333</x:v>
      </x:c>
      <x:c r="U179" s="23" t="n">
        <x:v>699.9025065104166</x:v>
      </x:c>
      <x:c r="V179" s="23" t="n">
        <x:v>714.54541015625</x:v>
      </x:c>
      <x:c r="W179" s="23" t="n">
        <x:v>741.7566731770833</x:v>
      </x:c>
      <x:c r="X179" s="23" t="n">
        <x:v>1537.2339680989583</x:v>
      </x:c>
      <x:c r="Y179" s="23" t="n">
        <x:v>1497.197509765625</x:v>
      </x:c>
      <x:c r="Z179" s="23" t="n">
        <x:v>1517.829833984375</x:v>
      </x:c>
      <x:c r="AA179" s="23" t="n">
        <x:v>691.381103515625</x:v>
      </x:c>
      <x:c r="AB179" s="23" t="n">
        <x:v>1515.255126953125</x:v>
      </x:c>
      <x:c r="AC179" s="23" t="n">
        <x:v>708.0146554198287</x:v>
      </x:c>
      <x:c r="AD179" s="23" t="n">
        <x:v>971.411515338863</x:v>
      </x:c>
      <x:c r="AE179" s="23" t="n">
        <x:v>1491.8111979166665</x:v>
      </x:c>
      <x:c r="AF179" s="23" t="n">
        <x:v>670.09040068848</x:v>
      </x:c>
      <x:c r="AG179" s="23" t="n">
        <x:v>672.707965893612</x:v>
      </x:c>
      <x:c r="AH179" s="23" t="n">
        <x:v>1450.4531882845513</x:v>
      </x:c>
      <x:c r="AI179" s="23" t="n">
        <x:v>1395.4172939182308</x:v>
      </x:c>
      <x:c r="AJ179" s="23" t="n">
        <x:v>604.6436119696307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</x:v>
      </x:c>
      <x:c r="AS179" s="23" t="n">
        <x:v>295.41053658446094</x:v>
      </x:c>
      <x:c r="AT179" s="23" t="n">
        <x:v>233.36180572890922</x:v>
      </x:c>
      <x:c r="AU179" s="23" t="n">
        <x:v>183.29562851474125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0</x:v>
      </x:c>
      <x:c r="BP179" s="23" t="n">
        <x:v>667.1459154646684</x:v>
      </x:c>
      <x:c r="BQ179" s="23" t="n">
        <x:v>0</x:v>
      </x:c>
      <x:c r="BR179" s="23" t="n">
        <x:v>307.0469360515832</x:v>
      </x:c>
      <x:c r="BS179" s="23" t="n">
        <x:v>596.6867546656024</x:v>
      </x:c>
      <x:c r="BT179" s="23" t="n">
        <x:v>594.6355622324129</x:v>
      </x:c>
      <x:c r="BU179" s="23" t="n">
        <x:v>570.1865764442188</x:v>
      </x:c>
      <x:c r="BV179" s="23" t="n">
        <x:v>0</x:v>
      </x:c>
      <x:c r="BW179" s="23" t="n">
        <x:v>552.5053060064926</x:v>
      </x:c>
      <x:c r="BX179" s="23" t="n">
        <x:v>583.436603072184</x:v>
      </x:c>
      <x:c r="BY179" s="23" t="n">
        <x:v>603.834730705835</x:v>
      </x:c>
      <x:c r="BZ179" s="23" t="n">
        <x:v>0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240.97926760488554</x:v>
      </x:c>
      <x:c r="CN179" s="23" t="n">
        <x:v>1082.2675538647488</x:v>
      </x:c>
      <x:c r="CO179" s="23" t="n">
        <x:v>289.6228013985698</x:v>
      </x:c>
      <x:c r="CP179" s="23" t="n">
        <x:v>325.9223566114086</x:v>
      </x:c>
      <x:c r="CQ179" s="23" t="n">
        <x:v>365.45500742809236</x:v>
      </x:c>
      <x:c r="CR179" s="23" t="n">
        <x:v>422.06940422752143</x:v>
      </x:c>
      <x:c r="CS179" s="23" t="n">
        <x:v>468.23253681909955</x:v>
      </x:c>
      <x:c r="CT179" s="23" t="n">
        <x:v>509.8326960482483</x:v>
      </x:c>
      <x:c r="CU179" s="23" t="n">
        <x:v>557.79450096382</x:v>
      </x:c>
      <x:c r="CV179" s="23" t="n">
        <x:v>606.2644808436405</x:v>
      </x:c>
      <x:c r="CW179" s="23" t="n">
        <x:v>651.2155765195573</x:v>
      </x:c>
      <x:c r="CX179" s="23" t="n">
        <x:v>697.5010891261725</x:v>
      </x:c>
      <x:c r="CY179" s="23" t="n">
        <x:v>750.7910394668863</x:v>
      </x:c>
      <x:c r="CZ179" s="23" t="n">
        <x:v>799.4815748787498</x:v>
      </x:c>
      <x:c r="DA179" s="23" t="n">
        <x:v>843.1060628673952</x:v>
      </x:c>
      <x:c r="DB179" s="23" t="n">
        <x:v>880.1727115565869</x:v>
      </x:c>
      <x:c r="DC179" s="23" t="n">
        <x:v>917.4908037691348</x:v>
      </x:c>
      <x:c r="DD179" s="23" t="n">
        <x:v>929.0836453078191</x:v>
      </x:c>
      <x:c r="DE179" s="23" t="n">
        <x:v>825.985994117189</x:v>
      </x:c>
      <x:c r="DF179" s="23" t="n">
        <x:v>803.388361385438</x:v>
      </x:c>
      <x:c r="DG179" s="23" t="n">
        <x:v>848.8980203058029</x:v>
      </x:c>
      <x:c r="DH179" s="23" t="n">
        <x:v>872.5862162394415</x:v>
      </x:c>
      <x:c r="DI179" s="23" t="n">
        <x:v>916.0651151561739</x:v>
      </x:c>
      <x:c r="DJ179" s="23" t="n">
        <x:v>971.2478068333787</x:v>
      </x:c>
      <x:c r="DK179" s="23" t="n">
        <x:v>230.5985347470975</x:v>
      </x:c>
      <x:c r="DL179" s="23" t="n">
        <x:v>204.41977635416666</x:v>
      </x:c>
      <x:c r="DM179" s="23" t="n">
        <x:v>220.8704595840316</x:v>
      </x:c>
      <x:c r="DN179" s="23" t="n">
        <x:v>228.53406054687503</x:v>
      </x:c>
      <x:c r="DO179" s="23" t="n">
        <x:v>188.84167932291666</x:v>
      </x:c>
      <x:c r="DP179" s="23" t="n">
        <x:v>197.3710077083333</x:v>
      </x:c>
      <x:c r="DQ179" s="23" t="n">
        <x:v>198.02408268229175</x:v>
      </x:c>
      <x:c r="DR179" s="23" t="n">
        <x:v>160.16763833333334</x:v>
      </x:c>
      <x:c r="DS179" s="23" t="n">
        <x:v>148.00030723958326</x:v>
      </x:c>
      <x:c r="DT179" s="23" t="n">
        <x:v>229.05998046875007</x:v>
      </x:c>
      <x:c r="DU179" s="23" t="n">
        <x:v>250.74101410156254</x:v>
      </x:c>
      <x:c r="DV179" s="23" t="n">
        <x:v>915.8725738823755</x:v>
      </x:c>
      <x:c r="DW179" s="23" t="n">
        <x:v>948.7511393229166</x:v>
      </x:c>
      <x:c r="DX179" s="23" t="n">
        <x:v>969.2823079427083</x:v>
      </x:c>
      <x:c r="DY179" s="23" t="n">
        <x:v>994.1527506510416</x:v>
      </x:c>
      <x:c r="DZ179" s="23" t="n">
        <x:v>1012.8744303385416</x:v>
      </x:c>
      <x:c r="EA179" s="23" t="n">
        <x:v>1010.6418531901043</x:v>
      </x:c>
      <x:c r="EB179" s="23" t="n">
        <x:v>928.4007975260416</x:v>
      </x:c>
      <x:c r="EC179" s="23" t="n">
        <x:v>1613.8719075520833</x:v>
      </x:c>
      <x:c r="ED179" s="23" t="n">
        <x:v>1554.7032063802083</x:v>
      </x:c>
      <x:c r="EE179" s="23" t="n">
        <x:v>757.618896484375</x:v>
      </x:c>
      <x:c r="EF179" s="23" t="n">
        <x:v>799.9640299479166</x:v>
      </x:c>
      <x:c r="EG179" s="23" t="n">
        <x:v>789.6962076822916</x:v>
      </x:c>
      <x:c r="EH179" s="23" t="n">
        <x:v>784.0098470052083</x:v>
      </x:c>
      <x:c r="EI179" s="23" t="n">
        <x:v>796.7403971354166</x:v>
      </x:c>
      <x:c r="EJ179" s="23" t="n">
        <x:v>800.5118815104166</x:v>
      </x:c>
      <x:c r="EK179" s="23" t="n">
        <x:v>1623.2305501302083</x:v>
      </x:c>
      <x:c r="EL179" s="23" t="n">
        <x:v>1609.3287760416665</x:v>
      </x:c>
      <x:c r="EM179" s="23" t="n">
        <x:v>1023.0510671858924</x:v>
      </x:c>
      <x:c r="EN179" s="23" t="n">
        <x:v>1611.5634765625</x:v>
      </x:c>
      <x:c r="EO179" s="23" t="n">
        <x:v>1633.812744140625</x:v>
      </x:c>
      <x:c r="EP179" s="23" t="n">
        <x:f>SUM(B179:EO179)</x:f>
        <x:v>76531.28793408287</x:v>
      </x:c>
      <x:c r="EQ179" s="23" t="n">
        <x:f>SUMPRODUCT(B179:EO179,{0.595,0.5685,0.5133,0.5196,0.5046,0.4691,0.4935,0.4759,0.4411,0.5164,0.5526,0.515,0.5196,0.5426,0.5493,0.5365,0.5232,0.5187,0.5189,0.5276,0.5167,0.4531,0.4174,0.4384,0.469,0.4778,0.4675,0.4674,0.4943,0.5153,0.4852,0.484,0.4741,0.3783,0.5401,0.8766,0.9366,0.9155,0.9381,0.9203,0.8887,0.8502,0.7841,0.7541,0.7338,0.6778,0.8886,1.2184,1.1901,1.1457,1.2047,1.1427,1.0839,1.0861,1.0737,1.0704,1.0535,0.9807,1.0122,1.1606,1.2603,1.2395,1.1925,1.2317,1.0048,0.6164,0.562,0.6119,0.5968,0.5754,0.5321,0.5122,0.5871,0.6119,0.5515,0.5439,0.7437,1.0056,1.017,0.9922,0.9929,0.8963,0.977,1.2171,1.2945,1.2505,1.2545,1.3755,1.18,0.7829,0.7582,0.8297,0.825,0.8567,0.8882,0.9206,0.9917,0.9826,0.948,1.054,1.0718,0.9984,1.0619,1.1178,1.1169,1.1719,1.2744,1.3602,1.3691,1.3497,1.3429,1.364,1.4601,1.5867,1.6346,1.6322,1.6227,1.6235,1.6311,1.6364,1.6339,1.6365,1.6826,1.7444,1.4703,1.0453,1.0419,1.1302,1.1222,1.118,0.8895,0.5633,0.5422,0.5818,0.5551,0.5704,0.5454,0.4905,0.5185,0.5809,0.625,0.6361,0.6008,0.5359})</x:f>
        <x:v>56653.98057548413</x:v>
      </x:c>
    </x:row>
    <x:row r="180" ht="14" customHeight="1">
      <x:c r="A180" s="3">
        <x:v>45867</x:v>
      </x:c>
      <x:c r="B180" s="23" t="n">
        <x:v>801.1168619791666</x:v>
      </x:c>
      <x:c r="C180" s="23" t="n">
        <x:v>786.7383626302083</x:v>
      </x:c>
      <x:c r="D180" s="23" t="n">
        <x:v>772.7240397135416</x:v>
      </x:c>
      <x:c r="E180" s="23" t="n">
        <x:v>783.9422200520833</x:v>
      </x:c>
      <x:c r="F180" s="23" t="n">
        <x:v>784.4717610677083</x:v>
      </x:c>
      <x:c r="G180" s="23" t="n">
        <x:v>771.93798828125</x:v>
      </x:c>
      <x:c r="H180" s="23" t="n">
        <x:v>777.2216796875</x:v>
      </x:c>
      <x:c r="I180" s="23" t="n">
        <x:v>759.3350423177083</x:v>
      </x:c>
      <x:c r="J180" s="23" t="n">
        <x:v>720.2532552083333</x:v>
      </x:c>
      <x:c r="K180" s="23" t="n">
        <x:v>737.9237467447916</x:v>
      </x:c>
      <x:c r="L180" s="23" t="n">
        <x:v>769.800048828125</x:v>
      </x:c>
      <x:c r="M180" s="23" t="n">
        <x:v>1053.0682190899895</x:v>
      </x:c>
      <x:c r="N180" s="23" t="n">
        <x:v>718.8282877604166</x:v>
      </x:c>
      <x:c r="O180" s="23" t="n">
        <x:v>717.9708658854166</x:v>
      </x:c>
      <x:c r="P180" s="23" t="n">
        <x:v>740.1681315104166</x:v>
      </x:c>
      <x:c r="Q180" s="23" t="n">
        <x:v>1536.1806640625</x:v>
      </x:c>
      <x:c r="R180" s="23" t="n">
        <x:v>1521.9226888020833</x:v>
      </x:c>
      <x:c r="S180" s="23" t="n">
        <x:v>716.091552734375</x:v>
      </x:c>
      <x:c r="T180" s="23" t="n">
        <x:v>745.94384765625</x:v>
      </x:c>
      <x:c r="U180" s="23" t="n">
        <x:v>748.933837890625</x:v>
      </x:c>
      <x:c r="V180" s="23" t="n">
        <x:v>739.1410319010416</x:v>
      </x:c>
      <x:c r="W180" s="23" t="n">
        <x:v>714.0813802083333</x:v>
      </x:c>
      <x:c r="X180" s="23" t="n">
        <x:v>703.295654296875</x:v>
      </x:c>
      <x:c r="Y180" s="23" t="n">
        <x:v>697.9047037760416</x:v>
      </x:c>
      <x:c r="Z180" s="23" t="n">
        <x:v>707.832763671875</x:v>
      </x:c>
      <x:c r="AA180" s="23" t="n">
        <x:v>687.5696614583333</x:v>
      </x:c>
      <x:c r="AB180" s="23" t="n">
        <x:v>678.7096354166666</x:v>
      </x:c>
      <x:c r="AC180" s="23" t="n">
        <x:v>1519.6420193839808</x:v>
      </x:c>
      <x:c r="AD180" s="23" t="n">
        <x:v>1510.2223263789194</x:v>
      </x:c>
      <x:c r="AE180" s="23" t="n">
        <x:v>665.9982503255208</x:v>
      </x:c>
      <x:c r="AF180" s="23" t="n">
        <x:v>653.8251821412495</x:v>
      </x:c>
      <x:c r="AG180" s="23" t="n">
        <x:v>654.1074893732297</x:v>
      </x:c>
      <x:c r="AH180" s="23" t="n">
        <x:v>1448.214576748302</x:v>
      </x:c>
      <x:c r="AI180" s="23" t="n">
        <x:v>1383.6698366057892</x:v>
      </x:c>
      <x:c r="AJ180" s="23" t="n">
        <x:v>593.5794393482654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39.60436761882556</x:v>
      </x:c>
      <x:c r="AS180" s="23" t="n">
        <x:v>318.81050714594187</x:v>
      </x:c>
      <x:c r="AT180" s="23" t="n">
        <x:v>285.47984668188116</x:v>
      </x:c>
      <x:c r="AU180" s="23" t="n">
        <x:v>218.02690896287555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0</x:v>
      </x:c>
      <x:c r="BP180" s="23" t="n">
        <x:v>690.1519295626264</x:v>
      </x:c>
      <x:c r="BQ180" s="23" t="n">
        <x:v>0</x:v>
      </x:c>
      <x:c r="BR180" s="23" t="n">
        <x:v>657.656132656165</x:v>
      </x:c>
      <x:c r="BS180" s="23" t="n">
        <x:v>639.2830055093539</x:v>
      </x:c>
      <x:c r="BT180" s="23" t="n">
        <x:v>631.2090864109671</x:v>
      </x:c>
      <x:c r="BU180" s="23" t="n">
        <x:v>609.1568183091695</x:v>
      </x:c>
      <x:c r="BV180" s="23" t="n">
        <x:v>603.8448279414279</x:v>
      </x:c>
      <x:c r="BW180" s="23" t="n">
        <x:v>593.6145695839601</x:v>
      </x:c>
      <x:c r="BX180" s="23" t="n">
        <x:v>602.3619323580757</x:v>
      </x:c>
      <x:c r="BY180" s="23" t="n">
        <x:v>637.8547354892477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249.29968992665272</x:v>
      </x:c>
      <x:c r="CN180" s="23" t="n">
        <x:v>1060.9040514664637</x:v>
      </x:c>
      <x:c r="CO180" s="23" t="n">
        <x:v>303.4597534314192</x:v>
      </x:c>
      <x:c r="CP180" s="23" t="n">
        <x:v>360.0166257998383</x:v>
      </x:c>
      <x:c r="CQ180" s="23" t="n">
        <x:v>396.4512545840883</x:v>
      </x:c>
      <x:c r="CR180" s="23" t="n">
        <x:v>446.04881297369013</x:v>
      </x:c>
      <x:c r="CS180" s="23" t="n">
        <x:v>472.7872487439452</x:v>
      </x:c>
      <x:c r="CT180" s="23" t="n">
        <x:v>529.1289386987405</x:v>
      </x:c>
      <x:c r="CU180" s="23" t="n">
        <x:v>584.7780597748197</x:v>
      </x:c>
      <x:c r="CV180" s="23" t="n">
        <x:v>636.338607720959</x:v>
      </x:c>
      <x:c r="CW180" s="23" t="n">
        <x:v>680.9219272159506</x:v>
      </x:c>
      <x:c r="CX180" s="23" t="n">
        <x:v>726.087227779663</x:v>
      </x:c>
      <x:c r="CY180" s="23" t="n">
        <x:v>773.5527894697794</x:v>
      </x:c>
      <x:c r="CZ180" s="23" t="n">
        <x:v>816.570974232347</x:v>
      </x:c>
      <x:c r="DA180" s="23" t="n">
        <x:v>864.5009343693787</x:v>
      </x:c>
      <x:c r="DB180" s="23" t="n">
        <x:v>905.6465434451494</x:v>
      </x:c>
      <x:c r="DC180" s="23" t="n">
        <x:v>942.4977776905134</x:v>
      </x:c>
      <x:c r="DD180" s="23" t="n">
        <x:v>960.1109234720108</x:v>
      </x:c>
      <x:c r="DE180" s="23" t="n">
        <x:v>801.8009623047298</x:v>
      </x:c>
      <x:c r="DF180" s="23" t="n">
        <x:v>823.3570322486072</x:v>
      </x:c>
      <x:c r="DG180" s="23" t="n">
        <x:v>891.1954681477437</x:v>
      </x:c>
      <x:c r="DH180" s="23" t="n">
        <x:v>906.8714207206003</x:v>
      </x:c>
      <x:c r="DI180" s="23" t="n">
        <x:v>914.1300455422921</x:v>
      </x:c>
      <x:c r="DJ180" s="23" t="n">
        <x:v>916.394481979055</x:v>
      </x:c>
      <x:c r="DK180" s="23" t="n">
        <x:v>170.6569341332826</x:v>
      </x:c>
      <x:c r="DL180" s="23" t="n">
        <x:v>162.3398314578776</x:v>
      </x:c>
      <x:c r="DM180" s="23" t="n">
        <x:v>202.2465805463271</x:v>
      </x:c>
      <x:c r="DN180" s="23" t="n">
        <x:v>200.31258528645836</x:v>
      </x:c>
      <x:c r="DO180" s="23" t="n">
        <x:v>188.22274031249995</x:v>
      </x:c>
      <x:c r="DP180" s="23" t="n">
        <x:v>205.42959395833333</x:v>
      </x:c>
      <x:c r="DQ180" s="23" t="n">
        <x:v>195.4398896484375</x:v>
      </x:c>
      <x:c r="DR180" s="23" t="n">
        <x:v>184.77952502604163</x:v>
      </x:c>
      <x:c r="DS180" s="23" t="n">
        <x:v>189.16088812499993</x:v>
      </x:c>
      <x:c r="DT180" s="23" t="n">
        <x:v>211.78124674479173</x:v>
      </x:c>
      <x:c r="DU180" s="23" t="n">
        <x:v>243.77170877604172</x:v>
      </x:c>
      <x:c r="DV180" s="23" t="n">
        <x:v>922.4969705232849</x:v>
      </x:c>
      <x:c r="DW180" s="23" t="n">
        <x:v>992.790771484375</x:v>
      </x:c>
      <x:c r="DX180" s="23" t="n">
        <x:v>1000.4278157552083</x:v>
      </x:c>
      <x:c r="DY180" s="23" t="n">
        <x:v>1028.4986165364583</x:v>
      </x:c>
      <x:c r="DZ180" s="23" t="n">
        <x:v>1016.8880208333333</x:v>
      </x:c>
      <x:c r="EA180" s="23" t="n">
        <x:v>1023.0961780598959</x:v>
      </x:c>
      <x:c r="EB180" s="23" t="n">
        <x:v>916.978271484375</x:v>
      </x:c>
      <x:c r="EC180" s="23" t="n">
        <x:v>813.3537640416022</x:v>
      </x:c>
      <x:c r="ED180" s="23" t="n">
        <x:v>1622.1119791666665</x:v>
      </x:c>
      <x:c r="EE180" s="23" t="n">
        <x:v>1609.8533528645833</x:v>
      </x:c>
      <x:c r="EF180" s="23" t="n">
        <x:v>768.06787109375</x:v>
      </x:c>
      <x:c r="EG180" s="23" t="n">
        <x:v>1617.6923014322915</x:v>
      </x:c>
      <x:c r="EH180" s="23" t="n">
        <x:v>1043.239522593557</x:v>
      </x:c>
      <x:c r="EI180" s="23" t="n">
        <x:v>787.1780598958333</x:v>
      </x:c>
      <x:c r="EJ180" s="23" t="n">
        <x:v>785.625</x:v>
      </x:c>
      <x:c r="EK180" s="23" t="n">
        <x:v>802.2631022135416</x:v>
      </x:c>
      <x:c r="EL180" s="23" t="n">
        <x:v>1638.1739908854165</x:v>
      </x:c>
      <x:c r="EM180" s="23" t="n">
        <x:v>1632.04443359375</x:v>
      </x:c>
      <x:c r="EN180" s="23" t="n">
        <x:v>1589.8651529947915</x:v>
      </x:c>
      <x:c r="EO180" s="23" t="n">
        <x:v>787.274658203125</x:v>
      </x:c>
      <x:c r="EP180" s="23" t="n">
        <x:f>SUM(B180:EO180)</x:f>
        <x:v>78364.33463057685</x:v>
      </x:c>
      <x:c r="EQ180" s="23" t="n">
        <x:f>SUMPRODUCT(B180:EO180,{0.4966,0.5602,0.6302,0.5322,0.4845,0.5385,0.5292,0.4934,0.4976,0.5601,0.6059,0.6028,0.5782,0.5327,0.4962,0.5082,0.5037,0.4816,0.5029,0.5177,0.5067,0.5047,0.5251,0.5308,0.477,0.4582,0.4711,0.4303,0.451,0.5256,0.5174,0.4703,0.4247,0.4164,0.6424,0.947,0.9441,0.8875,0.8987,0.853,0.8232,0.8065,0.7273,0.719,0.7405,0.6573,0.8485,1.202,1.1945,1.1318,1.1468,1.0625,1.0061,1.0267,1.037,1.035,1.0171,0.9939,1.1207,1.3076,1.2879,1.2091,1.2205,1.2842,1.0607,0.6768,0.6167,0.6411,0.6061,0.6107,0.6023,0.5576,0.5235,0.5398,0.5641,0.5425,0.6847,0.9392,1.0186,0.9985,0.9661,0.9526,1.0855,1.2807,1.2996,1.23,1.2395,1.3606,1.1367,0.7101,0.7058,0.8068,0.7952,0.7824,0.8239,0.8916,0.918,0.9413,0.9779,1.0099,1.0726,1.1057,1.0197,1.0333,1.1267,1.0798,1.1237,1.291,1.3625,1.3692,1.3638,1.3812,1.5486,1.7497,1.7172,1.6407,1.6541,1.7077,1.7111,1.6636,1.6405,1.6302,1.6573,1.714,1.4547,1.0421,1.0184,1.0869,1.0934,1.1337,0.8962,0.5254,0.5256,0.603,0.5781,0.5586,0.5235,0.4865,0.5092,0.5597,0.5814,0.5441,0.5254,0.5394})</x:f>
        <x:v>57615.56558283745</x:v>
      </x:c>
    </x:row>
    <x:row r="181" ht="14" customHeight="1">
      <x:c r="A181" s="3">
        <x:v>45868</x:v>
      </x:c>
      <x:c r="B181" s="23" t="n">
        <x:v>764.5653483072916</x:v>
      </x:c>
      <x:c r="C181" s="23" t="n">
        <x:v>758.803955078125</x:v>
      </x:c>
      <x:c r="D181" s="23" t="n">
        <x:v>771.4982096354166</x:v>
      </x:c>
      <x:c r="E181" s="23" t="n">
        <x:v>791.3031412760416</x:v>
      </x:c>
      <x:c r="F181" s="23" t="n">
        <x:v>760.4351399739583</x:v>
      </x:c>
      <x:c r="G181" s="23" t="n">
        <x:v>735.1502278645833</x:v>
      </x:c>
      <x:c r="H181" s="23" t="n">
        <x:v>769.0270182291666</x:v>
      </x:c>
      <x:c r="I181" s="23" t="n">
        <x:v>768.5448404947916</x:v>
      </x:c>
      <x:c r="J181" s="23" t="n">
        <x:v>737.103759765625</x:v>
      </x:c>
      <x:c r="K181" s="23" t="n">
        <x:v>762.3214518229166</x:v>
      </x:c>
      <x:c r="L181" s="23" t="n">
        <x:v>760.53515625</x:v>
      </x:c>
      <x:c r="M181" s="23" t="n">
        <x:v>748.252685546875</x:v>
      </x:c>
      <x:c r="N181" s="23" t="n">
        <x:v>747.091796875</x:v>
      </x:c>
      <x:c r="O181" s="23" t="n">
        <x:v>741.473388671875</x:v>
      </x:c>
      <x:c r="P181" s="23" t="n">
        <x:v>730.514404296875</x:v>
      </x:c>
      <x:c r="Q181" s="23" t="n">
        <x:v>729.3995768229166</x:v>
      </x:c>
      <x:c r="R181" s="23" t="n">
        <x:v>730.2576497395833</x:v>
      </x:c>
      <x:c r="S181" s="23" t="n">
        <x:v>700.4823404947916</x:v>
      </x:c>
      <x:c r="T181" s="23" t="n">
        <x:v>1528.768798828125</x:v>
      </x:c>
      <x:c r="U181" s="23" t="n">
        <x:v>1533.6533203125</x:v>
      </x:c>
      <x:c r="V181" s="23" t="n">
        <x:v>1525.3544921875</x:v>
      </x:c>
      <x:c r="W181" s="23" t="n">
        <x:v>699.591796875</x:v>
      </x:c>
      <x:c r="X181" s="23" t="n">
        <x:v>715.2479654947916</x:v>
      </x:c>
      <x:c r="Y181" s="23" t="n">
        <x:v>696.6441243489583</x:v>
      </x:c>
      <x:c r="Z181" s="23" t="n">
        <x:v>706.5392252604166</x:v>
      </x:c>
      <x:c r="AA181" s="23" t="n">
        <x:v>701.0489908854166</x:v>
      </x:c>
      <x:c r="AB181" s="23" t="n">
        <x:v>698.4828287760416</x:v>
      </x:c>
      <x:c r="AC181" s="23" t="n">
        <x:v>684.2773065990756</x:v>
      </x:c>
      <x:c r="AD181" s="23" t="n">
        <x:v>678.5160566830049</x:v>
      </x:c>
      <x:c r="AE181" s="23" t="n">
        <x:v>1395.944935263955</x:v>
      </x:c>
      <x:c r="AF181" s="23" t="n">
        <x:v>667.825866302734</x:v>
      </x:c>
      <x:c r="AG181" s="23" t="n">
        <x:v>651.1783408361337</x:v>
      </x:c>
      <x:c r="AH181" s="23" t="n">
        <x:v>1473.1728129414573</x:v>
      </x:c>
      <x:c r="AI181" s="23" t="n">
        <x:v>1388.7210663169708</x:v>
      </x:c>
      <x:c r="AJ181" s="23" t="n">
        <x:v>573.577283191406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106.52653077375835</x:v>
      </x:c>
      <x:c r="AR181" s="23" t="n">
        <x:v>393.11678083890257</x:v>
      </x:c>
      <x:c r="AS181" s="23" t="n">
        <x:v>334.570564772353</x:v>
      </x:c>
      <x:c r="AT181" s="23" t="n">
        <x:v>279.61693457294206</x:v>
      </x:c>
      <x:c r="AU181" s="23" t="n">
        <x:v>181.58203378593635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724.494665086344</x:v>
      </x:c>
      <x:c r="BP181" s="23" t="n">
        <x:v>713.1766468004768</x:v>
      </x:c>
      <x:c r="BQ181" s="23" t="n">
        <x:v>0</x:v>
      </x:c>
      <x:c r="BR181" s="23" t="n">
        <x:v>0</x:v>
      </x:c>
      <x:c r="BS181" s="23" t="n">
        <x:v>687.3080853194472</x:v>
      </x:c>
      <x:c r="BT181" s="23" t="n">
        <x:v>666.0816046971534</x:v>
      </x:c>
      <x:c r="BU181" s="23" t="n">
        <x:v>640.1529744351361</x:v>
      </x:c>
      <x:c r="BV181" s="23" t="n">
        <x:v>627.0420739932324</x:v>
      </x:c>
      <x:c r="BW181" s="23" t="n">
        <x:v>621.5014749549473</x:v>
      </x:c>
      <x:c r="BX181" s="23" t="n">
        <x:v>640.5889061910144</x:v>
      </x:c>
      <x:c r="BY181" s="23" t="n">
        <x:v>658.2668516458076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287.8042146341297</x:v>
      </x:c>
      <x:c r="CN181" s="23" t="n">
        <x:v>1091.1198804529713</x:v>
      </x:c>
      <x:c r="CO181" s="23" t="n">
        <x:v>292.636286192814</x:v>
      </x:c>
      <x:c r="CP181" s="23" t="n">
        <x:v>324.88470401659316</x:v>
      </x:c>
      <x:c r="CQ181" s="23" t="n">
        <x:v>369.29284518831173</x:v>
      </x:c>
      <x:c r="CR181" s="23" t="n">
        <x:v>432.569171872056</x:v>
      </x:c>
      <x:c r="CS181" s="23" t="n">
        <x:v>480.3819872499936</x:v>
      </x:c>
      <x:c r="CT181" s="23" t="n">
        <x:v>517.162775063942</x:v>
      </x:c>
      <x:c r="CU181" s="23" t="n">
        <x:v>565.0209451673522</x:v>
      </x:c>
      <x:c r="CV181" s="23" t="n">
        <x:v>641.8155070307698</x:v>
      </x:c>
      <x:c r="CW181" s="23" t="n">
        <x:v>696.5049273639867</x:v>
      </x:c>
      <x:c r="CX181" s="23" t="n">
        <x:v>727.7743069489676</x:v>
      </x:c>
      <x:c r="CY181" s="23" t="n">
        <x:v>770.0132823799906</x:v>
      </x:c>
      <x:c r="CZ181" s="23" t="n">
        <x:v>803.9224777281185</x:v>
      </x:c>
      <x:c r="DA181" s="23" t="n">
        <x:v>844.5306043024873</x:v>
      </x:c>
      <x:c r="DB181" s="23" t="n">
        <x:v>897.5939413493841</x:v>
      </x:c>
      <x:c r="DC181" s="23" t="n">
        <x:v>954.1948745026945</x:v>
      </x:c>
      <x:c r="DD181" s="23" t="n">
        <x:v>950.3291089189181</x:v>
      </x:c>
      <x:c r="DE181" s="23" t="n">
        <x:v>795.7976573418565</x:v>
      </x:c>
      <x:c r="DF181" s="23" t="n">
        <x:v>847.1471515126664</x:v>
      </x:c>
      <x:c r="DG181" s="23" t="n">
        <x:v>923.0184669781804</x:v>
      </x:c>
      <x:c r="DH181" s="23" t="n">
        <x:v>917.8231856579962</x:v>
      </x:c>
      <x:c r="DI181" s="23" t="n">
        <x:v>910.8916957033744</x:v>
      </x:c>
      <x:c r="DJ181" s="23" t="n">
        <x:v>970.8092337567268</x:v>
      </x:c>
      <x:c r="DK181" s="23" t="n">
        <x:v>249.78225965411593</x:v>
      </x:c>
      <x:c r="DL181" s="23" t="n">
        <x:v>236.92812928443283</x:v>
      </x:c>
      <x:c r="DM181" s="23" t="n">
        <x:v>246.69406298808264</x:v>
      </x:c>
      <x:c r="DN181" s="23" t="n">
        <x:v>245.22052994791662</x:v>
      </x:c>
      <x:c r="DO181" s="23" t="n">
        <x:v>231.92704664062495</x:v>
      </x:c>
      <x:c r="DP181" s="23" t="n">
        <x:v>184.3477865625</x:v>
      </x:c>
      <x:c r="DQ181" s="23" t="n">
        <x:v>195.73277701822917</x:v>
      </x:c>
      <x:c r="DR181" s="23" t="n">
        <x:v>190.74778674479163</x:v>
      </x:c>
      <x:c r="DS181" s="23" t="n">
        <x:v>157.83408372395843</x:v>
      </x:c>
      <x:c r="DT181" s="23" t="n">
        <x:v>181.63228776041674</x:v>
      </x:c>
      <x:c r="DU181" s="23" t="n">
        <x:v>224.0588107161458</x:v>
      </x:c>
      <x:c r="DV181" s="23" t="n">
        <x:v>944.5459860148424</x:v>
      </x:c>
      <x:c r="DW181" s="23" t="n">
        <x:v>947.4540201822916</x:v>
      </x:c>
      <x:c r="DX181" s="23" t="n">
        <x:v>962.6817220052083</x:v>
      </x:c>
      <x:c r="DY181" s="23" t="n">
        <x:v>967.4168294270833</x:v>
      </x:c>
      <x:c r="DZ181" s="23" t="n">
        <x:v>968.1819661458333</x:v>
      </x:c>
      <x:c r="EA181" s="23" t="n">
        <x:v>984.726017252604</x:v>
      </x:c>
      <x:c r="EB181" s="23" t="n">
        <x:v>914.0238444010416</x:v>
      </x:c>
      <x:c r="EC181" s="23" t="n">
        <x:v>790.8528645833333</x:v>
      </x:c>
      <x:c r="ED181" s="23" t="n">
        <x:v>1622.403564453125</x:v>
      </x:c>
      <x:c r="EE181" s="23" t="n">
        <x:v>792.11376953125</x:v>
      </x:c>
      <x:c r="EF181" s="23" t="n">
        <x:v>805.2416178385416</x:v>
      </x:c>
      <x:c r="EG181" s="23" t="n">
        <x:v>1612.5902506510415</x:v>
      </x:c>
      <x:c r="EH181" s="23" t="n">
        <x:v>1630.051025390625</x:v>
      </x:c>
      <x:c r="EI181" s="23" t="n">
        <x:v>784.9189453125</x:v>
      </x:c>
      <x:c r="EJ181" s="23" t="n">
        <x:v>1591.6626790364583</x:v>
      </x:c>
      <x:c r="EK181" s="23" t="n">
        <x:v>1589.5233561197915</x:v>
      </x:c>
      <x:c r="EL181" s="23" t="n">
        <x:v>1641.8507486979165</x:v>
      </x:c>
      <x:c r="EM181" s="23" t="n">
        <x:v>786.9540201822916</x:v>
      </x:c>
      <x:c r="EN181" s="23" t="n">
        <x:v>1050.5332523550023</x:v>
      </x:c>
      <x:c r="EO181" s="23" t="n">
        <x:v>795.5484212239583</x:v>
      </x:c>
      <x:c r="EP181" s="23" t="n">
        <x:f>SUM(B181:EO181)</x:f>
        <x:v>78640.55112327704</x:v>
      </x:c>
      <x:c r="EQ181" s="23" t="n">
        <x:f>SUMPRODUCT(B181:EO181,{0.5309,0.5273,0.5379,0.5437,0.5664,0.5822,0.5382,0.4867,0.484,0.5408,0.5819,0.5808,0.5742,0.5698,0.5558,0.5238,0.5232,0.5536,0.563,0.5479,0.5169,0.4821,0.4729,0.5033,0.5509,0.5329,0.4938,0.5463,0.5187,0.425,0.4588,0.4992,0.4489,0.3727,0.5423,0.8551,0.9202,0.8875,0.8822,0.8703,0.8389,0.7756,0.6954,0.7372,0.8038,0.7005,0.8803,1.247,1.2207,1.1263,1.1502,1.1492,1.1467,1.1393,1.0798,1.0301,0.997,0.9478,1.016,1.1688,1.2188,1.1966,1.1884,1.2025,0.9596,0.6058,0.5992,0.6718,0.6456,0.6008,0.5437,0.5014,0.5169,0.529,0.4885,0.4369,0.6046,0.8771,0.8914,0.8487,0.8671,0.883,1.0124,1.1938,1.2129,1.1453,1.1585,1.3037,1.1305,0.7498,0.7437,0.8465,0.8589,0.8579,0.8797,0.9138,0.9294,0.9466,0.9762,1.0053,1.016,1.0277,1.0756,1.1071,1.0978,1.0922,1.1976,1.3761,1.4668,1.4606,1.4184,1.4247,1.5277,1.6383,1.6137,1.5997,1.6547,1.6898,1.6763,1.6523,1.6709,1.6512,1.6286,1.6832,1.4891,1.1331,1.0589,1.087,1.1189,1.1925,0.9462,0.5309,0.5009,0.5778,0.5635,0.5418,0.5404,0.5392,0.5101,0.5114,0.5311,0.5044,0.5182,0.5489})</x:f>
        <x:v>58623.364045745875</x:v>
      </x:c>
    </x:row>
    <x:row r="182" ht="14" customHeight="1">
      <x:c r="A182" s="3">
        <x:v>45869</x:v>
      </x:c>
      <x:c r="B182" s="23" t="n">
        <x:v>784.4169921875</x:v>
      </x:c>
      <x:c r="C182" s="23" t="n">
        <x:v>783.1861979166666</x:v>
      </x:c>
      <x:c r="D182" s="23" t="n">
        <x:v>771.8612467447916</x:v>
      </x:c>
      <x:c r="E182" s="23" t="n">
        <x:v>782.6653645833333</x:v>
      </x:c>
      <x:c r="F182" s="23" t="n">
        <x:v>800.5806477864583</x:v>
      </x:c>
      <x:c r="G182" s="23" t="n">
        <x:v>801.6512858072916</x:v>
      </x:c>
      <x:c r="H182" s="23" t="n">
        <x:v>766.5330403645833</x:v>
      </x:c>
      <x:c r="I182" s="23" t="n">
        <x:v>746.1143391927083</x:v>
      </x:c>
      <x:c r="J182" s="23" t="n">
        <x:v>747.7230631510416</x:v>
      </x:c>
      <x:c r="K182" s="23" t="n">
        <x:v>735.32666015625</x:v>
      </x:c>
      <x:c r="L182" s="23" t="n">
        <x:v>734.1509602864583</x:v>
      </x:c>
      <x:c r="M182" s="23" t="n">
        <x:v>1590.0906575520833</x:v>
      </x:c>
      <x:c r="N182" s="23" t="n">
        <x:v>732.1771647135416</x:v>
      </x:c>
      <x:c r="O182" s="23" t="n">
        <x:v>713.534912109375</x:v>
      </x:c>
      <x:c r="P182" s="23" t="n">
        <x:v>728.1778157552083</x:v>
      </x:c>
      <x:c r="Q182" s="23" t="n">
        <x:v>846.4883604423871</x:v>
      </x:c>
      <x:c r="R182" s="23" t="n">
        <x:v>717.729736328125</x:v>
      </x:c>
      <x:c r="S182" s="23" t="n">
        <x:v>704.3639322916666</x:v>
      </x:c>
      <x:c r="T182" s="23" t="n">
        <x:v>729.0353190104166</x:v>
      </x:c>
      <x:c r="U182" s="23" t="n">
        <x:v>727.1300455729166</x:v>
      </x:c>
      <x:c r="V182" s="23" t="n">
        <x:v>723.2611490885416</x:v>
      </x:c>
      <x:c r="W182" s="23" t="n">
        <x:v>719.2618001302083</x:v>
      </x:c>
      <x:c r="X182" s="23" t="n">
        <x:v>719.4715169270833</x:v>
      </x:c>
      <x:c r="Y182" s="23" t="n">
        <x:v>696.9302571614583</x:v>
      </x:c>
      <x:c r="Z182" s="23" t="n">
        <x:v>699.0462239583333</x:v>
      </x:c>
      <x:c r="AA182" s="23" t="n">
        <x:v>1525.177001953125</x:v>
      </x:c>
      <x:c r="AB182" s="23" t="n">
        <x:v>1507.423583984375</x:v>
      </x:c>
      <x:c r="AC182" s="23" t="n">
        <x:v>695.6032896767892</x:v>
      </x:c>
      <x:c r="AD182" s="23" t="n">
        <x:v>711.7348840883657</x:v>
      </x:c>
      <x:c r="AE182" s="23" t="n">
        <x:v>711.8229166666666</x:v>
      </x:c>
      <x:c r="AF182" s="23" t="n">
        <x:v>686.4305649908711</x:v>
      </x:c>
      <x:c r="AG182" s="23" t="n">
        <x:v>1486.6725762510018</x:v>
      </x:c>
      <x:c r="AH182" s="23" t="n">
        <x:v>1445.104636017497</x:v>
      </x:c>
      <x:c r="AI182" s="23" t="n">
        <x:v>1402.053680044772</x:v>
      </x:c>
      <x:c r="AJ182" s="23" t="n">
        <x:v>609.0635375998737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376.41327460817354</x:v>
      </x:c>
      <x:c r="AS182" s="23" t="n">
        <x:v>326.2748568440089</x:v>
      </x:c>
      <x:c r="AT182" s="23" t="n">
        <x:v>277.29308445105437</x:v>
      </x:c>
      <x:c r="AU182" s="23" t="n">
        <x:v>208.0385936158274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749.6260026259575</x:v>
      </x:c>
      <x:c r="BP182" s="23" t="n">
        <x:v>734.2483249268682</x:v>
      </x:c>
      <x:c r="BQ182" s="23" t="n">
        <x:v>720.1629578298949</x:v>
      </x:c>
      <x:c r="BR182" s="23" t="n">
        <x:v>0</x:v>
      </x:c>
      <x:c r="BS182" s="23" t="n">
        <x:v>33.746900187759195</x:v>
      </x:c>
      <x:c r="BT182" s="23" t="n">
        <x:v>663.262591974287</x:v>
      </x:c>
      <x:c r="BU182" s="23" t="n">
        <x:v>645.8193143193445</x:v>
      </x:c>
      <x:c r="BV182" s="23" t="n">
        <x:v>632.9586997623358</x:v>
      </x:c>
      <x:c r="BW182" s="23" t="n">
        <x:v>639.2748642422617</x:v>
      </x:c>
      <x:c r="BX182" s="23" t="n">
        <x:v>653.6140734987536</x:v>
      </x:c>
      <x:c r="BY182" s="23" t="n">
        <x:v>657.3269387238093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237.70546112320181</x:v>
      </x:c>
      <x:c r="CN182" s="23" t="n">
        <x:v>933.7986712524644</x:v>
      </x:c>
      <x:c r="CO182" s="23" t="n">
        <x:v>317.59805194174197</x:v>
      </x:c>
      <x:c r="CP182" s="23" t="n">
        <x:v>352.9105594061928</x:v>
      </x:c>
      <x:c r="CQ182" s="23" t="n">
        <x:v>397.1833477557696</x:v>
      </x:c>
      <x:c r="CR182" s="23" t="n">
        <x:v>452.00129376104815</x:v>
      </x:c>
      <x:c r="CS182" s="23" t="n">
        <x:v>493.9487920073194</x:v>
      </x:c>
      <x:c r="CT182" s="23" t="n">
        <x:v>537.8784322482625</x:v>
      </x:c>
      <x:c r="CU182" s="23" t="n">
        <x:v>587.1295771743827</x:v>
      </x:c>
      <x:c r="CV182" s="23" t="n">
        <x:v>638.0036671002908</x:v>
      </x:c>
      <x:c r="CW182" s="23" t="n">
        <x:v>683.9426940580099</x:v>
      </x:c>
      <x:c r="CX182" s="23" t="n">
        <x:v>729.8789392744002</x:v>
      </x:c>
      <x:c r="CY182" s="23" t="n">
        <x:v>773.5526303815832</x:v>
      </x:c>
      <x:c r="CZ182" s="23" t="n">
        <x:v>811.0992571252773</x:v>
      </x:c>
      <x:c r="DA182" s="23" t="n">
        <x:v>852.051634915234</x:v>
      </x:c>
      <x:c r="DB182" s="23" t="n">
        <x:v>903.5930790096251</x:v>
      </x:c>
      <x:c r="DC182" s="23" t="n">
        <x:v>948.3266683145054</x:v>
      </x:c>
      <x:c r="DD182" s="23" t="n">
        <x:v>935.0866572344378</x:v>
      </x:c>
      <x:c r="DE182" s="23" t="n">
        <x:v>810.7651864325936</x:v>
      </x:c>
      <x:c r="DF182" s="23" t="n">
        <x:v>870.2901914345669</x:v>
      </x:c>
      <x:c r="DG182" s="23" t="n">
        <x:v>899.2693089743345</x:v>
      </x:c>
      <x:c r="DH182" s="23" t="n">
        <x:v>885.9516102025132</x:v>
      </x:c>
      <x:c r="DI182" s="23" t="n">
        <x:v>920.4367946011901</x:v>
      </x:c>
      <x:c r="DJ182" s="23" t="n">
        <x:v>973.6666771433177</x:v>
      </x:c>
      <x:c r="DK182" s="23" t="n">
        <x:v>202.57357604831486</x:v>
      </x:c>
      <x:c r="DL182" s="23" t="n">
        <x:v>170.11058257543783</x:v>
      </x:c>
      <x:c r="DM182" s="23" t="n">
        <x:v>193.80594609171808</x:v>
      </x:c>
      <x:c r="DN182" s="23" t="n">
        <x:v>191.30052669270827</x:v>
      </x:c>
      <x:c r="DO182" s="23" t="n">
        <x:v>178.7112942317708</x:v>
      </x:c>
      <x:c r="DP182" s="23" t="n">
        <x:v>205.17947533854158</x:v>
      </x:c>
      <x:c r="DQ182" s="23" t="n">
        <x:v>199.13881315104177</x:v>
      </x:c>
      <x:c r="DR182" s="23" t="n">
        <x:v>163.25679005208332</x:v>
      </x:c>
      <x:c r="DS182" s="23" t="n">
        <x:v>172.08681151041674</x:v>
      </x:c>
      <x:c r="DT182" s="23" t="n">
        <x:v>185.25747179474274</x:v>
      </x:c>
      <x:c r="DU182" s="23" t="n">
        <x:v>160.56448285156253</x:v>
      </x:c>
      <x:c r="DV182" s="23" t="n">
        <x:v>966.8026529947916</x:v>
      </x:c>
      <x:c r="DW182" s="23" t="n">
        <x:v>990.7771809895833</x:v>
      </x:c>
      <x:c r="DX182" s="23" t="n">
        <x:v>977.2032895688658</x:v>
      </x:c>
      <x:c r="DY182" s="23" t="n">
        <x:v>975.4043782552083</x:v>
      </x:c>
      <x:c r="DZ182" s="23" t="n">
        <x:v>995.0423177083333</x:v>
      </x:c>
      <x:c r="EA182" s="23" t="n">
        <x:v>1004.826142578125</x:v>
      </x:c>
      <x:c r="EB182" s="23" t="n">
        <x:v>916.195068359375</x:v>
      </x:c>
      <x:c r="EC182" s="23" t="n">
        <x:v>779.3893229166666</x:v>
      </x:c>
      <x:c r="ED182" s="23" t="n">
        <x:v>1619.6961263020833</x:v>
      </x:c>
      <x:c r="EE182" s="23" t="n">
        <x:v>801.8133138020833</x:v>
      </x:c>
      <x:c r="EF182" s="23" t="n">
        <x:v>787.2049153645833</x:v>
      </x:c>
      <x:c r="EG182" s="23" t="n">
        <x:v>1013.1204105581276</x:v>
      </x:c>
      <x:c r="EH182" s="23" t="n">
        <x:v>760.7600911458333</x:v>
      </x:c>
      <x:c r="EI182" s="23" t="n">
        <x:v>800.12744140625</x:v>
      </x:c>
      <x:c r="EJ182" s="23" t="n">
        <x:v>1619.5255533854165</x:v>
      </x:c>
      <x:c r="EK182" s="23" t="n">
        <x:v>1617.5901692708333</x:v>
      </x:c>
      <x:c r="EL182" s="23" t="n">
        <x:v>1615.49853515625</x:v>
      </x:c>
      <x:c r="EM182" s="23" t="n">
        <x:v>774.093994140625</x:v>
      </x:c>
      <x:c r="EN182" s="23" t="n">
        <x:v>1546.9278971354165</x:v>
      </x:c>
      <x:c r="EO182" s="23" t="n">
        <x:v>1492.64794921875</x:v>
      </x:c>
      <x:c r="EP182" s="23" t="n">
        <x:f>SUM(B182:EO182)</x:f>
        <x:v>78622.75754156988</x:v>
      </x:c>
      <x:c r="EQ182" s="23" t="n">
        <x:f>SUMPRODUCT(B182:EO182,{0.4865,0.4669,0.5141,0.5208,0.5468,0.5718,0.5131,0.5238,0.588,0.5321,0.465,0.4734,0.5376,0.5963,0.5848,0.4904,0.4735,0.5255,0.4959,0.5054,0.5602,0.5334,0.4991,0.4983,0.4957,0.4937,0.4993,0.5113,0.519,0.5066,0.4711,0.4657,0.4503,0.381,0.6009,0.9738,0.9826,0.8833,0.8768,0.8996,0.8574,0.7864,0.8003,0.7845,0.6889,0.6264,0.8496,1.2021,1.2467,1.1823,1.1587,1.1237,1.0697,1.0353,1.0613,1.0691,1.0226,0.9812,1.0835,1.2426,1.2195,1.1416,1.1585,1.2462,0.999,0.5496,0.4642,0.5222,0.5502,0.5958,0.5886,0.5222,0.4792,0.5116,0.5572,0.5376,0.7114,0.976,0.9489,0.8997,0.9385,0.931,1.0617,1.2567,1.2308,1.2065,1.3185,1.4269,1.1923,0.7868,0.7449,0.8266,0.857,0.904,0.9462,0.947,0.9017,0.8895,0.9399,1.0109,1.0572,1.0653,1.06,1.0919,1.146,1.1663,1.2117,1.3056,1.3962,1.399,1.3525,1.3919,1.5127,1.6296,1.6538,1.6575,1.6751,1.6758,1.6814,1.6827,1.6471,1.6274,1.6763,1.7439,1.4859,1.0754,1.0511,1.0705,1.0166,1.0794,0.893,0.5364,0.498,0.5579,0.5634,0.5799,0.5496,0.4997,0.5256,0.5275,0.5061,0.5542,0.5344,0.4323})</x:f>
        <x:v>57307.579137542</x:v>
      </x:c>
    </x:row>
    <x:row r="183" ht="14" customHeight="1">
      <x:c r="A183" s="3">
        <x:v>45870</x:v>
      </x:c>
      <x:c r="B183" s="23" t="n">
        <x:v>112.37379060915084</x:v>
      </x:c>
      <x:c r="C183" s="23" t="n">
        <x:v>0</x:v>
      </x:c>
      <x:c r="D183" s="23" t="n">
        <x:v>598.5262858072916</x:v>
      </x:c>
      <x:c r="E183" s="23" t="n">
        <x:v>591.2752685546875</x:v>
      </x:c>
      <x:c r="F183" s="23" t="n">
        <x:v>591.4467366536458</x:v>
      </x:c>
      <x:c r="G183" s="23" t="n">
        <x:v>0</x:v>
      </x:c>
      <x:c r="H183" s="23" t="n">
        <x:v>0</x:v>
      </x:c>
      <x:c r="I183" s="23" t="n">
        <x:v>0</x:v>
      </x:c>
      <x:c r="J183" s="23" t="n">
        <x:v>593.6634928385416</x:v>
      </x:c>
      <x:c r="K183" s="23" t="n">
        <x:v>585.79541015625</x:v>
      </x:c>
      <x:c r="L183" s="23" t="n">
        <x:v>577.3777669270833</x:v>
      </x:c>
      <x:c r="M183" s="23" t="n">
        <x:v>571.0640055338541</x:v>
      </x:c>
      <x:c r="N183" s="23" t="n">
        <x:v>586.7157796223958</x:v>
      </x:c>
      <x:c r="O183" s="23" t="n">
        <x:v>594.8207194010416</x:v>
      </x:c>
      <x:c r="P183" s="23" t="n">
        <x:v>0</x:v>
      </x:c>
      <x:c r="Q183" s="23" t="n">
        <x:v>573.5847981770833</x:v>
      </x:c>
      <x:c r="R183" s="23" t="n">
        <x:v>559.6955973307291</x:v>
      </x:c>
      <x:c r="S183" s="23" t="n">
        <x:v>0</x:v>
      </x:c>
      <x:c r="T183" s="23" t="n">
        <x:v>544.9571533203125</x:v>
      </x:c>
      <x:c r="U183" s="23" t="n">
        <x:v>546.5987141927083</x:v>
      </x:c>
      <x:c r="V183" s="23" t="n">
        <x:v>551.4090169270833</x:v>
      </x:c>
      <x:c r="W183" s="23" t="n">
        <x:v>575.6923014322916</x:v>
      </x:c>
      <x:c r="X183" s="23" t="n">
        <x:v>544.524658203125</x:v>
      </x:c>
      <x:c r="Y183" s="23" t="n">
        <x:v>513.214599609375</x:v>
      </x:c>
      <x:c r="Z183" s="23" t="n">
        <x:v>528.5408121744791</x:v>
      </x:c>
      <x:c r="AA183" s="23" t="n">
        <x:v>553.8912353515625</x:v>
      </x:c>
      <x:c r="AB183" s="23" t="n">
        <x:v>523.9791259765625</x:v>
      </x:c>
      <x:c r="AC183" s="23" t="n">
        <x:v>536.2925266540046</x:v>
      </x:c>
      <x:c r="AD183" s="23" t="n">
        <x:v>524.9486800120335</x:v>
      </x:c>
      <x:c r="AE183" s="23" t="n">
        <x:v>524.5081787109375</x:v>
      </x:c>
      <x:c r="AF183" s="23" t="n">
        <x:v>516.8610410518395</x:v>
      </x:c>
      <x:c r="AG183" s="23" t="n">
        <x:v>493.7625730662395</x:v>
      </x:c>
      <x:c r="AH183" s="23" t="n">
        <x:v>1264.3731873717084</x:v>
      </x:c>
      <x:c r="AI183" s="23" t="n">
        <x:v>1247.2490157655789</x:v>
      </x:c>
      <x:c r="AJ183" s="23" t="n">
        <x:v>412.1449727901636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67.31785602261516</x:v>
      </x:c>
      <x:c r="CT183" s="23" t="n">
        <x:v>71.43239830844763</x:v>
      </x:c>
      <x:c r="CU183" s="23" t="n">
        <x:v>111.59743206850392</x:v>
      </x:c>
      <x:c r="CV183" s="23" t="n">
        <x:v>189.75549807479425</x:v>
      </x:c>
      <x:c r="CW183" s="23" t="n">
        <x:v>240.65164235550628</x:v>
      </x:c>
      <x:c r="CX183" s="23" t="n">
        <x:v>233.311747688882</x:v>
      </x:c>
      <x:c r="CY183" s="23" t="n">
        <x:v>216.80979546933986</x:v>
      </x:c>
      <x:c r="CZ183" s="23" t="n">
        <x:v>265.44509378279383</x:v>
      </x:c>
      <x:c r="DA183" s="23" t="n">
        <x:v>322.9194448944491</x:v>
      </x:c>
      <x:c r="DB183" s="23" t="n">
        <x:v>368.2027212085061</x:v>
      </x:c>
      <x:c r="DC183" s="23" t="n">
        <x:v>395.3915076393264</x:v>
      </x:c>
      <x:c r="DD183" s="23" t="n">
        <x:v>460.1801859527386</x:v>
      </x:c>
      <x:c r="DE183" s="23" t="n">
        <x:v>542.2315610921753</x:v>
      </x:c>
      <x:c r="DF183" s="23" t="n">
        <x:v>555.9494293833973</x:v>
      </x:c>
      <x:c r="DG183" s="23" t="n">
        <x:v>583.6416440021395</x:v>
      </x:c>
      <x:c r="DH183" s="23" t="n">
        <x:v>646.4744985596212</x:v>
      </x:c>
      <x:c r="DI183" s="23" t="n">
        <x:v>659.0906277742673</x:v>
      </x:c>
      <x:c r="DJ183" s="23" t="n">
        <x:v>115.80485658421146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0</x:v>
      </x:c>
      <x:c r="DW183" s="23" t="n">
        <x:v>658.0115152994791</x:v>
      </x:c>
      <x:c r="DX183" s="23" t="n">
        <x:v>691.0589409722224</x:v>
      </x:c>
      <x:c r="DY183" s="23" t="n">
        <x:v>709.4599609375</x:v>
      </x:c>
      <x:c r="DZ183" s="23" t="n">
        <x:v>703.0489908854166</x:v>
      </x:c>
      <x:c r="EA183" s="23" t="n">
        <x:v>697.3447239583331</x:v>
      </x:c>
      <x:c r="EB183" s="23" t="n">
        <x:v>669.9815266927083</x:v>
      </x:c>
      <x:c r="EC183" s="23" t="n">
        <x:v>598.8260904947916</x:v>
      </x:c>
      <x:c r="ED183" s="23" t="n">
        <x:v>1434.551310221354</x:v>
      </x:c>
      <x:c r="EE183" s="23" t="n">
        <x:v>1433.0465901692708</x:v>
      </x:c>
      <x:c r="EF183" s="23" t="n">
        <x:v>592.5277099609375</x:v>
      </x:c>
      <x:c r="EG183" s="23" t="n">
        <x:v>1428.406290690104</x:v>
      </x:c>
      <x:c r="EH183" s="23" t="n">
        <x:v>598.8762613932291</x:v>
      </x:c>
      <x:c r="EI183" s="23" t="n">
        <x:v>593.8485921223958</x:v>
      </x:c>
      <x:c r="EJ183" s="23" t="n">
        <x:v>594.2182210286458</x:v>
      </x:c>
      <x:c r="EK183" s="23" t="n">
        <x:v>1422.4347330729165</x:v>
      </x:c>
      <x:c r="EL183" s="23" t="n">
        <x:v>1420.872599283854</x:v>
      </x:c>
      <x:c r="EM183" s="23" t="n">
        <x:v>867.85691370081</x:v>
      </x:c>
      <x:c r="EN183" s="23" t="n">
        <x:v>594.62939453125</x:v>
      </x:c>
      <x:c r="EO183" s="23" t="n">
        <x:v>1428.3028971354165</x:v>
      </x:c>
      <x:c r="EP183" s="23" t="n">
        <x:f>SUM(B183:EO183)</x:f>
        <x:v>40122.79864763412</x:v>
      </x:c>
      <x:c r="EQ183" s="23" t="n">
        <x:f>SUMPRODUCT(B183:EO183,{0.3876,0.4233,0.4714,0.4454,0.4205,0.4263,0.4195,0.4123,0.4187,0.4343,0.4331,0.4291,0.4544,0.4408,0.4042,0.4253,0.4121,0.3902,0.4725,0.4819,0.4037,0.4051,0.4369,0.4402,0.4154,0.4088,0.4308,0.4498,0.4512,0.4344,0.409,0.3905,0.347,0.2699,0.4213,0.7017,0.7261,0.6748,0.6478,0.5739,0.5945,0.6621,0.5859,0.5676,0.6079,0.5322,0.651,0.9139,0.9211,0.8125,0.743,0.7235,0.6941,0.6528,0.6547,0.6832,0.6749,0.6037,0.6905,0.9111,0.9936,0.912,0.8224,0.8583,0.6254,0.2527,0.2892,0.3557,0.2661,0.2209,0.2345,0.2482,0.2159,0.2266,0.2407,0.1568,0.2557,0.5144,0.6093,0.6171,0.6203,0.6247,0.7205,0.8746,0.9488,0.9639,0.9824,1.0038,0.7958,0.4615,0.3748,0.4234,0.4942,0.5781,0.5904,0.5716,0.6402,0.6577,0.6198,0.663,0.6915,0.6807,0.7109,0.7547,0.7844,0.8163,0.9258,1.0879,1.1866,1.2055,1.2015,1.2569,1.3644,1.4619,1.4854,1.4884,1.4917,1.4712,1.4687,1.4865,1.482,1.4635,1.4987,1.5892,1.3157,0.8449,0.8012,0.8868,0.9322,1.0184,0.7919,0.3995,0.3891,0.4728,0.4609,0.4613,0.5111,0.5578,0.5174,0.4502,0.4147,0.4172,0.4132,0.4042})</x:f>
        <x:v>22342.028904278613</x:v>
      </x:c>
    </x:row>
    <x:row r="184" ht="14" customHeight="1">
      <x:c r="A184" s="3">
        <x:v>45871</x:v>
      </x:c>
      <x:c r="B184" s="23" t="n">
        <x:v>579.5855712890625</x:v>
      </x:c>
      <x:c r="C184" s="23" t="n">
        <x:v>582.5816243489583</x:v>
      </x:c>
      <x:c r="D184" s="23" t="n">
        <x:v>581.6877034505208</x:v>
      </x:c>
      <x:c r="E184" s="23" t="n">
        <x:v>0</x:v>
      </x:c>
      <x:c r="F184" s="23" t="n">
        <x:v>594.0495198567708</x:v>
      </x:c>
      <x:c r="G184" s="23" t="n">
        <x:v>599.7869873046875</x:v>
      </x:c>
      <x:c r="H184" s="23" t="n">
        <x:v>604.2243245442708</x:v>
      </x:c>
      <x:c r="I184" s="23" t="n">
        <x:v>0</x:v>
      </x:c>
      <x:c r="J184" s="23" t="n">
        <x:v>0</x:v>
      </x:c>
      <x:c r="K184" s="23" t="n">
        <x:v>581.4395751953125</x:v>
      </x:c>
      <x:c r="L184" s="23" t="n">
        <x:v>572.9624837239583</x:v>
      </x:c>
      <x:c r="M184" s="23" t="n">
        <x:v>572.4678141276041</x:v>
      </x:c>
      <x:c r="N184" s="23" t="n">
        <x:v>575.3827718098958</x:v>
      </x:c>
      <x:c r="O184" s="23" t="n">
        <x:v>587.7331949869791</x:v>
      </x:c>
      <x:c r="P184" s="23" t="n">
        <x:v>586.5743408203125</x:v>
      </x:c>
      <x:c r="Q184" s="23" t="n">
        <x:v>583.8707682291666</x:v>
      </x:c>
      <x:c r="R184" s="23" t="n">
        <x:v>0</x:v>
      </x:c>
      <x:c r="S184" s="23" t="n">
        <x:v>0</x:v>
      </x:c>
      <x:c r="T184" s="23" t="n">
        <x:v>563.4943033854166</x:v>
      </x:c>
      <x:c r="U184" s="23" t="n">
        <x:v>567.111328125</x:v>
      </x:c>
      <x:c r="V184" s="23" t="n">
        <x:v>565.2869059244791</x:v>
      </x:c>
      <x:c r="W184" s="23" t="n">
        <x:v>546.8706461588541</x:v>
      </x:c>
      <x:c r="X184" s="23" t="n">
        <x:v>534.0321451822916</x:v>
      </x:c>
      <x:c r="Y184" s="23" t="n">
        <x:v>330.93853602894933</x:v>
      </x:c>
      <x:c r="Z184" s="23" t="n">
        <x:v>544.3321940104166</x:v>
      </x:c>
      <x:c r="AA184" s="23" t="n">
        <x:v>544.2793375651041</x:v>
      </x:c>
      <x:c r="AB184" s="23" t="n">
        <x:v>541.6870930989583</x:v>
      </x:c>
      <x:c r="AC184" s="23" t="n">
        <x:v>534.7377136083018</x:v>
      </x:c>
      <x:c r="AD184" s="23" t="n">
        <x:v>531.1332833212145</x:v>
      </x:c>
      <x:c r="AE184" s="23" t="n">
        <x:v>537.4255777994791</x:v>
      </x:c>
      <x:c r="AF184" s="23" t="n">
        <x:v>539.8586112410726</x:v>
      </x:c>
      <x:c r="AG184" s="23" t="n">
        <x:v>527.4077353035232</x:v>
      </x:c>
      <x:c r="AH184" s="23" t="n">
        <x:v>477.807853411074</x:v>
      </x:c>
      <x:c r="AI184" s="23" t="n">
        <x:v>1257.0554910380056</x:v>
      </x:c>
      <x:c r="AJ184" s="23" t="n">
        <x:v>371.8188237337129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42.444198229336195</x:v>
      </x:c>
      <x:c r="CT184" s="23" t="n">
        <x:v>84.53217560171834</x:v>
      </x:c>
      <x:c r="CU184" s="23" t="n">
        <x:v>123.96811342402293</x:v>
      </x:c>
      <x:c r="CV184" s="23" t="n">
        <x:v>194.33068072065726</x:v>
      </x:c>
      <x:c r="CW184" s="23" t="n">
        <x:v>221.20468116523185</x:v>
      </x:c>
      <x:c r="CX184" s="23" t="n">
        <x:v>227.2787506668485</x:v>
      </x:c>
      <x:c r="CY184" s="23" t="n">
        <x:v>222.84180624924403</x:v>
      </x:c>
      <x:c r="CZ184" s="23" t="n">
        <x:v>268.92370436693875</x:v>
      </x:c>
      <x:c r="DA184" s="23" t="n">
        <x:v>350.4543366629799</x:v>
      </x:c>
      <x:c r="DB184" s="23" t="n">
        <x:v>402.4216808582247</x:v>
      </x:c>
      <x:c r="DC184" s="23" t="n">
        <x:v>455.3173887384155</x:v>
      </x:c>
      <x:c r="DD184" s="23" t="n">
        <x:v>475.76580334922807</x:v>
      </x:c>
      <x:c r="DE184" s="23" t="n">
        <x:v>512.3896837077097</x:v>
      </x:c>
      <x:c r="DF184" s="23" t="n">
        <x:v>541.3553589889058</x:v>
      </x:c>
      <x:c r="DG184" s="23" t="n">
        <x:v>582.7627019250199</x:v>
      </x:c>
      <x:c r="DH184" s="23" t="n">
        <x:v>619.8245863403023</x:v>
      </x:c>
      <x:c r="DI184" s="23" t="n">
        <x:v>660.3137267769088</x:v>
      </x:c>
      <x:c r="DJ184" s="23" t="n">
        <x:v>344.8773377495411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0</x:v>
      </x:c>
      <x:c r="DW184" s="23" t="n">
        <x:v>689.2586263020833</x:v>
      </x:c>
      <x:c r="DX184" s="23" t="n">
        <x:v>695.0026041666666</x:v>
      </x:c>
      <x:c r="DY184" s="23" t="n">
        <x:v>705.2857259114583</x:v>
      </x:c>
      <x:c r="DZ184" s="23" t="n">
        <x:v>684.3212890625</x:v>
      </x:c>
      <x:c r="EA184" s="23" t="n">
        <x:v>691.5023600260416</x:v>
      </x:c>
      <x:c r="EB184" s="23" t="n">
        <x:v>664.56837595245</x:v>
      </x:c>
      <x:c r="EC184" s="23" t="n">
        <x:v>1439.3048095703125</x:v>
      </x:c>
      <x:c r="ED184" s="23" t="n">
        <x:v>1423.161905924479</x:v>
      </x:c>
      <x:c r="EE184" s="23" t="n">
        <x:v>593.1859944661458</x:v>
      </x:c>
      <x:c r="EF184" s="23" t="n">
        <x:v>590.8209228515625</x:v>
      </x:c>
      <x:c r="EG184" s="23" t="n">
        <x:v>1447.5702311197915</x:v>
      </x:c>
      <x:c r="EH184" s="23" t="n">
        <x:v>1448.6168619791665</x:v>
      </x:c>
      <x:c r="EI184" s="23" t="n">
        <x:v>616.7635091145833</x:v>
      </x:c>
      <x:c r="EJ184" s="23" t="n">
        <x:v>975.4302395793144</x:v>
      </x:c>
      <x:c r="EK184" s="23" t="n">
        <x:v>1448.8217366536458</x:v>
      </x:c>
      <x:c r="EL184" s="23" t="n">
        <x:v>1434.5673014322915</x:v>
      </x:c>
      <x:c r="EM184" s="23" t="n">
        <x:v>1404.3180745442708</x:v>
      </x:c>
      <x:c r="EN184" s="23" t="n">
        <x:v>626.8911539713541</x:v>
      </x:c>
      <x:c r="EO184" s="23" t="n">
        <x:v>0</x:v>
      </x:c>
      <x:c r="EP184" s="23" t="n">
        <x:f>SUM(B184:EO184)</x:f>
        <x:v>41028.02269677271</x:v>
      </x:c>
      <x:c r="EQ184" s="23" t="n">
        <x:f>SUMPRODUCT(B184:EO184,{0.4325,0.4718,0.4821,0.4431,0.3959,0.3785,0.4035,0.4541,0.4783,0.4335,0.4226,0.4478,0.4167,0.4047,0.4333,0.4395,0.4105,0.3806,0.3984,0.434,0.451,0.4384,0.4293,0.4174,0.3682,0.3335,0.3367,0.355,0.381,0.4004,0.398,0.3989,0.3786,0.3171,0.4376,0.6607,0.6677,0.6299,0.6432,0.6219,0.5617,0.526,0.5808,0.6275,0.5986,0.5442,0.6781,0.8875,0.841,0.7842,0.7903,0.7062,0.7364,0.8268,0.706,0.6279,0.6372,0.5605,0.7064,0.9721,0.911,0.829,0.8931,0.9153,0.6401,0.2402,0.1627,0.1952,0.1858,0.1969,0.2244,0.2368,0.2122,0.196,0.1721,0.1219,0.3108,0.6256,0.6668,0.6771,0.7203,0.6301,0.6814,0.8782,0.9314,0.9174,0.9587,1.0447,0.8561,0.5178,0.4871,0.4846,0.4452,0.5856,0.6486,0.5888,0.6148,0.6244,0.6178,0.7056,0.7122,0.6329,0.6505,0.7217,0.7664,0.7751,0.9201,1.1435,1.2059,1.2358,1.2585,1.1932,1.3098,1.5378,1.5202,1.464,1.4811,1.4788,1.5025,1.5259,1.4676,1.4532,1.5197,1.5372,1.2928,0.9296,0.8363,0.889,0.9404,0.9259,0.6912,0.3966,0.395,0.4673,0.4552,0.415,0.4262,0.4487,0.3835,0.3796,0.4437,0.4443,0.5075,0.5967})</x:f>
        <x:v>22430.47173143407</x:v>
      </x:c>
    </x:row>
    <x:row r="185" ht="14" customHeight="1">
      <x:c r="A185" s="3">
        <x:v>45872</x:v>
      </x:c>
      <x:c r="B185" s="23" t="n">
        <x:v>767.5240071614583</x:v>
      </x:c>
      <x:c r="C185" s="23" t="n">
        <x:v>747.6780598958333</x:v>
      </x:c>
      <x:c r="D185" s="23" t="n">
        <x:v>745.44384765625</x:v>
      </x:c>
      <x:c r="E185" s="23" t="n">
        <x:v>757.0863444010416</x:v>
      </x:c>
      <x:c r="F185" s="23" t="n">
        <x:v>759.6492513020833</x:v>
      </x:c>
      <x:c r="G185" s="23" t="n">
        <x:v>771.5792643229166</x:v>
      </x:c>
      <x:c r="H185" s="23" t="n">
        <x:v>735.6756184895833</x:v>
      </x:c>
      <x:c r="I185" s="23" t="n">
        <x:v>757.8388671875</x:v>
      </x:c>
      <x:c r="J185" s="23" t="n">
        <x:v>795.285400390625</x:v>
      </x:c>
      <x:c r="K185" s="23" t="n">
        <x:v>759.2879231770833</x:v>
      </x:c>
      <x:c r="L185" s="23" t="n">
        <x:v>716.6931966145833</x:v>
      </x:c>
      <x:c r="M185" s="23" t="n">
        <x:v>719.5760904947916</x:v>
      </x:c>
      <x:c r="N185" s="23" t="n">
        <x:v>733.148193359375</x:v>
      </x:c>
      <x:c r="O185" s="23" t="n">
        <x:v>733.645263671875</x:v>
      </x:c>
      <x:c r="P185" s="23" t="n">
        <x:v>722.9270833333333</x:v>
      </x:c>
      <x:c r="Q185" s="23" t="n">
        <x:v>738.3204752604166</x:v>
      </x:c>
      <x:c r="R185" s="23" t="n">
        <x:v>725.3168131510416</x:v>
      </x:c>
      <x:c r="S185" s="23" t="n">
        <x:v>692.8030598958333</x:v>
      </x:c>
      <x:c r="T185" s="23" t="n">
        <x:v>966.8773386847357</x:v>
      </x:c>
      <x:c r="U185" s="23" t="n">
        <x:v>692.1000162760416</x:v>
      </x:c>
      <x:c r="V185" s="23" t="n">
        <x:v>694.4798990885416</x:v>
      </x:c>
      <x:c r="W185" s="23" t="n">
        <x:v>704.5975748697916</x:v>
      </x:c>
      <x:c r="X185" s="23" t="n">
        <x:v>700.9384765625</x:v>
      </x:c>
      <x:c r="Y185" s="23" t="n">
        <x:v>685.360595703125</x:v>
      </x:c>
      <x:c r="Z185" s="23" t="n">
        <x:v>687.8373209635416</x:v>
      </x:c>
      <x:c r="AA185" s="23" t="n">
        <x:v>1517.3736165364583</x:v>
      </x:c>
      <x:c r="AB185" s="23" t="n">
        <x:v>703.4737955729166</x:v>
      </x:c>
      <x:c r="AC185" s="23" t="n">
        <x:v>713.3970493306907</x:v>
      </x:c>
      <x:c r="AD185" s="23" t="n">
        <x:v>710.4808633540074</x:v>
      </x:c>
      <x:c r="AE185" s="23" t="n">
        <x:v>1517.3185221354165</x:v>
      </x:c>
      <x:c r="AF185" s="23" t="n">
        <x:v>1506.252754315796</x:v>
      </x:c>
      <x:c r="AG185" s="23" t="n">
        <x:v>1487.3433967678925</x:v>
      </x:c>
      <x:c r="AH185" s="23" t="n">
        <x:v>1450.3045336397463</x:v>
      </x:c>
      <x:c r="AI185" s="23" t="n">
        <x:v>1373.1310422206473</x:v>
      </x:c>
      <x:c r="AJ185" s="23" t="n">
        <x:v>556.7857964305902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198.806570579167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159.5119291567967</x:v>
      </x:c>
      <x:c r="BP185" s="23" t="n">
        <x:v>626.2618268983406</x:v>
      </x:c>
      <x:c r="BQ185" s="23" t="n">
        <x:v>0</x:v>
      </x:c>
      <x:c r="BR185" s="23" t="n">
        <x:v>0</x:v>
      </x:c>
      <x:c r="BS185" s="23" t="n">
        <x:v>0</x:v>
      </x:c>
      <x:c r="BT185" s="23" t="n">
        <x:v>582.3550889634973</x:v>
      </x:c>
      <x:c r="BU185" s="23" t="n">
        <x:v>553.6120527670957</x:v>
      </x:c>
      <x:c r="BV185" s="23" t="n">
        <x:v>548.5621088397977</x:v>
      </x:c>
      <x:c r="BW185" s="23" t="n">
        <x:v>559.8309051653978</x:v>
      </x:c>
      <x:c r="BX185" s="23" t="n">
        <x:v>510.70067398509184</x:v>
      </x:c>
      <x:c r="BY185" s="23" t="n">
        <x:v>551.6754417400007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221.80930761004157</x:v>
      </x:c>
      <x:c r="CN185" s="23" t="n">
        <x:v>808.9922860528868</x:v>
      </x:c>
      <x:c r="CO185" s="23" t="n">
        <x:v>282.87961330702603</x:v>
      </x:c>
      <x:c r="CP185" s="23" t="n">
        <x:v>336.79248743236747</x:v>
      </x:c>
      <x:c r="CQ185" s="23" t="n">
        <x:v>415.31194804498773</x:v>
      </x:c>
      <x:c r="CR185" s="23" t="n">
        <x:v>451.30514940634777</x:v>
      </x:c>
      <x:c r="CS185" s="23" t="n">
        <x:v>505.2563009327</x:v>
      </x:c>
      <x:c r="CT185" s="23" t="n">
        <x:v>552.7554957647402</x:v>
      </x:c>
      <x:c r="CU185" s="23" t="n">
        <x:v>599.8099127963347</x:v>
      </x:c>
      <x:c r="CV185" s="23" t="n">
        <x:v>634.7874302701093</x:v>
      </x:c>
      <x:c r="CW185" s="23" t="n">
        <x:v>685.8810234206121</x:v>
      </x:c>
      <x:c r="CX185" s="23" t="n">
        <x:v>731.5811220281705</x:v>
      </x:c>
      <x:c r="CY185" s="23" t="n">
        <x:v>782.5323041791971</x:v>
      </x:c>
      <x:c r="CZ185" s="23" t="n">
        <x:v>829.1646263129451</x:v>
      </x:c>
      <x:c r="DA185" s="23" t="n">
        <x:v>881.315489075715</x:v>
      </x:c>
      <x:c r="DB185" s="23" t="n">
        <x:v>952.7970251628758</x:v>
      </x:c>
      <x:c r="DC185" s="23" t="n">
        <x:v>996.0818005891092</x:v>
      </x:c>
      <x:c r="DD185" s="23" t="n">
        <x:v>948.8360831457705</x:v>
      </x:c>
      <x:c r="DE185" s="23" t="n">
        <x:v>778.3026194277636</x:v>
      </x:c>
      <x:c r="DF185" s="23" t="n">
        <x:v>818.3256854848644</x:v>
      </x:c>
      <x:c r="DG185" s="23" t="n">
        <x:v>865.3188795444672</x:v>
      </x:c>
      <x:c r="DH185" s="23" t="n">
        <x:v>893.9125816710645</x:v>
      </x:c>
      <x:c r="DI185" s="23" t="n">
        <x:v>963.7072313823535</x:v>
      </x:c>
      <x:c r="DJ185" s="23" t="n">
        <x:v>949.8386864999144</x:v>
      </x:c>
      <x:c r="DK185" s="23" t="n">
        <x:v>141.77071940104162</x:v>
      </x:c>
      <x:c r="DL185" s="23" t="n">
        <x:v>146.4958005072029</x:v>
      </x:c>
      <x:c r="DM185" s="23" t="n">
        <x:v>320.4900109469534</x:v>
      </x:c>
      <x:c r="DN185" s="23" t="n">
        <x:v>179.6109049479167</x:v>
      </x:c>
      <x:c r="DO185" s="23" t="n">
        <x:v>163.49033671875</x:v>
      </x:c>
      <x:c r="DP185" s="23" t="n">
        <x:v>172.18640052083325</x:v>
      </x:c>
      <x:c r="DQ185" s="23" t="n">
        <x:v>184.78173828125</x:v>
      </x:c>
      <x:c r="DR185" s="23" t="n">
        <x:v>185.00271497395835</x:v>
      </x:c>
      <x:c r="DS185" s="23" t="n">
        <x:v>159.30143072916658</x:v>
      </x:c>
      <x:c r="DT185" s="23" t="n">
        <x:v>188.42090169270824</x:v>
      </x:c>
      <x:c r="DU185" s="23" t="n">
        <x:v>206.62544121093742</x:v>
      </x:c>
      <x:c r="DV185" s="23" t="n">
        <x:v>972.2916486328123</x:v>
      </x:c>
      <x:c r="DW185" s="23" t="n">
        <x:v>946.5931803385416</x:v>
      </x:c>
      <x:c r="DX185" s="23" t="n">
        <x:v>948.58837890625</x:v>
      </x:c>
      <x:c r="DY185" s="23" t="n">
        <x:v>944.3089192708333</x:v>
      </x:c>
      <x:c r="DZ185" s="23" t="n">
        <x:v>961.8331705729166</x:v>
      </x:c>
      <x:c r="EA185" s="23" t="n">
        <x:v>984.7795766927084</x:v>
      </x:c>
      <x:c r="EB185" s="23" t="n">
        <x:v>872.8818359375</x:v>
      </x:c>
      <x:c r="EC185" s="23" t="n">
        <x:v>760.323974609375</x:v>
      </x:c>
      <x:c r="ED185" s="23" t="n">
        <x:v>1573.3416341145833</x:v>
      </x:c>
      <x:c r="EE185" s="23" t="n">
        <x:v>1611.2633463541665</x:v>
      </x:c>
      <x:c r="EF185" s="23" t="n">
        <x:v>790.435546875</x:v>
      </x:c>
      <x:c r="EG185" s="23" t="n">
        <x:v>767.5537109375</x:v>
      </x:c>
      <x:c r="EH185" s="23" t="n">
        <x:v>761.852783203125</x:v>
      </x:c>
      <x:c r="EI185" s="23" t="n">
        <x:v>746.2051595052083</x:v>
      </x:c>
      <x:c r="EJ185" s="23" t="n">
        <x:v>1606.076416015625</x:v>
      </x:c>
      <x:c r="EK185" s="23" t="n">
        <x:v>1592.2097981770833</x:v>
      </x:c>
      <x:c r="EL185" s="23" t="n">
        <x:v>753.5616048177083</x:v>
      </x:c>
      <x:c r="EM185" s="23" t="n">
        <x:v>1038.4122029722867</x:v>
      </x:c>
      <x:c r="EN185" s="23" t="n">
        <x:v>1592.1892903645833</x:v>
      </x:c>
      <x:c r="EO185" s="23" t="n">
        <x:v>1602.9312337239583</x:v>
      </x:c>
      <x:c r="EP185" s="23" t="n">
        <x:f>SUM(B185:EO185)</x:f>
        <x:v>75101.95285180808</x:v>
      </x:c>
      <x:c r="EQ185" s="23" t="n">
        <x:f>SUMPRODUCT(B185:EO185,{0.5292,0.4482,0.4459,0.4823,0.5261,0.5453,0.5228,0.5179,0.5357,0.5231,0.4886,0.4674,0.4874,0.5089,0.5205,0.5362,0.4943,0.4463,0.5081,0.5318,0.4914,0.5062,0.5223,0.5011,0.4731,0.5017,0.5581,0.5472,0.5068,0.4835,0.4871,0.4841,0.4438,0.4038,0.603,0.9309,1,0.9098,0.821,0.8006,0.8024,0.7756,0.716,0.7081,0.6945,0.5848,0.7843,1.1641,1.1565,1.0672,1.0791,1.0569,0.985,0.9339,0.9759,0.9864,0.9047,0.8164,0.9226,1.1133,1.0763,1.0351,1.0985,1.1082,0.8652,0.5184,0.4453,0.5194,0.5638,0.5168,0.456,0.4224,0.399,0.4159,0.4175,0.3408,0.4662,0.7392,0.808,0.8126,0.8298,0.806,0.9185,1.1152,1.1464,1.1248,1.1806,1.2773,1.04,0.6198,0.579,0.6954,0.7464,0.7346,0.7481,0.7947,0.8128,0.858,0.9304,0.9624,0.9613,0.9617,0.9971,1.0647,1.1274,1.1519,1.2166,1.3183,1.3672,1.3698,1.3533,1.3578,1.4834,1.6533,1.6769,1.6701,1.6877,1.6713,1.665,1.669,1.6407,1.6447,1.692,1.6873,1.4471,1.1107,1.0321,1.0566,1.0961,1.1681,0.9506,0.5623,0.4834,0.5328,0.5623,0.5969,0.5448,0.4461,0.453,0.5157,0.5583,0.5481,0.5228,0.5148})</x:f>
        <x:v>53714.10172111258</x:v>
      </x:c>
    </x:row>
    <x:row r="186" ht="14" customHeight="1">
      <x:c r="A186" s="3">
        <x:v>45873</x:v>
      </x:c>
      <x:c r="B186" s="23" t="n">
        <x:v>756.6200358072916</x:v>
      </x:c>
      <x:c r="C186" s="23" t="n">
        <x:v>742.1917317708333</x:v>
      </x:c>
      <x:c r="D186" s="23" t="n">
        <x:v>721.615234375</x:v>
      </x:c>
      <x:c r="E186" s="23" t="n">
        <x:v>723.28076171875</x:v>
      </x:c>
      <x:c r="F186" s="23" t="n">
        <x:v>733.8352864583333</x:v>
      </x:c>
      <x:c r="G186" s="23" t="n">
        <x:v>737.9383138020833</x:v>
      </x:c>
      <x:c r="H186" s="23" t="n">
        <x:v>738.3711751302083</x:v>
      </x:c>
      <x:c r="I186" s="23" t="n">
        <x:v>736.6695963541666</x:v>
      </x:c>
      <x:c r="J186" s="23" t="n">
        <x:v>721.5485026041666</x:v>
      </x:c>
      <x:c r="K186" s="23" t="n">
        <x:v>721.9763997395833</x:v>
      </x:c>
      <x:c r="L186" s="23" t="n">
        <x:v>720.2089029947916</x:v>
      </x:c>
      <x:c r="M186" s="23" t="n">
        <x:v>731.5579427083333</x:v>
      </x:c>
      <x:c r="N186" s="23" t="n">
        <x:v>744.7338053385416</x:v>
      </x:c>
      <x:c r="O186" s="23" t="n">
        <x:v>740.7952473958333</x:v>
      </x:c>
      <x:c r="P186" s="23" t="n">
        <x:v>718.9293619791666</x:v>
      </x:c>
      <x:c r="Q186" s="23" t="n">
        <x:v>717.63525390625</x:v>
      </x:c>
      <x:c r="R186" s="23" t="n">
        <x:v>711.8111165364583</x:v>
      </x:c>
      <x:c r="S186" s="23" t="n">
        <x:v>707.1394856770833</x:v>
      </x:c>
      <x:c r="T186" s="23" t="n">
        <x:v>710.404052734375</x:v>
      </x:c>
      <x:c r="U186" s="23" t="n">
        <x:v>712.0171712239583</x:v>
      </x:c>
      <x:c r="V186" s="23" t="n">
        <x:v>683.675048828125</x:v>
      </x:c>
      <x:c r="W186" s="23" t="n">
        <x:v>680.8616536458333</x:v>
      </x:c>
      <x:c r="X186" s="23" t="n">
        <x:v>1512.8297932942708</x:v>
      </x:c>
      <x:c r="Y186" s="23" t="n">
        <x:v>1510.6202799479165</x:v>
      </x:c>
      <x:c r="Z186" s="23" t="n">
        <x:v>704.0160319010416</x:v>
      </x:c>
      <x:c r="AA186" s="23" t="n">
        <x:v>1530.7743326822915</x:v>
      </x:c>
      <x:c r="AB186" s="23" t="n">
        <x:v>1517.2953287760415</x:v>
      </x:c>
      <x:c r="AC186" s="23" t="n">
        <x:v>1530.0641020108305</x:v>
      </x:c>
      <x:c r="AD186" s="23" t="n">
        <x:v>696.1442599186512</x:v>
      </x:c>
      <x:c r="AE186" s="23" t="n">
        <x:v>676.2592366536458</x:v>
      </x:c>
      <x:c r="AF186" s="23" t="n">
        <x:v>666.8991482854532</x:v>
      </x:c>
      <x:c r="AG186" s="23" t="n">
        <x:v>649.8104840054071</x:v>
      </x:c>
      <x:c r="AH186" s="23" t="n">
        <x:v>1256.659841699267</x:v>
      </x:c>
      <x:c r="AI186" s="23" t="n">
        <x:v>1397.0852797368284</x:v>
      </x:c>
      <x:c r="AJ186" s="23" t="n">
        <x:v>599.8912026083423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176.39813653995716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621.1997607023201</x:v>
      </x:c>
      <x:c r="BQ186" s="23" t="n">
        <x:v>0</x:v>
      </x:c>
      <x:c r="BR186" s="23" t="n">
        <x:v>0</x:v>
      </x:c>
      <x:c r="BS186" s="23" t="n">
        <x:v>36.94056765306989</x:v>
      </x:c>
      <x:c r="BT186" s="23" t="n">
        <x:v>531.8810928932264</x:v>
      </x:c>
      <x:c r="BU186" s="23" t="n">
        <x:v>0</x:v>
      </x:c>
      <x:c r="BV186" s="23" t="n">
        <x:v>0</x:v>
      </x:c>
      <x:c r="BW186" s="23" t="n">
        <x:v>0</x:v>
      </x:c>
      <x:c r="BX186" s="23" t="n">
        <x:v>436.30859754235127</x:v>
      </x:c>
      <x:c r="BY186" s="23" t="n">
        <x:v>457.92583858066365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144.98932324440344</x:v>
      </x:c>
      <x:c r="CN186" s="23" t="n">
        <x:v>414.86662278683275</x:v>
      </x:c>
      <x:c r="CO186" s="23" t="n">
        <x:v>240.42168191808798</x:v>
      </x:c>
      <x:c r="CP186" s="23" t="n">
        <x:v>297.89734127505864</x:v>
      </x:c>
      <x:c r="CQ186" s="23" t="n">
        <x:v>342.9696298690736</x:v>
      </x:c>
      <x:c r="CR186" s="23" t="n">
        <x:v>397.533684299014</x:v>
      </x:c>
      <x:c r="CS186" s="23" t="n">
        <x:v>446.04614969885944</x:v>
      </x:c>
      <x:c r="CT186" s="23" t="n">
        <x:v>498.8899506022741</x:v>
      </x:c>
      <x:c r="CU186" s="23" t="n">
        <x:v>552.0134332958446</x:v>
      </x:c>
      <x:c r="CV186" s="23" t="n">
        <x:v>601.4375879369023</x:v>
      </x:c>
      <x:c r="CW186" s="23" t="n">
        <x:v>653.2727480257106</x:v>
      </x:c>
      <x:c r="CX186" s="23" t="n">
        <x:v>706.9594472172828</x:v>
      </x:c>
      <x:c r="CY186" s="23" t="n">
        <x:v>757.014691451806</x:v>
      </x:c>
      <x:c r="CZ186" s="23" t="n">
        <x:v>803.0307735804734</x:v>
      </x:c>
      <x:c r="DA186" s="23" t="n">
        <x:v>851.6273733089545</x:v>
      </x:c>
      <x:c r="DB186" s="23" t="n">
        <x:v>903.0628708396596</x:v>
      </x:c>
      <x:c r="DC186" s="23" t="n">
        <x:v>953.9069030504445</x:v>
      </x:c>
      <x:c r="DD186" s="23" t="n">
        <x:v>925.5617316375534</x:v>
      </x:c>
      <x:c r="DE186" s="23" t="n">
        <x:v>796.9738177998006</x:v>
      </x:c>
      <x:c r="DF186" s="23" t="n">
        <x:v>802.9869516214736</x:v>
      </x:c>
      <x:c r="DG186" s="23" t="n">
        <x:v>862.8228632040043</x:v>
      </x:c>
      <x:c r="DH186" s="23" t="n">
        <x:v>891.9961970135555</x:v>
      </x:c>
      <x:c r="DI186" s="23" t="n">
        <x:v>933.3713101751</x:v>
      </x:c>
      <x:c r="DJ186" s="23" t="n">
        <x:v>952.5966492295984</x:v>
      </x:c>
      <x:c r="DK186" s="23" t="n">
        <x:v>282.54418490341124</x:v>
      </x:c>
      <x:c r="DL186" s="23" t="n">
        <x:v>178.5448291949689</x:v>
      </x:c>
      <x:c r="DM186" s="23" t="n">
        <x:v>195.97247709463664</x:v>
      </x:c>
      <x:c r="DN186" s="23" t="n">
        <x:v>192.38951106770838</x:v>
      </x:c>
      <x:c r="DO186" s="23" t="n">
        <x:v>190.664975859375</x:v>
      </x:c>
      <x:c r="DP186" s="23" t="n">
        <x:v>189.47358250000008</x:v>
      </x:c>
      <x:c r="DQ186" s="23" t="n">
        <x:v>186.72861914062497</x:v>
      </x:c>
      <x:c r="DR186" s="23" t="n">
        <x:v>175.2872977604167</x:v>
      </x:c>
      <x:c r="DS186" s="23" t="n">
        <x:v>150.3828715625</x:v>
      </x:c>
      <x:c r="DT186" s="23" t="n">
        <x:v>161.02701302083338</x:v>
      </x:c>
      <x:c r="DU186" s="23" t="n">
        <x:v>176.76288925781242</x:v>
      </x:c>
      <x:c r="DV186" s="23" t="n">
        <x:v>963.9120279947916</x:v>
      </x:c>
      <x:c r="DW186" s="23" t="n">
        <x:v>967.3108723958333</x:v>
      </x:c>
      <x:c r="DX186" s="23" t="n">
        <x:v>970.8701171875</x:v>
      </x:c>
      <x:c r="DY186" s="23" t="n">
        <x:v>980.9451497395833</x:v>
      </x:c>
      <x:c r="DZ186" s="23" t="n">
        <x:v>978.3068033854166</x:v>
      </x:c>
      <x:c r="EA186" s="23" t="n">
        <x:v>979.8891914583335</x:v>
      </x:c>
      <x:c r="EB186" s="23" t="n">
        <x:v>919.4740397135416</x:v>
      </x:c>
      <x:c r="EC186" s="23" t="n">
        <x:v>787.4844563802083</x:v>
      </x:c>
      <x:c r="ED186" s="23" t="n">
        <x:v>1608.7881673177083</x:v>
      </x:c>
      <x:c r="EE186" s="23" t="n">
        <x:v>1051.8655128761573</x:v>
      </x:c>
      <x:c r="EF186" s="23" t="n">
        <x:v>1610.8141276041665</x:v>
      </x:c>
      <x:c r="EG186" s="23" t="n">
        <x:v>1617.7862955729165</x:v>
      </x:c>
      <x:c r="EH186" s="23" t="n">
        <x:v>779.069580078125</x:v>
      </x:c>
      <x:c r="EI186" s="23" t="n">
        <x:v>724.6931966145833</x:v>
      </x:c>
      <x:c r="EJ186" s="23" t="n">
        <x:v>1596.9869791666665</x:v>
      </x:c>
      <x:c r="EK186" s="23" t="n">
        <x:v>1589.4098307291665</x:v>
      </x:c>
      <x:c r="EL186" s="23" t="n">
        <x:v>766.2645670572916</x:v>
      </x:c>
      <x:c r="EM186" s="23" t="n">
        <x:v>756.970703125</x:v>
      </x:c>
      <x:c r="EN186" s="23" t="n">
        <x:v>763.7661946614583</x:v>
      </x:c>
      <x:c r="EO186" s="23" t="n">
        <x:v>1601.8035481770833</x:v>
      </x:c>
      <x:c r="EP186" s="23" t="n">
        <x:f>SUM(B186:EO186)</x:f>
        <x:v>72251.25874184036</x:v>
      </x:c>
      <x:c r="EQ186" s="23" t="n">
        <x:f>SUMPRODUCT(B186:EO186,{0.5307,0.563,0.5718,0.5222,0.5133,0.5264,0.4516,0.4123,0.4526,0.4917,0.5074,0.5109,0.5188,0.5053,0.4865,0.5069,0.5161,0.4856,0.4439,0.457,0.5114,0.528,0.5219,0.5201,0.5298,0.529,0.5184,0.516,0.4906,0.4552,0.4677,0.5326,0.5291,0.374,0.5483,0.9439,0.9539,0.8834,0.8939,0.832,0.7994,0.8231,0.8089,0.751,0.6514,0.5631,0.782,1.1456,1.157,1.0486,1.023,1.049,1.0384,0.9926,0.9825,0.9539,0.9044,0.9096,1.0133,1.1265,1.1055,1.0793,1.1311,1.1713,0.9045,0.5038,0.4625,0.4936,0.4533,0.4823,0.4891,0.4391,0.4098,0.4476,0.4689,0.379,0.5034,0.8077,0.909,0.8891,0.8575,0.8496,0.973,1.1541,1.1873,1.142,1.165,1.2882,1.0887,0.7026,0.7132,0.8142,0.8069,0.8027,0.8099,0.8481,0.9458,1.009,0.9782,0.8929,0.9162,1.0354,1.0831,1.0922,1.0891,1.0774,1.1926,1.3546,1.3368,1.3147,1.3558,1.3684,1.4643,1.6137,1.641,1.567,1.5282,1.6409,1.6947,1.6381,1.6173,1.6082,1.6271,1.6894,1.4872,1.1255,1.0462,1.0686,1.0934,1.1624,0.9389,0.5455,0.4805,0.5283,0.5308,0.5485,0.5519,0.5458,0.5699,0.5673,0.531,0.5187,0.5455,0.5816})</x:f>
        <x:v>53013.15824147921</x:v>
      </x:c>
    </x:row>
    <x:row r="187" ht="14" customHeight="1">
      <x:c r="A187" s="3">
        <x:v>45874</x:v>
      </x:c>
      <x:c r="B187" s="23" t="n">
        <x:v>758.0786946614583</x:v>
      </x:c>
      <x:c r="C187" s="23" t="n">
        <x:v>759.8255208333333</x:v>
      </x:c>
      <x:c r="D187" s="23" t="n">
        <x:v>0</x:v>
      </x:c>
      <x:c r="E187" s="23" t="n">
        <x:v>752.8863932291666</x:v>
      </x:c>
      <x:c r="F187" s="23" t="n">
        <x:v>742.2737630208333</x:v>
      </x:c>
      <x:c r="G187" s="23" t="n">
        <x:v>725.8568522135416</x:v>
      </x:c>
      <x:c r="H187" s="23" t="n">
        <x:v>705.1155598958333</x:v>
      </x:c>
      <x:c r="I187" s="23" t="n">
        <x:v>713.351318359375</x:v>
      </x:c>
      <x:c r="J187" s="23" t="n">
        <x:v>739.6605631510416</x:v>
      </x:c>
      <x:c r="K187" s="23" t="n">
        <x:v>724.9041341145833</x:v>
      </x:c>
      <x:c r="L187" s="23" t="n">
        <x:v>729.0165201822916</x:v>
      </x:c>
      <x:c r="M187" s="23" t="n">
        <x:v>740.1974283854166</x:v>
      </x:c>
      <x:c r="N187" s="23" t="n">
        <x:v>734.5282389322916</x:v>
      </x:c>
      <x:c r="O187" s="23" t="n">
        <x:v>702.9016927083333</x:v>
      </x:c>
      <x:c r="P187" s="23" t="n">
        <x:v>1522.0403645833333</x:v>
      </x:c>
      <x:c r="Q187" s="23" t="n">
        <x:v>1542.9693196614583</x:v>
      </x:c>
      <x:c r="R187" s="23" t="n">
        <x:v>707.7132161458333</x:v>
      </x:c>
      <x:c r="S187" s="23" t="n">
        <x:v>683.9762369791666</x:v>
      </x:c>
      <x:c r="T187" s="23" t="n">
        <x:v>698.6112467447916</x:v>
      </x:c>
      <x:c r="U187" s="23" t="n">
        <x:v>726.57421875</x:v>
      </x:c>
      <x:c r="V187" s="23" t="n">
        <x:v>714.5489095052083</x:v>
      </x:c>
      <x:c r="W187" s="23" t="n">
        <x:v>707.2264811197916</x:v>
      </x:c>
      <x:c r="X187" s="23" t="n">
        <x:v>715.1863606770833</x:v>
      </x:c>
      <x:c r="Y187" s="23" t="n">
        <x:v>709.6852213541666</x:v>
      </x:c>
      <x:c r="Z187" s="23" t="n">
        <x:v>699.8216145833333</x:v>
      </x:c>
      <x:c r="AA187" s="23" t="n">
        <x:v>1521.6150716145833</x:v>
      </x:c>
      <x:c r="AB187" s="23" t="n">
        <x:v>1237.3753181809416</x:v>
      </x:c>
      <x:c r="AC187" s="23" t="n">
        <x:v>1515.2568840548433</x:v>
      </x:c>
      <x:c r="AD187" s="23" t="n">
        <x:v>1505.1692197961759</x:v>
      </x:c>
      <x:c r="AE187" s="23" t="n">
        <x:v>670.8533121744791</x:v>
      </x:c>
      <x:c r="AF187" s="23" t="n">
        <x:v>658.4595573210798</x:v>
      </x:c>
      <x:c r="AG187" s="23" t="n">
        <x:v>640.1145856024319</x:v>
      </x:c>
      <x:c r="AH187" s="23" t="n">
        <x:v>1444.8638737912263</x:v>
      </x:c>
      <x:c r="AI187" s="23" t="n">
        <x:v>1407.4131095274663</x:v>
      </x:c>
      <x:c r="AJ187" s="23" t="n">
        <x:v>596.5398868215044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162.61609318849014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6.55124719257166</x:v>
      </x:c>
      <x:c r="BU187" s="23" t="n">
        <x:v>499.7947669214603</x:v>
      </x:c>
      <x:c r="BV187" s="23" t="n">
        <x:v>477.8431605836134</x:v>
      </x:c>
      <x:c r="BW187" s="23" t="n">
        <x:v>457.49940864890686</x:v>
      </x:c>
      <x:c r="BX187" s="23" t="n">
        <x:v>0</x:v>
      </x:c>
      <x:c r="BY187" s="23" t="n">
        <x:v>458.19009188457187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145.56197783747376</x:v>
      </x:c>
      <x:c r="CN187" s="23" t="n">
        <x:v>414.4361508426929</x:v>
      </x:c>
      <x:c r="CO187" s="23" t="n">
        <x:v>266.2113621725422</x:v>
      </x:c>
      <x:c r="CP187" s="23" t="n">
        <x:v>341.1824459051892</x:v>
      </x:c>
      <x:c r="CQ187" s="23" t="n">
        <x:v>388.62259250086265</x:v>
      </x:c>
      <x:c r="CR187" s="23" t="n">
        <x:v>432.89867708669954</x:v>
      </x:c>
      <x:c r="CS187" s="23" t="n">
        <x:v>481.6582288859905</x:v>
      </x:c>
      <x:c r="CT187" s="23" t="n">
        <x:v>531.2391589533952</x:v>
      </x:c>
      <x:c r="CU187" s="23" t="n">
        <x:v>575.443994271741</x:v>
      </x:c>
      <x:c r="CV187" s="23" t="n">
        <x:v>617.5293045435316</x:v>
      </x:c>
      <x:c r="CW187" s="23" t="n">
        <x:v>658.8855947197703</x:v>
      </x:c>
      <x:c r="CX187" s="23" t="n">
        <x:v>705.3321396382358</x:v>
      </x:c>
      <x:c r="CY187" s="23" t="n">
        <x:v>763.2193662153678</x:v>
      </x:c>
      <x:c r="CZ187" s="23" t="n">
        <x:v>811.3840375972737</x:v>
      </x:c>
      <x:c r="DA187" s="23" t="n">
        <x:v>861.8481940777838</x:v>
      </x:c>
      <x:c r="DB187" s="23" t="n">
        <x:v>912.118835358098</x:v>
      </x:c>
      <x:c r="DC187" s="23" t="n">
        <x:v>978.9142590982076</x:v>
      </x:c>
      <x:c r="DD187" s="23" t="n">
        <x:v>930.2291507580123</x:v>
      </x:c>
      <x:c r="DE187" s="23" t="n">
        <x:v>782.3034622619454</x:v>
      </x:c>
      <x:c r="DF187" s="23" t="n">
        <x:v>815.6930375265239</x:v>
      </x:c>
      <x:c r="DG187" s="23" t="n">
        <x:v>864.5381330322061</x:v>
      </x:c>
      <x:c r="DH187" s="23" t="n">
        <x:v>888.0334171043302</x:v>
      </x:c>
      <x:c r="DI187" s="23" t="n">
        <x:v>936.1487839740312</x:v>
      </x:c>
      <x:c r="DJ187" s="23" t="n">
        <x:v>950.5650931999068</x:v>
      </x:c>
      <x:c r="DK187" s="23" t="n">
        <x:v>184.28398654761742</x:v>
      </x:c>
      <x:c r="DL187" s="23" t="n">
        <x:v>151.15640337509132</x:v>
      </x:c>
      <x:c r="DM187" s="23" t="n">
        <x:v>172.84002564190556</x:v>
      </x:c>
      <x:c r="DN187" s="23" t="n">
        <x:v>164.71592252604174</x:v>
      </x:c>
      <x:c r="DO187" s="23" t="n">
        <x:v>162.39930942708344</x:v>
      </x:c>
      <x:c r="DP187" s="23" t="n">
        <x:v>173.9911498697917</x:v>
      </x:c>
      <x:c r="DQ187" s="23" t="n">
        <x:v>175.4218632812499</x:v>
      </x:c>
      <x:c r="DR187" s="23" t="n">
        <x:v>171.20656859375003</x:v>
      </x:c>
      <x:c r="DS187" s="23" t="n">
        <x:v>269.8418542672531</x:v>
      </x:c>
      <x:c r="DT187" s="23" t="n">
        <x:v>139.52201497395828</x:v>
      </x:c>
      <x:c r="DU187" s="23" t="n">
        <x:v>160.03053611979172</x:v>
      </x:c>
      <x:c r="DV187" s="23" t="n">
        <x:v>963.5181477864583</x:v>
      </x:c>
      <x:c r="DW187" s="23" t="n">
        <x:v>959.0310872395833</x:v>
      </x:c>
      <x:c r="DX187" s="23" t="n">
        <x:v>969.5272218203446</x:v>
      </x:c>
      <x:c r="DY187" s="23" t="n">
        <x:v>970.5387369791666</x:v>
      </x:c>
      <x:c r="DZ187" s="23" t="n">
        <x:v>962.92578125</x:v>
      </x:c>
      <x:c r="EA187" s="23" t="n">
        <x:v>977.2298828125</x:v>
      </x:c>
      <x:c r="EB187" s="23" t="n">
        <x:v>913.64013671875</x:v>
      </x:c>
      <x:c r="EC187" s="23" t="n">
        <x:v>769.1982421875</x:v>
      </x:c>
      <x:c r="ED187" s="23" t="n">
        <x:v>1586.6178385416665</x:v>
      </x:c>
      <x:c r="EE187" s="23" t="n">
        <x:v>791.4766438802083</x:v>
      </x:c>
      <x:c r="EF187" s="23" t="n">
        <x:v>777.5917154947916</x:v>
      </x:c>
      <x:c r="EG187" s="23" t="n">
        <x:v>791.424072265625</x:v>
      </x:c>
      <x:c r="EH187" s="23" t="n">
        <x:v>1608.2138671875</x:v>
      </x:c>
      <x:c r="EI187" s="23" t="n">
        <x:v>1591.3707682291665</x:v>
      </x:c>
      <x:c r="EJ187" s="23" t="n">
        <x:v>1610.1571451822915</x:v>
      </x:c>
      <x:c r="EK187" s="23" t="n">
        <x:v>1606.066650390625</x:v>
      </x:c>
      <x:c r="EL187" s="23" t="n">
        <x:v>1050.421339699074</x:v>
      </x:c>
      <x:c r="EM187" s="23" t="n">
        <x:v>1603.1771647135415</x:v>
      </x:c>
      <x:c r="EN187" s="23" t="n">
        <x:v>770.239013671875</x:v>
      </x:c>
      <x:c r="EO187" s="23" t="n">
        <x:v>775.4838053385416</x:v>
      </x:c>
      <x:c r="EP187" s="23" t="n">
        <x:f>SUM(B187:EO187)</x:f>
        <x:v>72244.36175067056</x:v>
      </x:c>
      <x:c r="EQ187" s="23" t="n">
        <x:f>SUMPRODUCT(B187:EO187,{0.5767,0.5351,0.4983,0.5076,0.5127,0.5087,0.5348,0.5365,0.5241,0.5574,0.5446,0.4942,0.5077,0.5086,0.5062,0.5786,0.5647,0.4857,0.5241,0.5389,0.4914,0.4979,0.5472,0.5683,0.5036,0.4506,0.4727,0.5396,0.5408,0.48,0.4597,0.4469,0.4078,0.392,0.6236,0.9409,0.9296,0.8665,0.8991,0.9,0.8685,0.8066,0.7153,0.7114,0.7159,0.5819,0.762,1.1605,1.1967,1.1417,1.1369,1.0418,0.9815,0.9865,0.9568,0.9282,0.9126,0.901,1.0269,1.188,1.1327,1.0903,1.155,1.1556,0.9059,0.5578,0.4703,0.4836,0.4716,0.4674,0.4696,0.4376,0.3459,0.3346,0.3887,0.3861,0.5443,0.8101,0.8718,0.8143,0.7732,0.8197,0.9708,1.1354,1.177,1.1565,1.1812,1.2593,1.043,0.6811,0.6953,0.7751,0.7599,0.8,0.8372,0.8385,0.8458,0.8737,0.92,0.9699,0.9958,0.9974,1.0009,1.0157,1.0376,1.0697,1.1746,1.3036,1.3344,1.3535,1.3829,1.3817,1.5168,1.6982,1.6532,1.6059,1.6578,1.6842,1.6587,1.6286,1.6489,1.6276,1.6147,1.7018,1.4624,1.045,1.0501,1.0813,1.0302,1.1447,0.9492,0.5256,0.4815,0.5606,0.5595,0.5425,0.5376,0.5377,0.5261,0.54,0.5757,0.5869,0.5716,0.5395})</x:f>
        <x:v>52681.945641109996</x:v>
      </x:c>
    </x:row>
    <x:row r="188" ht="14" customHeight="1">
      <x:c r="A188" s="3">
        <x:v>45875</x:v>
      </x:c>
      <x:c r="B188" s="23" t="n">
        <x:v>762.333984375</x:v>
      </x:c>
      <x:c r="C188" s="23" t="n">
        <x:v>907.8662434101285</x:v>
      </x:c>
      <x:c r="D188" s="23" t="n">
        <x:v>734.9408365885416</x:v>
      </x:c>
      <x:c r="E188" s="23" t="n">
        <x:v>759.251953125</x:v>
      </x:c>
      <x:c r="F188" s="23" t="n">
        <x:v>749.4261881510416</x:v>
      </x:c>
      <x:c r="G188" s="23" t="n">
        <x:v>744.7081705729166</x:v>
      </x:c>
      <x:c r="H188" s="23" t="n">
        <x:v>739.25146484375</x:v>
      </x:c>
      <x:c r="I188" s="23" t="n">
        <x:v>731.7276204427083</x:v>
      </x:c>
      <x:c r="J188" s="23" t="n">
        <x:v>1541.4527180989583</x:v>
      </x:c>
      <x:c r="K188" s="23" t="n">
        <x:v>722.4867350260416</x:v>
      </x:c>
      <x:c r="L188" s="23" t="n">
        <x:v>725.1996256510416</x:v>
      </x:c>
      <x:c r="M188" s="23" t="n">
        <x:v>703.9075520833333</x:v>
      </x:c>
      <x:c r="N188" s="23" t="n">
        <x:v>727.438720703125</x:v>
      </x:c>
      <x:c r="O188" s="23" t="n">
        <x:v>727.3008626302083</x:v>
      </x:c>
      <x:c r="P188" s="23" t="n">
        <x:v>701.331787109375</x:v>
      </x:c>
      <x:c r="Q188" s="23" t="n">
        <x:v>696.35009765625</x:v>
      </x:c>
      <x:c r="R188" s="23" t="n">
        <x:v>691.71435546875</x:v>
      </x:c>
      <x:c r="S188" s="23" t="n">
        <x:v>713.6018880208333</x:v>
      </x:c>
      <x:c r="T188" s="23" t="n">
        <x:v>707.9004720052083</x:v>
      </x:c>
      <x:c r="U188" s="23" t="n">
        <x:v>708.2459309895833</x:v>
      </x:c>
      <x:c r="V188" s="23" t="n">
        <x:v>698.38818359375</x:v>
      </x:c>
      <x:c r="W188" s="23" t="n">
        <x:v>708.7577311197916</x:v>
      </x:c>
      <x:c r="X188" s="23" t="n">
        <x:v>706.2610677083333</x:v>
      </x:c>
      <x:c r="Y188" s="23" t="n">
        <x:v>710.8343098958333</x:v>
      </x:c>
      <x:c r="Z188" s="23" t="n">
        <x:v>703.5530598958333</x:v>
      </x:c>
      <x:c r="AA188" s="23" t="n">
        <x:v>701.4110514322916</x:v>
      </x:c>
      <x:c r="AB188" s="23" t="n">
        <x:v>1535.7083333333333</x:v>
      </x:c>
      <x:c r="AC188" s="23" t="n">
        <x:v>697.8238932291666</x:v>
      </x:c>
      <x:c r="AD188" s="23" t="n">
        <x:v>680.5755847057184</x:v>
      </x:c>
      <x:c r="AE188" s="23" t="n">
        <x:v>1511.340372721354</x:v>
      </x:c>
      <x:c r="AF188" s="23" t="n">
        <x:v>1492.5992745029482</x:v>
      </x:c>
      <x:c r="AG188" s="23" t="n">
        <x:v>654.9489485038406</x:v>
      </x:c>
      <x:c r="AH188" s="23" t="n">
        <x:v>1451.5402559419058</x:v>
      </x:c>
      <x:c r="AI188" s="23" t="n">
        <x:v>1403.4707097109933</x:v>
      </x:c>
      <x:c r="AJ188" s="23" t="n">
        <x:v>566.0880302219343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0</x:v>
      </x:c>
      <x:c r="BV188" s="23" t="n">
        <x:v>0</x:v>
      </x:c>
      <x:c r="BW188" s="23" t="n">
        <x:v>122.27696894268834</x:v>
      </x:c>
      <x:c r="BX188" s="23" t="n">
        <x:v>446.3555086137288</x:v>
      </x:c>
      <x:c r="BY188" s="23" t="n">
        <x:v>473.3130588274501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112.38130902233145</x:v>
      </x:c>
      <x:c r="CN188" s="23" t="n">
        <x:v>277.6534406369399</x:v>
      </x:c>
      <x:c r="CO188" s="23" t="n">
        <x:v>247.61299287099794</x:v>
      </x:c>
      <x:c r="CP188" s="23" t="n">
        <x:v>303.1643940828485</x:v>
      </x:c>
      <x:c r="CQ188" s="23" t="n">
        <x:v>340.8912286604997</x:v>
      </x:c>
      <x:c r="CR188" s="23" t="n">
        <x:v>380.9639259117048</x:v>
      </x:c>
      <x:c r="CS188" s="23" t="n">
        <x:v>429.77468430279225</x:v>
      </x:c>
      <x:c r="CT188" s="23" t="n">
        <x:v>498.94493399303803</x:v>
      </x:c>
      <x:c r="CU188" s="23" t="n">
        <x:v>551.7308662126209</x:v>
      </x:c>
      <x:c r="CV188" s="23" t="n">
        <x:v>600.9014893360932</x:v>
      </x:c>
      <x:c r="CW188" s="23" t="n">
        <x:v>651.5017709779305</x:v>
      </x:c>
      <x:c r="CX188" s="23" t="n">
        <x:v>697.5349599761234</x:v>
      </x:c>
      <x:c r="CY188" s="23" t="n">
        <x:v>748.6491748683309</x:v>
      </x:c>
      <x:c r="CZ188" s="23" t="n">
        <x:v>801.3654738274295</x:v>
      </x:c>
      <x:c r="DA188" s="23" t="n">
        <x:v>856.3185879184027</x:v>
      </x:c>
      <x:c r="DB188" s="23" t="n">
        <x:v>896.3653119787393</x:v>
      </x:c>
      <x:c r="DC188" s="23" t="n">
        <x:v>971.4762487602981</x:v>
      </x:c>
      <x:c r="DD188" s="23" t="n">
        <x:v>924.9651036671423</x:v>
      </x:c>
      <x:c r="DE188" s="23" t="n">
        <x:v>785.3517459622626</x:v>
      </x:c>
      <x:c r="DF188" s="23" t="n">
        <x:v>809.0689275523127</x:v>
      </x:c>
      <x:c r="DG188" s="23" t="n">
        <x:v>861.0918378128697</x:v>
      </x:c>
      <x:c r="DH188" s="23" t="n">
        <x:v>890.0457011517389</x:v>
      </x:c>
      <x:c r="DI188" s="23" t="n">
        <x:v>932.4826902718502</x:v>
      </x:c>
      <x:c r="DJ188" s="23" t="n">
        <x:v>953.3415103389713</x:v>
      </x:c>
      <x:c r="DK188" s="23" t="n">
        <x:v>175.61316949032576</x:v>
      </x:c>
      <x:c r="DL188" s="23" t="n">
        <x:v>162.82751627066455</x:v>
      </x:c>
      <x:c r="DM188" s="23" t="n">
        <x:v>315.2530760197249</x:v>
      </x:c>
      <x:c r="DN188" s="23" t="n">
        <x:v>150.10736132812508</x:v>
      </x:c>
      <x:c r="DO188" s="23" t="n">
        <x:v>166.78708611979178</x:v>
      </x:c>
      <x:c r="DP188" s="23" t="n">
        <x:v>164.65191226562501</x:v>
      </x:c>
      <x:c r="DQ188" s="23" t="n">
        <x:v>163.60946679687504</x:v>
      </x:c>
      <x:c r="DR188" s="23" t="n">
        <x:v>170.10322513020824</x:v>
      </x:c>
      <x:c r="DS188" s="23" t="n">
        <x:v>144.51589052083332</x:v>
      </x:c>
      <x:c r="DT188" s="23" t="n">
        <x:v>130.118216796875</x:v>
      </x:c>
      <x:c r="DU188" s="23" t="n">
        <x:v>141.65673200520828</x:v>
      </x:c>
      <x:c r="DV188" s="23" t="n">
        <x:v>947.4326171875</x:v>
      </x:c>
      <x:c r="DW188" s="23" t="n">
        <x:v>947.39519570634</x:v>
      </x:c>
      <x:c r="DX188" s="23" t="n">
        <x:v>986.4990190168467</x:v>
      </x:c>
      <x:c r="DY188" s="23" t="n">
        <x:v>969.6153971354166</x:v>
      </x:c>
      <x:c r="DZ188" s="23" t="n">
        <x:v>952.2975260416666</x:v>
      </x:c>
      <x:c r="EA188" s="23" t="n">
        <x:v>968.1018590494791</x:v>
      </x:c>
      <x:c r="EB188" s="23" t="n">
        <x:v>905.2085774739583</x:v>
      </x:c>
      <x:c r="EC188" s="23" t="n">
        <x:v>782.1217447916666</x:v>
      </x:c>
      <x:c r="ED188" s="23" t="n">
        <x:v>1608.7001953125</x:v>
      </x:c>
      <x:c r="EE188" s="23" t="n">
        <x:v>781.467529296875</x:v>
      </x:c>
      <x:c r="EF188" s="23" t="n">
        <x:v>769.3226725260416</x:v>
      </x:c>
      <x:c r="EG188" s="23" t="n">
        <x:v>1588.82080078125</x:v>
      </x:c>
      <x:c r="EH188" s="23" t="n">
        <x:v>1604.5078125</x:v>
      </x:c>
      <x:c r="EI188" s="23" t="n">
        <x:v>774.7093098958333</x:v>
      </x:c>
      <x:c r="EJ188" s="23" t="n">
        <x:v>1581.581787109375</x:v>
      </x:c>
      <x:c r="EK188" s="23" t="n">
        <x:v>1569.1793619791665</x:v>
      </x:c>
      <x:c r="EL188" s="23" t="n">
        <x:v>762.6564127604166</x:v>
      </x:c>
      <x:c r="EM188" s="23" t="n">
        <x:v>1045.3150959281766</x:v>
      </x:c>
      <x:c r="EN188" s="23" t="n">
        <x:v>1603.086181640625</x:v>
      </x:c>
      <x:c r="EO188" s="23" t="n">
        <x:v>770.1729329427083</x:v>
      </x:c>
      <x:c r="EP188" s="23" t="n">
        <x:f>SUM(B188:EO188)</x:f>
        <x:v>70088.69754176703</x:v>
      </x:c>
      <x:c r="EQ188" s="23" t="n">
        <x:f>SUMPRODUCT(B188:EO188,{0.5077,0.5178,0.5442,0.5173,0.4882,0.5097,0.5773,0.5782,0.5171,0.5079,0.5271,0.536,0.5243,0.5112,0.5123,0.5269,0.5317,0.5163,0.4919,0.4809,0.5026,0.547,0.5196,0.4524,0.47,0.4795,0.4471,0.441,0.4785,0.5218,0.5165,0.5043,0.4785,0.4338,0.6365,0.9452,0.9307,0.9033,0.9433,0.8239,0.7556,0.7742,0.7068,0.6911,0.7071,0.625,0.8083,1.1677,1.2074,1.1137,1.0615,1.0357,1.0117,0.9736,0.9274,0.9272,0.9269,0.8518,0.9413,1.1263,1.087,1.0449,1.1325,1.2048,0.9451,0.5154,0.423,0.4918,0.539,0.5439,0.4593,0.3616,0.3925,0.4347,0.419,0.4176,0.596,0.8522,0.9094,0.9386,0.987,0.9453,1.0209,1.1892,1.2057,1.1987,1.2735,1.3563,1.1544,0.812,0.791,0.8709,0.8828,0.8814,0.9033,0.9324,0.9333,0.9705,1.0016,0.9217,0.8955,0.9668,1.0199,1.0605,1.0858,1.0883,1.1932,1.352,1.3873,1.4238,1.4648,1.4027,1.4686,1.6297,1.6121,1.573,1.6058,1.6377,1.6343,1.6323,1.6809,1.6543,1.6176,1.7116,1.4697,1.0468,1.0937,1.1681,1.1177,1.1883,0.9601,0.5357,0.4928,0.5438,0.5225,0.5561,0.5699,0.5413,0.5386,0.5623,0.5581,0.4869,0.5051,0.5798})</x:f>
        <x:v>52085.33718248949</x:v>
      </x:c>
    </x:row>
    <x:row r="189" ht="14" customHeight="1">
      <x:c r="A189" s="3">
        <x:v>45876</x:v>
      </x:c>
      <x:c r="B189" s="23" t="n">
        <x:v>723.7338053385416</x:v>
      </x:c>
      <x:c r="C189" s="23" t="n">
        <x:v>1189.99649170364</x:v>
      </x:c>
      <x:c r="D189" s="23" t="n">
        <x:v>749.1988118489583</x:v>
      </x:c>
      <x:c r="E189" s="23" t="n">
        <x:v>753.6576334635416</x:v>
      </x:c>
      <x:c r="F189" s="23" t="n">
        <x:v>735.755859375</x:v>
      </x:c>
      <x:c r="G189" s="23" t="n">
        <x:v>702.4388834635416</x:v>
      </x:c>
      <x:c r="H189" s="23" t="n">
        <x:v>713.2930501302083</x:v>
      </x:c>
      <x:c r="I189" s="23" t="n">
        <x:v>729.7314453125</x:v>
      </x:c>
      <x:c r="J189" s="23" t="n">
        <x:v>732.525390625</x:v>
      </x:c>
      <x:c r="K189" s="23" t="n">
        <x:v>710.4769694010416</x:v>
      </x:c>
      <x:c r="L189" s="23" t="n">
        <x:v>1534.1223958333333</x:v>
      </x:c>
      <x:c r="M189" s="23" t="n">
        <x:v>706.4127604166666</x:v>
      </x:c>
      <x:c r="N189" s="23" t="n">
        <x:v>706.3976236979166</x:v>
      </x:c>
      <x:c r="O189" s="23" t="n">
        <x:v>719.1358235677083</x:v>
      </x:c>
      <x:c r="P189" s="23" t="n">
        <x:v>721.0216471354166</x:v>
      </x:c>
      <x:c r="Q189" s="23" t="n">
        <x:v>705.5553385416666</x:v>
      </x:c>
      <x:c r="R189" s="23" t="n">
        <x:v>685.5760904947916</x:v>
      </x:c>
      <x:c r="S189" s="23" t="n">
        <x:v>1529.8212076822915</x:v>
      </x:c>
      <x:c r="T189" s="23" t="n">
        <x:v>687.714599609375</x:v>
      </x:c>
      <x:c r="U189" s="23" t="n">
        <x:v>697.0768229166666</x:v>
      </x:c>
      <x:c r="V189" s="23" t="n">
        <x:v>712.934326171875</x:v>
      </x:c>
      <x:c r="W189" s="23" t="n">
        <x:v>716.964599609375</x:v>
      </x:c>
      <x:c r="X189" s="23" t="n">
        <x:v>712.0660807291666</x:v>
      </x:c>
      <x:c r="Y189" s="23" t="n">
        <x:v>695.5804036458333</x:v>
      </x:c>
      <x:c r="Z189" s="23" t="n">
        <x:v>694.3755696614583</x:v>
      </x:c>
      <x:c r="AA189" s="23" t="n">
        <x:v>688.37109375</x:v>
      </x:c>
      <x:c r="AB189" s="23" t="n">
        <x:v>1528.831787109375</x:v>
      </x:c>
      <x:c r="AC189" s="23" t="n">
        <x:v>697.2835286458333</x:v>
      </x:c>
      <x:c r="AD189" s="23" t="n">
        <x:v>682.5126876108861</x:v>
      </x:c>
      <x:c r="AE189" s="23" t="n">
        <x:v>687.2452799479166</x:v>
      </x:c>
      <x:c r="AF189" s="23" t="n">
        <x:v>670.8137297975738</x:v>
      </x:c>
      <x:c r="AG189" s="23" t="n">
        <x:v>1487.3494164058834</x:v>
      </x:c>
      <x:c r="AH189" s="23" t="n">
        <x:v>1448.7057602555417</x:v>
      </x:c>
      <x:c r="AI189" s="23" t="n">
        <x:v>1409.8124707550705</x:v>
      </x:c>
      <x:c r="AJ189" s="23" t="n">
        <x:v>605.803914944823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132.05112161915787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92.64527734657766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0</x:v>
      </x:c>
      <x:c r="BV189" s="23" t="n">
        <x:v>434.26046861634063</x:v>
      </x:c>
      <x:c r="BW189" s="23" t="n">
        <x:v>0</x:v>
      </x:c>
      <x:c r="BX189" s="23" t="n">
        <x:v>0</x:v>
      </x:c>
      <x:c r="BY189" s="23" t="n">
        <x:v>0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186.89666233941443</x:v>
      </x:c>
      <x:c r="CN189" s="23" t="n">
        <x:v>499.374656356089</x:v>
      </x:c>
      <x:c r="CO189" s="23" t="n">
        <x:v>291.4746398460429</x:v>
      </x:c>
      <x:c r="CP189" s="23" t="n">
        <x:v>336.78395804440726</x:v>
      </x:c>
      <x:c r="CQ189" s="23" t="n">
        <x:v>396.4415235477977</x:v>
      </x:c>
      <x:c r="CR189" s="23" t="n">
        <x:v>442.47675901818985</x:v>
      </x:c>
      <x:c r="CS189" s="23" t="n">
        <x:v>476.3283147814569</x:v>
      </x:c>
      <x:c r="CT189" s="23" t="n">
        <x:v>528.8919001638347</x:v>
      </x:c>
      <x:c r="CU189" s="23" t="n">
        <x:v>576.1143015531645</x:v>
      </x:c>
      <x:c r="CV189" s="23" t="n">
        <x:v>615.4689994235152</x:v>
      </x:c>
      <x:c r="CW189" s="23" t="n">
        <x:v>653.3200888632625</x:v>
      </x:c>
      <x:c r="CX189" s="23" t="n">
        <x:v>688.5334368161618</x:v>
      </x:c>
      <x:c r="CY189" s="23" t="n">
        <x:v>734.113372200223</x:v>
      </x:c>
      <x:c r="CZ189" s="23" t="n">
        <x:v>778.4801023689945</x:v>
      </x:c>
      <x:c r="DA189" s="23" t="n">
        <x:v>838.3945692843381</x:v>
      </x:c>
      <x:c r="DB189" s="23" t="n">
        <x:v>892.1331575664624</x:v>
      </x:c>
      <x:c r="DC189" s="23" t="n">
        <x:v>969.2003369148856</x:v>
      </x:c>
      <x:c r="DD189" s="23" t="n">
        <x:v>930.9367979801051</x:v>
      </x:c>
      <x:c r="DE189" s="23" t="n">
        <x:v>800.8027960266681</x:v>
      </x:c>
      <x:c r="DF189" s="23" t="n">
        <x:v>832.1715667154667</x:v>
      </x:c>
      <x:c r="DG189" s="23" t="n">
        <x:v>874.8201431388562</x:v>
      </x:c>
      <x:c r="DH189" s="23" t="n">
        <x:v>905.2514848774223</x:v>
      </x:c>
      <x:c r="DI189" s="23" t="n">
        <x:v>945.3987285383461</x:v>
      </x:c>
      <x:c r="DJ189" s="23" t="n">
        <x:v>934.6645666883384</x:v>
      </x:c>
      <x:c r="DK189" s="23" t="n">
        <x:v>143.64239686476895</x:v>
      </x:c>
      <x:c r="DL189" s="23" t="n">
        <x:v>150.09599453890056</x:v>
      </x:c>
      <x:c r="DM189" s="23" t="n">
        <x:v>155.6385651096105</x:v>
      </x:c>
      <x:c r="DN189" s="23" t="n">
        <x:v>134.70545963541673</x:v>
      </x:c>
      <x:c r="DO189" s="23" t="n">
        <x:v>138.30439299479167</x:v>
      </x:c>
      <x:c r="DP189" s="23" t="n">
        <x:v>154.72784000000001</x:v>
      </x:c>
      <x:c r="DQ189" s="23" t="n">
        <x:v>158.41008528645835</x:v>
      </x:c>
      <x:c r="DR189" s="23" t="n">
        <x:v>163.1033878906249</x:v>
      </x:c>
      <x:c r="DS189" s="23" t="n">
        <x:v>332.7653394812574</x:v>
      </x:c>
      <x:c r="DT189" s="23" t="n">
        <x:v>135.56800520833332</x:v>
      </x:c>
      <x:c r="DU189" s="23" t="n">
        <x:v>146.86534768229163</x:v>
      </x:c>
      <x:c r="DV189" s="23" t="n">
        <x:v>957.7317708333333</x:v>
      </x:c>
      <x:c r="DW189" s="23" t="n">
        <x:v>960.0387975501542</x:v>
      </x:c>
      <x:c r="DX189" s="23" t="n">
        <x:v>978.4881809815457</x:v>
      </x:c>
      <x:c r="DY189" s="23" t="n">
        <x:v>970.9883626302083</x:v>
      </x:c>
      <x:c r="DZ189" s="23" t="n">
        <x:v>966.3562825520833</x:v>
      </x:c>
      <x:c r="EA189" s="23" t="n">
        <x:v>963.9110625</x:v>
      </x:c>
      <x:c r="EB189" s="23" t="n">
        <x:v>911.11083984375</x:v>
      </x:c>
      <x:c r="EC189" s="23" t="n">
        <x:v>780.8426106770833</x:v>
      </x:c>
      <x:c r="ED189" s="23" t="n">
        <x:v>1602.2337239583333</x:v>
      </x:c>
      <x:c r="EE189" s="23" t="n">
        <x:v>766.7515462239583</x:v>
      </x:c>
      <x:c r="EF189" s="23" t="n">
        <x:v>759.977783203125</x:v>
      </x:c>
      <x:c r="EG189" s="23" t="n">
        <x:v>763.15380859375</x:v>
      </x:c>
      <x:c r="EH189" s="23" t="n">
        <x:v>751.37353515625</x:v>
      </x:c>
      <x:c r="EI189" s="23" t="n">
        <x:v>724.5037434895833</x:v>
      </x:c>
      <x:c r="EJ189" s="23" t="n">
        <x:v>1576.527587890625</x:v>
      </x:c>
      <x:c r="EK189" s="23" t="n">
        <x:v>1583.7202962239583</x:v>
      </x:c>
      <x:c r="EL189" s="23" t="n">
        <x:v>1570.4576822916665</x:v>
      </x:c>
      <x:c r="EM189" s="23" t="n">
        <x:v>1047.1140297469778</x:v>
      </x:c>
      <x:c r="EN189" s="23" t="n">
        <x:v>1590.8173828125</x:v>
      </x:c>
      <x:c r="EO189" s="23" t="n">
        <x:v>1490.3134358723958</x:v>
      </x:c>
      <x:c r="EP189" s="23" t="n">
        <x:f>SUM(B189:EO189)</x:f>
        <x:v>70189.96230795771</x:v>
      </x:c>
      <x:c r="EQ189" s="23" t="n">
        <x:f>SUMPRODUCT(B189:EO189,{0.5267,0.503,0.5635,0.5982,0.5989,0.5761,0.538,0.5172,0.5242,0.5385,0.5294,0.5165,0.5477,0.5752,0.5523,0.4807,0.449,0.4676,0.4725,0.4989,0.5284,0.4976,0.4745,0.4882,0.5006,0.4958,0.4798,0.4695,0.4623,0.4835,0.5543,0.554,0.4376,0.3292,0.559,0.94,0.9368,0.873,0.9181,0.9123,0.8751,0.8204,0.7367,0.7248,0.7254,0.6263,0.8289,1.2089,1.2021,1.0964,1.075,1.0289,0.9796,0.9368,0.8844,0.8911,0.9193,0.8777,0.9588,1.1269,1.133,1.075,1.0784,1.1248,0.8924,0.5015,0.4242,0.4788,0.4932,0.4723,0.4146,0.3645,0.3831,0.4007,0.3742,0.3533,0.5066,0.7593,0.848,0.8404,0.8227,0.8301,0.9551,1.1283,1.1693,1.1604,1.2041,1.2742,1.042,0.6851,0.7276,0.778,0.7059,0.7793,0.8782,0.9072,0.8964,0.8663,0.845,0.8672,0.9446,1.0303,1.056,1.0742,1.0988,1.1038,1.1765,1.295,1.3385,1.3429,1.348,1.371,1.4781,1.6101,1.6247,1.5989,1.6061,1.6494,1.6879,1.7141,1.7422,1.7043,1.6447,1.6465,1.4368,1.0955,1.0107,1.0339,1.0713,1.1383,0.9337,0.5982,0.5995,0.6347,0.5655,0.5569,0.5389,0.5057,0.5347,0.5331,0.507,0.549,0.5294,0.4269})</x:f>
        <x:v>51508.039908898994</x:v>
      </x:c>
    </x:row>
    <x:row r="190" ht="14" customHeight="1">
      <x:c r="A190" s="3">
        <x:v>45877</x:v>
      </x:c>
      <x:c r="B190" s="23" t="n">
        <x:v>599.2787679036458</x:v>
      </x:c>
      <x:c r="C190" s="23" t="n">
        <x:v>594.0355224609375</x:v>
      </x:c>
      <x:c r="D190" s="23" t="n">
        <x:v>0</x:v>
      </x:c>
      <x:c r="E190" s="23" t="n">
        <x:v>587.5616861979166</x:v>
      </x:c>
      <x:c r="F190" s="23" t="n">
        <x:v>605.2881673177083</x:v>
      </x:c>
      <x:c r="G190" s="23" t="n">
        <x:v>0</x:v>
      </x:c>
      <x:c r="H190" s="23" t="n">
        <x:v>591.387451171875</x:v>
      </x:c>
      <x:c r="I190" s="23" t="n">
        <x:v>580.0154622395833</x:v>
      </x:c>
      <x:c r="J190" s="23" t="n">
        <x:v>598.4851888020833</x:v>
      </x:c>
      <x:c r="K190" s="23" t="n">
        <x:v>585.2078450520833</x:v>
      </x:c>
      <x:c r="L190" s="23" t="n">
        <x:v>582.6690266927083</x:v>
      </x:c>
      <x:c r="M190" s="23" t="n">
        <x:v>594.7337239583333</x:v>
      </x:c>
      <x:c r="N190" s="23" t="n">
        <x:v>594.8570963541666</x:v>
      </x:c>
      <x:c r="O190" s="23" t="n">
        <x:v>583.7845458984375</x:v>
      </x:c>
      <x:c r="P190" s="23" t="n">
        <x:v>0</x:v>
      </x:c>
      <x:c r="Q190" s="23" t="n">
        <x:v>577.9539794921875</x:v>
      </x:c>
      <x:c r="R190" s="23" t="n">
        <x:v>0</x:v>
      </x:c>
      <x:c r="S190" s="23" t="n">
        <x:v>551.8267415364583</x:v>
      </x:c>
      <x:c r="T190" s="23" t="n">
        <x:v>79.73350386761854</x:v>
      </x:c>
      <x:c r="U190" s="23" t="n">
        <x:v>582.583251953125</x:v>
      </x:c>
      <x:c r="V190" s="23" t="n">
        <x:v>555.0137532552083</x:v>
      </x:c>
      <x:c r="W190" s="23" t="n">
        <x:v>0</x:v>
      </x:c>
      <x:c r="X190" s="23" t="n">
        <x:v>0</x:v>
      </x:c>
      <x:c r="Y190" s="23" t="n">
        <x:v>523.5403645833333</x:v>
      </x:c>
      <x:c r="Z190" s="23" t="n">
        <x:v>540.0802408854166</x:v>
      </x:c>
      <x:c r="AA190" s="23" t="n">
        <x:v>542.258544921875</x:v>
      </x:c>
      <x:c r="AB190" s="23" t="n">
        <x:v>536.6079508463541</x:v>
      </x:c>
      <x:c r="AC190" s="23" t="n">
        <x:v>555.279052734375</x:v>
      </x:c>
      <x:c r="AD190" s="23" t="n">
        <x:v>541.5915114547971</x:v>
      </x:c>
      <x:c r="AE190" s="23" t="n">
        <x:v>545.2322998046875</x:v>
      </x:c>
      <x:c r="AF190" s="23" t="n">
        <x:v>550.701860650257</x:v>
      </x:c>
      <x:c r="AG190" s="23" t="n">
        <x:v>521.0054923631276</x:v>
      </x:c>
      <x:c r="AH190" s="23" t="n">
        <x:v>1276.8635138783013</x:v>
      </x:c>
      <x:c r="AI190" s="23" t="n">
        <x:v>1234.224835847609</x:v>
      </x:c>
      <x:c r="AJ190" s="23" t="n">
        <x:v>383.96624043071324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11.250954466278168</x:v>
      </x:c>
      <x:c r="CT190" s="23" t="n">
        <x:v>54.90304579927563</x:v>
      </x:c>
      <x:c r="CU190" s="23" t="n">
        <x:v>93.6139034876866</x:v>
      </x:c>
      <x:c r="CV190" s="23" t="n">
        <x:v>147.61738230775487</x:v>
      </x:c>
      <x:c r="CW190" s="23" t="n">
        <x:v>183.4562764457873</x:v>
      </x:c>
      <x:c r="CX190" s="23" t="n">
        <x:v>185.55280622895194</x:v>
      </x:c>
      <x:c r="CY190" s="23" t="n">
        <x:v>184.13727671728316</x:v>
      </x:c>
      <x:c r="CZ190" s="23" t="n">
        <x:v>216.8363791716556</x:v>
      </x:c>
      <x:c r="DA190" s="23" t="n">
        <x:v>287.90633497268345</x:v>
      </x:c>
      <x:c r="DB190" s="23" t="n">
        <x:v>379.3823534525837</x:v>
      </x:c>
      <x:c r="DC190" s="23" t="n">
        <x:v>443.82615692755445</x:v>
      </x:c>
      <x:c r="DD190" s="23" t="n">
        <x:v>486.17680201982876</x:v>
      </x:c>
      <x:c r="DE190" s="23" t="n">
        <x:v>515.3279237897723</x:v>
      </x:c>
      <x:c r="DF190" s="23" t="n">
        <x:v>536.5440156112331</x:v>
      </x:c>
      <x:c r="DG190" s="23" t="n">
        <x:v>585.8665196798906</x:v>
      </x:c>
      <x:c r="DH190" s="23" t="n">
        <x:v>642.7668177352751</x:v>
      </x:c>
      <x:c r="DI190" s="23" t="n">
        <x:v>676.2672134544877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120.59789098432898</x:v>
      </x:c>
      <x:c r="DW190" s="23" t="n">
        <x:v>654.0659993489583</x:v>
      </x:c>
      <x:c r="DX190" s="23" t="n">
        <x:v>657.3932291666666</x:v>
      </x:c>
      <x:c r="DY190" s="23" t="n">
        <x:v>667.0290120442708</x:v>
      </x:c>
      <x:c r="DZ190" s="23" t="n">
        <x:v>700.3646647135416</x:v>
      </x:c>
      <x:c r="EA190" s="23" t="n">
        <x:v>694.3724772135416</x:v>
      </x:c>
      <x:c r="EB190" s="23" t="n">
        <x:v>651.0939584940843</x:v>
      </x:c>
      <x:c r="EC190" s="23" t="n">
        <x:v>1429.3881429036458</x:v>
      </x:c>
      <x:c r="ED190" s="23" t="n">
        <x:v>1433.1024983723958</x:v>
      </x:c>
      <x:c r="EE190" s="23" t="n">
        <x:v>872.1753444090793</x:v>
      </x:c>
      <x:c r="EF190" s="23" t="n">
        <x:v>599.3422037760416</x:v>
      </x:c>
      <x:c r="EG190" s="23" t="n">
        <x:v>595.5142008463541</x:v>
      </x:c>
      <x:c r="EH190" s="23" t="n">
        <x:v>594.7688395182291</x:v>
      </x:c>
      <x:c r="EI190" s="23" t="n">
        <x:v>637.1346842447916</x:v>
      </x:c>
      <x:c r="EJ190" s="23" t="n">
        <x:v>609.7266031901041</x:v>
      </x:c>
      <x:c r="EK190" s="23" t="n">
        <x:v>580.4815266927083</x:v>
      </x:c>
      <x:c r="EL190" s="23" t="n">
        <x:v>1418.5131022135415</x:v>
      </x:c>
      <x:c r="EM190" s="23" t="n">
        <x:v>1412.2533772786458</x:v>
      </x:c>
      <x:c r="EN190" s="23" t="n">
        <x:v>1423.9541829427083</x:v>
      </x:c>
      <x:c r="EO190" s="23" t="n">
        <x:v>1412.0408528645833</x:v>
      </x:c>
      <x:c r="EP190" s="23" t="n">
        <x:f>SUM(B190:EO190)</x:f>
        <x:v>39990.51257604113</x:v>
      </x:c>
      <x:c r="EQ190" s="23" t="n">
        <x:f>SUMPRODUCT(B190:EO190,{0.3704,0.4243,0.4918,0.4209,0.4007,0.4701,0.4773,0.4583,0.4417,0.4093,0.3796,0.3792,0.4162,0.4332,0.4067,0.3707,0.3849,0.4258,0.4152,0.4072,0.4027,0.3481,0.3193,0.3544,0.4064,0.3816,0.3291,0.3808,0.3924,0.3316,0.3203,0.3652,0.3683,0.2673,0.4168,0.7395,0.7757,0.6746,0.6281,0.673,0.6922,0.638,0.57,0.5461,0.5481,0.5299,0.6227,0.7956,0.8608,0.8294,0.7486,0.6652,0.6825,0.7571,0.742,0.7168,0.6962,0.6349,0.725,0.8712,0.7771,0.7207,0.8243,0.8825,0.6113,0.2233,0.2198,0.2233,0.1104,0.1411,0.1959,0.1759,0.1217,0.139,0.162,0.0665,0.2183,0.536,0.5482,0.4961,0.5017,0.4662,0.6054,0.8345,0.8268,0.8052,0.8829,0.9112,0.7114,0.4221,0.3778,0.4149,0.4304,0.4865,0.5533,0.582,0.5602,0.591,0.6732,0.6992,0.6694,0.6371,0.663,0.7364,0.7576,0.672,0.8664,1.2356,1.2659,1.2089,1.2187,1.213,1.3318,1.4757,1.3893,1.3736,1.4997,1.5268,1.4551,1.4075,1.4879,1.5023,1.4445,1.4584,1.2563,0.9314,0.9002,0.9215,0.8914,0.92,0.763,0.4748,0.3948,0.4408,0.4786,0.4605,0.4495,0.4586,0.4444,0.447,0.4707,0.4747,0.468,0.462})</x:f>
        <x:v>21842.500898818464</x:v>
      </x:c>
    </x:row>
    <x:row r="191" ht="14" customHeight="1">
      <x:c r="A191" s="3">
        <x:v>45878</x:v>
      </x:c>
      <x:c r="B191" s="23" t="n">
        <x:v>577.2923990885416</x:v>
      </x:c>
      <x:c r="C191" s="23" t="n">
        <x:v>583.0877685546875</x:v>
      </x:c>
      <x:c r="D191" s="23" t="n">
        <x:v>0</x:v>
      </x:c>
      <x:c r="E191" s="23" t="n">
        <x:v>0</x:v>
      </x:c>
      <x:c r="F191" s="23" t="n">
        <x:v>577.8875732421875</x:v>
      </x:c>
      <x:c r="G191" s="23" t="n">
        <x:v>576.2211507161458</x:v>
      </x:c>
      <x:c r="H191" s="23" t="n">
        <x:v>590.5942789713541</x:v>
      </x:c>
      <x:c r="I191" s="23" t="n">
        <x:v>0</x:v>
      </x:c>
      <x:c r="J191" s="23" t="n">
        <x:v>0</x:v>
      </x:c>
      <x:c r="K191" s="23" t="n">
        <x:v>557.51806640625</x:v>
      </x:c>
      <x:c r="L191" s="23" t="n">
        <x:v>538.4848225911458</x:v>
      </x:c>
      <x:c r="M191" s="23" t="n">
        <x:v>575.8318684895833</x:v>
      </x:c>
      <x:c r="N191" s="23" t="n">
        <x:v>572.4608968098958</x:v>
      </x:c>
      <x:c r="O191" s="23" t="n">
        <x:v>556.2294108072916</x:v>
      </x:c>
      <x:c r="P191" s="23" t="n">
        <x:v>561.8274739583333</x:v>
      </x:c>
      <x:c r="Q191" s="23" t="n">
        <x:v>0</x:v>
      </x:c>
      <x:c r="R191" s="23" t="n">
        <x:v>0</x:v>
      </x:c>
      <x:c r="S191" s="23" t="n">
        <x:v>553.2006022135416</x:v>
      </x:c>
      <x:c r="T191" s="23" t="n">
        <x:v>553.4978434244791</x:v>
      </x:c>
      <x:c r="U191" s="23" t="n">
        <x:v>549.5594075520833</x:v>
      </x:c>
      <x:c r="V191" s="23" t="n">
        <x:v>546.3973795572916</x:v>
      </x:c>
      <x:c r="W191" s="23" t="n">
        <x:v>530.7030436197916</x:v>
      </x:c>
      <x:c r="X191" s="23" t="n">
        <x:v>530.1043701171875</x:v>
      </x:c>
      <x:c r="Y191" s="23" t="n">
        <x:v>0</x:v>
      </x:c>
      <x:c r="Z191" s="23" t="n">
        <x:v>534.8109944661458</x:v>
      </x:c>
      <x:c r="AA191" s="23" t="n">
        <x:v>1344.8156331380208</x:v>
      </x:c>
      <x:c r="AB191" s="23" t="n">
        <x:v>943.3467141460937</x:v>
      </x:c>
      <x:c r="AC191" s="23" t="n">
        <x:v>518.4868570963541</x:v>
      </x:c>
      <x:c r="AD191" s="23" t="n">
        <x:v>518.6298897084337</x:v>
      </x:c>
      <x:c r="AE191" s="23" t="n">
        <x:v>499.79239908854163</x:v>
      </x:c>
      <x:c r="AF191" s="23" t="n">
        <x:v>490.1186788547145</x:v>
      </x:c>
      <x:c r="AG191" s="23" t="n">
        <x:v>491.05000614994776</x:v>
      </x:c>
      <x:c r="AH191" s="23" t="n">
        <x:v>444.60667710740137</x:v>
      </x:c>
      <x:c r="AI191" s="23" t="n">
        <x:v>1225.2373634985352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0</x:v>
      </x:c>
      <x:c r="CT191" s="23" t="n">
        <x:v>38.8751944177217</x:v>
      </x:c>
      <x:c r="CU191" s="23" t="n">
        <x:v>96.33339165564696</x:v>
      </x:c>
      <x:c r="CV191" s="23" t="n">
        <x:v>138.45837063980767</x:v>
      </x:c>
      <x:c r="CW191" s="23" t="n">
        <x:v>191.98177248972416</x:v>
      </x:c>
      <x:c r="CX191" s="23" t="n">
        <x:v>175.89748349323486</x:v>
      </x:c>
      <x:c r="CY191" s="23" t="n">
        <x:v>171.38466701539147</x:v>
      </x:c>
      <x:c r="CZ191" s="23" t="n">
        <x:v>220.29010036037477</x:v>
      </x:c>
      <x:c r="DA191" s="23" t="n">
        <x:v>284.0518850159473</x:v>
      </x:c>
      <x:c r="DB191" s="23" t="n">
        <x:v>348.2477720900398</x:v>
      </x:c>
      <x:c r="DC191" s="23" t="n">
        <x:v>399.91036596637906</x:v>
      </x:c>
      <x:c r="DD191" s="23" t="n">
        <x:v>460.47669985079506</x:v>
      </x:c>
      <x:c r="DE191" s="23" t="n">
        <x:v>515.6837058631394</x:v>
      </x:c>
      <x:c r="DF191" s="23" t="n">
        <x:v>543.2768711125389</x:v>
      </x:c>
      <x:c r="DG191" s="23" t="n">
        <x:v>591.9139610452282</x:v>
      </x:c>
      <x:c r="DH191" s="23" t="n">
        <x:v>632.5467962176855</x:v>
      </x:c>
      <x:c r="DI191" s="23" t="n">
        <x:v>653.7420212708178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265.6521149786894</x:v>
      </x:c>
      <x:c r="DW191" s="23" t="n">
        <x:v>678.4518636067708</x:v>
      </x:c>
      <x:c r="DX191" s="23" t="n">
        <x:v>655.2881113964444</x:v>
      </x:c>
      <x:c r="DY191" s="23" t="n">
        <x:v>658.0859781901041</x:v>
      </x:c>
      <x:c r="DZ191" s="23" t="n">
        <x:v>691.2859700520833</x:v>
      </x:c>
      <x:c r="EA191" s="23" t="n">
        <x:v>660.888427734375</x:v>
      </x:c>
      <x:c r="EB191" s="23" t="n">
        <x:v>652.317138671875</x:v>
      </x:c>
      <x:c r="EC191" s="23" t="n">
        <x:v>1454.2430826822915</x:v>
      </x:c>
      <x:c r="ED191" s="23" t="n">
        <x:v>1440.2296956380208</x:v>
      </x:c>
      <x:c r="EE191" s="23" t="n">
        <x:v>595.2325032552083</x:v>
      </x:c>
      <x:c r="EF191" s="23" t="n">
        <x:v>591.2930094401041</x:v>
      </x:c>
      <x:c r="EG191" s="23" t="n">
        <x:v>1427.0233968098958</x:v>
      </x:c>
      <x:c r="EH191" s="23" t="n">
        <x:v>1424.7613525390625</x:v>
      </x:c>
      <x:c r="EI191" s="23" t="n">
        <x:v>582.0118001302083</x:v>
      </x:c>
      <x:c r="EJ191" s="23" t="n">
        <x:v>1417.780517578125</x:v>
      </x:c>
      <x:c r="EK191" s="23" t="n">
        <x:v>1428.332763671875</x:v>
      </x:c>
      <x:c r="EL191" s="23" t="n">
        <x:v>1006.3683606409146</x:v>
      </x:c>
      <x:c r="EM191" s="23" t="n">
        <x:v>1411.8636881510415</x:v>
      </x:c>
      <x:c r="EN191" s="23" t="n">
        <x:v>650.45947265625</x:v>
      </x:c>
      <x:c r="EO191" s="23" t="n">
        <x:v>6.767835286458345</x:v>
      </x:c>
      <x:c r="EP191" s="23" t="n">
        <x:f>SUM(B191:EO191)</x:f>
        <x:v>39703.20171098825</x:v>
      </x:c>
      <x:c r="EQ191" s="23" t="n">
        <x:f>SUMPRODUCT(B191:EO191,{0.4599,0.4712,0.4887,0.4918,0.4787,0.4444,0.3886,0.359,0.3796,0.4292,0.4515,0.4434,0.4456,0.4323,0.4077,0.4104,0.4253,0.4308,0.4147,0.3729,0.3416,0.3712,0.4169,0.4243,0.3789,0.3655,0.3759,0.329,0.3192,0.3543,0.3506,0.3754,0.3741,0.2588,0.4259,0.7734,0.7756,0.6877,0.6546,0.5738,0.588,0.6818,0.6728,0.6026,0.5289,0.4956,0.6455,0.8474,0.8066,0.758,0.7646,0.6686,0.6467,0.6962,0.6318,0.5946,0.6076,0.5671,0.6599,0.8322,0.8265,0.8218,0.9029,0.918,0.6193,0.2164,0.1954,0.2465,0.2005,0.2002,0.2541,0.2779,0.1949,0.1714,0.2321,0.262,0.3846,0.5793,0.67,0.6835,0.6334,0.5322,0.6338,0.8632,0.8791,0.829,0.8607,0.9333,0.7773,0.4862,0.4341,0.4535,0.4446,0.4813,0.5036,0.5255,0.6104,0.5932,0.5393,0.6811,0.7794,0.7485,0.7381,0.7388,0.7208,0.716,0.9035,1.1728,1.2146,1.2154,1.2556,1.2427,1.3196,1.4745,1.5273,1.4894,1.436,1.4376,1.4892,1.5174,1.4488,1.4051,1.4682,1.5586,1.3335,0.9385,0.8806,0.9123,0.903,0.9377,0.7387,0.4206,0.4163,0.497,0.4807,0.424,0.4617,0.5466,0.5025,0.4273,0.4,0.4116,0.4559,0.521})</x:f>
        <x:v>21785.027230164535</x:v>
      </x:c>
    </x:row>
    <x:row r="192" ht="14" customHeight="1">
      <x:c r="A192" s="3">
        <x:v>45879</x:v>
      </x:c>
      <x:c r="B192" s="23" t="n">
        <x:v>772.5548502604166</x:v>
      </x:c>
      <x:c r="C192" s="23" t="n">
        <x:v>1556.037109375</x:v>
      </x:c>
      <x:c r="D192" s="23" t="n">
        <x:v>724.3828125</x:v>
      </x:c>
      <x:c r="E192" s="23" t="n">
        <x:v>760.020263671875</x:v>
      </x:c>
      <x:c r="F192" s="23" t="n">
        <x:v>781.1813151041666</x:v>
      </x:c>
      <x:c r="G192" s="23" t="n">
        <x:v>771.6111653645833</x:v>
      </x:c>
      <x:c r="H192" s="23" t="n">
        <x:v>751.4502766927083</x:v>
      </x:c>
      <x:c r="I192" s="23" t="n">
        <x:v>727.7935384114583</x:v>
      </x:c>
      <x:c r="J192" s="23" t="n">
        <x:v>727.664306640625</x:v>
      </x:c>
      <x:c r="K192" s="23" t="n">
        <x:v>739.7941080729166</x:v>
      </x:c>
      <x:c r="L192" s="23" t="n">
        <x:v>718.4361165364583</x:v>
      </x:c>
      <x:c r="M192" s="23" t="n">
        <x:v>701.6929524739583</x:v>
      </x:c>
      <x:c r="N192" s="23" t="n">
        <x:v>720.350830078125</x:v>
      </x:c>
      <x:c r="O192" s="23" t="n">
        <x:v>726.16357421875</x:v>
      </x:c>
      <x:c r="P192" s="23" t="n">
        <x:v>714.5923665364583</x:v>
      </x:c>
      <x:c r="Q192" s="23" t="n">
        <x:v>719.03955078125</x:v>
      </x:c>
      <x:c r="R192" s="23" t="n">
        <x:v>708.8631184895833</x:v>
      </x:c>
      <x:c r="S192" s="23" t="n">
        <x:v>681.3660074869791</x:v>
      </x:c>
      <x:c r="T192" s="23" t="n">
        <x:v>670.4818929036458</x:v>
      </x:c>
      <x:c r="U192" s="23" t="n">
        <x:v>687.6516927083333</x:v>
      </x:c>
      <x:c r="V192" s="23" t="n">
        <x:v>698.6673990885416</x:v>
      </x:c>
      <x:c r="W192" s="23" t="n">
        <x:v>708.9825032552083</x:v>
      </x:c>
      <x:c r="X192" s="23" t="n">
        <x:v>695.9527180989583</x:v>
      </x:c>
      <x:c r="Y192" s="23" t="n">
        <x:v>683.4479166666666</x:v>
      </x:c>
      <x:c r="Z192" s="23" t="n">
        <x:v>700.823974609375</x:v>
      </x:c>
      <x:c r="AA192" s="23" t="n">
        <x:v>1539.086669921875</x:v>
      </x:c>
      <x:c r="AB192" s="23" t="n">
        <x:v>691.0441080729166</x:v>
      </x:c>
      <x:c r="AC192" s="23" t="n">
        <x:v>690.23876953125</x:v>
      </x:c>
      <x:c r="AD192" s="23" t="n">
        <x:v>687.370586774321</x:v>
      </x:c>
      <x:c r="AE192" s="23" t="n">
        <x:v>687.392333984375</x:v>
      </x:c>
      <x:c r="AF192" s="23" t="n">
        <x:v>660.2819822838717</x:v>
      </x:c>
      <x:c r="AG192" s="23" t="n">
        <x:v>632.8127878633297</x:v>
      </x:c>
      <x:c r="AH192" s="23" t="n">
        <x:v>1432.2768603902707</x:v>
      </x:c>
      <x:c r="AI192" s="23" t="n">
        <x:v>1404.418209935805</x:v>
      </x:c>
      <x:c r="AJ192" s="23" t="n">
        <x:v>612.8049155232292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73.61235665328718</x:v>
      </x:c>
      <x:c r="BQ192" s="23" t="n">
        <x:v>0</x:v>
      </x:c>
      <x:c r="BR192" s="23" t="n">
        <x:v>0</x:v>
      </x:c>
      <x:c r="BS192" s="23" t="n">
        <x:v>0</x:v>
      </x:c>
      <x:c r="BT192" s="23" t="n">
        <x:v>468.22330308836627</x:v>
      </x:c>
      <x:c r="BU192" s="23" t="n">
        <x:v>0</x:v>
      </x:c>
      <x:c r="BV192" s="23" t="n">
        <x:v>383.9897027264502</x:v>
      </x:c>
      <x:c r="BW192" s="23" t="n">
        <x:v>0</x:v>
      </x:c>
      <x:c r="BX192" s="23" t="n">
        <x:v>0</x:v>
      </x:c>
      <x:c r="BY192" s="23" t="n">
        <x:v>427.11470715440674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123.1122369434197</x:v>
      </x:c>
      <x:c r="CN192" s="23" t="n">
        <x:v>241.24350486010667</x:v>
      </x:c>
      <x:c r="CO192" s="23" t="n">
        <x:v>216.0779138993769</x:v>
      </x:c>
      <x:c r="CP192" s="23" t="n">
        <x:v>263.5517567410879</x:v>
      </x:c>
      <x:c r="CQ192" s="23" t="n">
        <x:v>329.84630759058683</x:v>
      </x:c>
      <x:c r="CR192" s="23" t="n">
        <x:v>399.0472679697062</x:v>
      </x:c>
      <x:c r="CS192" s="23" t="n">
        <x:v>452.06122054455784</x:v>
      </x:c>
      <x:c r="CT192" s="23" t="n">
        <x:v>491.62812891488886</x:v>
      </x:c>
      <x:c r="CU192" s="23" t="n">
        <x:v>530.0710971373551</x:v>
      </x:c>
      <x:c r="CV192" s="23" t="n">
        <x:v>575.6243332620795</x:v>
      </x:c>
      <x:c r="CW192" s="23" t="n">
        <x:v>622.8322938979921</x:v>
      </x:c>
      <x:c r="CX192" s="23" t="n">
        <x:v>682.5138945042306</x:v>
      </x:c>
      <x:c r="CY192" s="23" t="n">
        <x:v>751.1304732675978</x:v>
      </x:c>
      <x:c r="CZ192" s="23" t="n">
        <x:v>799.1236349174762</x:v>
      </x:c>
      <x:c r="DA192" s="23" t="n">
        <x:v>849.9009964307991</x:v>
      </x:c>
      <x:c r="DB192" s="23" t="n">
        <x:v>917.8700109343756</x:v>
      </x:c>
      <x:c r="DC192" s="23" t="n">
        <x:v>978.3361456873596</x:v>
      </x:c>
      <x:c r="DD192" s="23" t="n">
        <x:v>941.3699581614837</x:v>
      </x:c>
      <x:c r="DE192" s="23" t="n">
        <x:v>773.6799970195771</x:v>
      </x:c>
      <x:c r="DF192" s="23" t="n">
        <x:v>813.5818179425396</x:v>
      </x:c>
      <x:c r="DG192" s="23" t="n">
        <x:v>867.28554654523</x:v>
      </x:c>
      <x:c r="DH192" s="23" t="n">
        <x:v>909.4678913289281</x:v>
      </x:c>
      <x:c r="DI192" s="23" t="n">
        <x:v>958.1005069079392</x:v>
      </x:c>
      <x:c r="DJ192" s="23" t="n">
        <x:v>960.4329570161829</x:v>
      </x:c>
      <x:c r="DK192" s="23" t="n">
        <x:v>164.05604166666672</x:v>
      </x:c>
      <x:c r="DL192" s="23" t="n">
        <x:v>144.35134921484251</x:v>
      </x:c>
      <x:c r="DM192" s="23" t="n">
        <x:v>147.01427068006325</x:v>
      </x:c>
      <x:c r="DN192" s="23" t="n">
        <x:v>156.62521158854162</x:v>
      </x:c>
      <x:c r="DO192" s="23" t="n">
        <x:v>184.43883398437507</x:v>
      </x:c>
      <x:c r="DP192" s="23" t="n">
        <x:v>169.2853359374999</x:v>
      </x:c>
      <x:c r="DQ192" s="23" t="n">
        <x:v>171.26332356770837</x:v>
      </x:c>
      <x:c r="DR192" s="23" t="n">
        <x:v>360.6148643974498</x:v>
      </x:c>
      <x:c r="DS192" s="23" t="n">
        <x:v>160.28328658854176</x:v>
      </x:c>
      <x:c r="DT192" s="23" t="n">
        <x:v>147.90910156249993</x:v>
      </x:c>
      <x:c r="DU192" s="23" t="n">
        <x:v>165.26587532552094</x:v>
      </x:c>
      <x:c r="DV192" s="23" t="n">
        <x:v>962.1086343098959</x:v>
      </x:c>
      <x:c r="DW192" s="23" t="n">
        <x:v>967.3664384403937</x:v>
      </x:c>
      <x:c r="DX192" s="23" t="n">
        <x:v>961.0111490885416</x:v>
      </x:c>
      <x:c r="DY192" s="23" t="n">
        <x:v>951.283447265625</x:v>
      </x:c>
      <x:c r="DZ192" s="23" t="n">
        <x:v>956.9661458333333</x:v>
      </x:c>
      <x:c r="EA192" s="23" t="n">
        <x:v>966.2294604166666</x:v>
      </x:c>
      <x:c r="EB192" s="23" t="n">
        <x:v>903.2476399739583</x:v>
      </x:c>
      <x:c r="EC192" s="23" t="n">
        <x:v>783.85205078125</x:v>
      </x:c>
      <x:c r="ED192" s="23" t="n">
        <x:v>1629.3312174479165</x:v>
      </x:c>
      <x:c r="EE192" s="23" t="n">
        <x:v>810.138916015625</x:v>
      </x:c>
      <x:c r="EF192" s="23" t="n">
        <x:v>789.5862630208333</x:v>
      </x:c>
      <x:c r="EG192" s="23" t="n">
        <x:v>803.7880859375</x:v>
      </x:c>
      <x:c r="EH192" s="23" t="n">
        <x:v>1073.9974080504117</x:v>
      </x:c>
      <x:c r="EI192" s="23" t="n">
        <x:v>1580.4817708333333</x:v>
      </x:c>
      <x:c r="EJ192" s="23" t="n">
        <x:v>1571.4839680989583</x:v>
      </x:c>
      <x:c r="EK192" s="23" t="n">
        <x:v>1578.037109375</x:v>
      </x:c>
      <x:c r="EL192" s="23" t="n">
        <x:v>760.4152018229166</x:v>
      </x:c>
      <x:c r="EM192" s="23" t="n">
        <x:v>750.4219563802083</x:v>
      </x:c>
      <x:c r="EN192" s="23" t="n">
        <x:v>1578.3753255208333</x:v>
      </x:c>
      <x:c r="EO192" s="23" t="n">
        <x:v>1591.7250162760415</x:v>
      </x:c>
      <x:c r="EP192" s="23" t="n">
        <x:f>SUM(B192:EO192)</x:f>
        <x:v>68628.51424575764</x:v>
      </x:c>
      <x:c r="EQ192" s="23" t="n">
        <x:f>SUMPRODUCT(B192:EO192,{0.5777,0.5648,0.5246,0.5594,0.5725,0.5363,0.5214,0.511,0.5017,0.517,0.5426,0.5433,0.4988,0.4891,0.5312,0.5631,0.5608,0.5284,0.4882,0.4646,0.4718,0.5068,0.5397,0.5386,0.4981,0.4957,0.5164,0.4794,0.4873,0.5256,0.4737,0.4356,0.4251,0.3918,0.6,0.9235,0.9337,0.8696,0.8647,0.8127,0.7524,0.7336,0.7567,0.7442,0.6584,0.5797,0.8025,1.1651,1.1858,1.1255,1.1096,1.0069,0.9608,1.0036,1.0093,0.9542,0.8963,0.9255,1.0395,1.1386,1.1064,1.0496,1.0633,1.0982,0.8268,0.4123,0.3761,0.4444,0.4377,0.4487,0.463,0.4646,0.469,0.5008,0.5168,0.4775,0.6169,0.8749,0.9291,0.8595,0.8104,0.8674,1.0386,1.1949,1.1706,1.1227,1.1692,1.2422,1.0371,0.6912,0.6675,0.7469,0.7564,0.7579,0.8551,0.9622,0.895,0.8551,0.9186,0.9662,0.994,1.0248,1.0729,1.1359,1.17,1.1397,1.1847,1.3034,1.3526,1.3614,1.3736,1.4107,1.5236,1.6435,1.6422,1.6519,1.696,1.6663,1.6275,1.6175,1.608,1.596,1.6416,1.7523,1.5278,1.1057,1.05,1.0837,1.0763,1.1362,0.9032,0.5207,0.5322,0.5979,0.5418,0.5305,0.5348,0.5167,0.493,0.52,0.5741,0.5744,0.5637,0.5434})</x:f>
        <x:v>51423.84156751127</x:v>
      </x:c>
    </x:row>
    <x:row r="193" ht="14" customHeight="1">
      <x:c r="A193" s="3">
        <x:v>45880</x:v>
      </x:c>
      <x:c r="B193" s="23" t="n">
        <x:v>758.5978190104166</x:v>
      </x:c>
      <x:c r="C193" s="23" t="n">
        <x:v>748.5230305989583</x:v>
      </x:c>
      <x:c r="D193" s="23" t="n">
        <x:v>731.239013671875</x:v>
      </x:c>
      <x:c r="E193" s="23" t="n">
        <x:v>742.0751139322916</x:v>
      </x:c>
      <x:c r="F193" s="23" t="n">
        <x:v>739.5830078125</x:v>
      </x:c>
      <x:c r="G193" s="23" t="n">
        <x:v>737.199462890625</x:v>
      </x:c>
      <x:c r="H193" s="23" t="n">
        <x:v>1567.0852864583333</x:v>
      </x:c>
      <x:c r="I193" s="23" t="n">
        <x:v>1552.128662109375</x:v>
      </x:c>
      <x:c r="J193" s="23" t="n">
        <x:v>1542.7279459635415</x:v>
      </x:c>
      <x:c r="K193" s="23" t="n">
        <x:v>1546.77978515625</x:v>
      </x:c>
      <x:c r="L193" s="23" t="n">
        <x:v>721.4276529947916</x:v>
      </x:c>
      <x:c r="M193" s="23" t="n">
        <x:v>713.1200358072916</x:v>
      </x:c>
      <x:c r="N193" s="23" t="n">
        <x:v>680.5250651041666</x:v>
      </x:c>
      <x:c r="O193" s="23" t="n">
        <x:v>677.8429768880208</x:v>
      </x:c>
      <x:c r="P193" s="23" t="n">
        <x:v>689.618408203125</x:v>
      </x:c>
      <x:c r="Q193" s="23" t="n">
        <x:v>707.6202799479166</x:v>
      </x:c>
      <x:c r="R193" s="23" t="n">
        <x:v>709.2759602864583</x:v>
      </x:c>
      <x:c r="S193" s="23" t="n">
        <x:v>700.0146484375</x:v>
      </x:c>
      <x:c r="T193" s="23" t="n">
        <x:v>848.5137453029561</x:v>
      </x:c>
      <x:c r="U193" s="23" t="n">
        <x:v>674.5810953776041</x:v>
      </x:c>
      <x:c r="V193" s="23" t="n">
        <x:v>684.750732421875</x:v>
      </x:c>
      <x:c r="W193" s="23" t="n">
        <x:v>687.2696940104166</x:v>
      </x:c>
      <x:c r="X193" s="23" t="n">
        <x:v>683.3319498697916</x:v>
      </x:c>
      <x:c r="Y193" s="23" t="n">
        <x:v>675.6995035807291</x:v>
      </x:c>
      <x:c r="Z193" s="23" t="n">
        <x:v>691.535400390625</x:v>
      </x:c>
      <x:c r="AA193" s="23" t="n">
        <x:v>700.1138509114583</x:v>
      </x:c>
      <x:c r="AB193" s="23" t="n">
        <x:v>706.9420572916666</x:v>
      </x:c>
      <x:c r="AC193" s="23" t="n">
        <x:v>694.1045735677083</x:v>
      </x:c>
      <x:c r="AD193" s="23" t="n">
        <x:v>665.581194485299</x:v>
      </x:c>
      <x:c r="AE193" s="23" t="n">
        <x:v>663.712890625</x:v>
      </x:c>
      <x:c r="AF193" s="23" t="n">
        <x:v>650.5012452461164</x:v>
      </x:c>
      <x:c r="AG193" s="23" t="n">
        <x:v>641.1390781530483</x:v>
      </x:c>
      <x:c r="AH193" s="23" t="n">
        <x:v>605.7780500669583</x:v>
      </x:c>
      <x:c r="AI193" s="23" t="n">
        <x:v>1404.2225828131236</x:v>
      </x:c>
      <x:c r="AJ193" s="23" t="n">
        <x:v>601.4274816280273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0</x:v>
      </x:c>
      <x:c r="BV193" s="23" t="n">
        <x:v>0</x:v>
      </x:c>
      <x:c r="BW193" s="23" t="n">
        <x:v>0</x:v>
      </x:c>
      <x:c r="BX193" s="23" t="n">
        <x:v>0</x:v>
      </x:c>
      <x:c r="BY193" s="23" t="n">
        <x:v>0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83.70766247800475</x:v>
      </x:c>
      <x:c r="CN193" s="23" t="n">
        <x:v>171.94443772840955</x:v>
      </x:c>
      <x:c r="CO193" s="23" t="n">
        <x:v>195.41749206617138</x:v>
      </x:c>
      <x:c r="CP193" s="23" t="n">
        <x:v>253.86992957452895</x:v>
      </x:c>
      <x:c r="CQ193" s="23" t="n">
        <x:v>326.49402989450175</x:v>
      </x:c>
      <x:c r="CR193" s="23" t="n">
        <x:v>382.15158968659216</x:v>
      </x:c>
      <x:c r="CS193" s="23" t="n">
        <x:v>419.4665088334842</x:v>
      </x:c>
      <x:c r="CT193" s="23" t="n">
        <x:v>479.91426041288315</x:v>
      </x:c>
      <x:c r="CU193" s="23" t="n">
        <x:v>528.1638109083931</x:v>
      </x:c>
      <x:c r="CV193" s="23" t="n">
        <x:v>580.08588670309</x:v>
      </x:c>
      <x:c r="CW193" s="23" t="n">
        <x:v>621.4299897125682</x:v>
      </x:c>
      <x:c r="CX193" s="23" t="n">
        <x:v>685.234183157459</x:v>
      </x:c>
      <x:c r="CY193" s="23" t="n">
        <x:v>755.8843933434018</x:v>
      </x:c>
      <x:c r="CZ193" s="23" t="n">
        <x:v>809.4236348357365</x:v>
      </x:c>
      <x:c r="DA193" s="23" t="n">
        <x:v>860.3716294542978</x:v>
      </x:c>
      <x:c r="DB193" s="23" t="n">
        <x:v>905.5553393266011</x:v>
      </x:c>
      <x:c r="DC193" s="23" t="n">
        <x:v>945.5970370364171</x:v>
      </x:c>
      <x:c r="DD193" s="23" t="n">
        <x:v>917.7245098373546</x:v>
      </x:c>
      <x:c r="DE193" s="23" t="n">
        <x:v>777.5814457644188</x:v>
      </x:c>
      <x:c r="DF193" s="23" t="n">
        <x:v>811.1895529501159</x:v>
      </x:c>
      <x:c r="DG193" s="23" t="n">
        <x:v>859.9349451742592</x:v>
      </x:c>
      <x:c r="DH193" s="23" t="n">
        <x:v>896.8104319780829</x:v>
      </x:c>
      <x:c r="DI193" s="23" t="n">
        <x:v>922.945833187473</x:v>
      </x:c>
      <x:c r="DJ193" s="23" t="n">
        <x:v>939.6914791096699</x:v>
      </x:c>
      <x:c r="DK193" s="23" t="n">
        <x:v>154.32085253408755</x:v>
      </x:c>
      <x:c r="DL193" s="23" t="n">
        <x:v>153.43334916381565</x:v>
      </x:c>
      <x:c r="DM193" s="23" t="n">
        <x:v>170.0461596944389</x:v>
      </x:c>
      <x:c r="DN193" s="23" t="n">
        <x:v>383.1766129277246</x:v>
      </x:c>
      <x:c r="DO193" s="23" t="n">
        <x:v>142.3367196354167</x:v>
      </x:c>
      <x:c r="DP193" s="23" t="n">
        <x:v>135.86051338541665</x:v>
      </x:c>
      <x:c r="DQ193" s="23" t="n">
        <x:v>149.03649348958334</x:v>
      </x:c>
      <x:c r="DR193" s="23" t="n">
        <x:v>158.88609018229164</x:v>
      </x:c>
      <x:c r="DS193" s="23" t="n">
        <x:v>150.41123557291667</x:v>
      </x:c>
      <x:c r="DT193" s="23" t="n">
        <x:v>145.538138671875</x:v>
      </x:c>
      <x:c r="DU193" s="23" t="n">
        <x:v>158.1627597916666</x:v>
      </x:c>
      <x:c r="DV193" s="23" t="n">
        <x:v>968.5484212239583</x:v>
      </x:c>
      <x:c r="DW193" s="23" t="n">
        <x:v>967.2380014949845</x:v>
      </x:c>
      <x:c r="DX193" s="23" t="n">
        <x:v>962.6622721354166</x:v>
      </x:c>
      <x:c r="DY193" s="23" t="n">
        <x:v>963.5833333333333</x:v>
      </x:c>
      <x:c r="DZ193" s="23" t="n">
        <x:v>961.12890625</x:v>
      </x:c>
      <x:c r="EA193" s="23" t="n">
        <x:v>956.3658854166666</x:v>
      </x:c>
      <x:c r="EB193" s="23" t="n">
        <x:v>895.9541190923997</x:v>
      </x:c>
      <x:c r="EC193" s="23" t="n">
        <x:v>775.9747559397508</x:v>
      </x:c>
      <x:c r="ED193" s="23" t="n">
        <x:v>1614.7549641927083</x:v>
      </x:c>
      <x:c r="EE193" s="23" t="n">
        <x:v>1613.0947265625</x:v>
      </x:c>
      <x:c r="EF193" s="23" t="n">
        <x:v>771.9297688802083</x:v>
      </x:c>
      <x:c r="EG193" s="23" t="n">
        <x:v>1604.5721842447915</x:v>
      </x:c>
      <x:c r="EH193" s="23" t="n">
        <x:v>1600.4969889322915</x:v>
      </x:c>
      <x:c r="EI193" s="23" t="n">
        <x:v>1568.0336100260415</x:v>
      </x:c>
      <x:c r="EJ193" s="23" t="n">
        <x:v>1031.5133326099535</x:v>
      </x:c>
      <x:c r="EK193" s="23" t="n">
        <x:v>766.4646809895833</x:v>
      </x:c>
      <x:c r="EL193" s="23" t="n">
        <x:v>775.930419921875</x:v>
      </x:c>
      <x:c r="EM193" s="23" t="n">
        <x:v>773.795654296875</x:v>
      </x:c>
      <x:c r="EN193" s="23" t="n">
        <x:v>763.1986490885416</x:v>
      </x:c>
      <x:c r="EO193" s="23" t="n">
        <x:v>1595.21826171875</x:v>
      </x:c>
      <x:c r="EP193" s="23" t="n">
        <x:f>SUM(B193:EO193)</x:f>
        <x:v>67506.8471555696</x:v>
      </x:c>
      <x:c r="EQ193" s="23" t="n">
        <x:f>SUMPRODUCT(B193:EO193,{0.483,0.5122,0.6003,0.5798,0.5354,0.539,0.5688,0.5443,0.4885,0.5025,0.5351,0.5238,0.4606,0.4366,0.4501,0.4196,0.4116,0.4512,0.4864,0.4789,0.4511,0.4586,0.4655,0.4497,0.4336,0.4638,0.5169,0.5143,0.4625,0.4224,0.4508,0.4621,0.415,0.3878,0.5983,0.9024,0.9105,0.8298,0.8221,0.8431,0.8248,0.7721,0.7525,0.7727,0.7582,0.6659,0.8186,1.1251,1.1479,1.0761,1.0704,1.0975,1.11,1.0816,1.023,1.0017,0.9954,0.9379,0.993,1.1403,1.1686,1.078,1.0021,1.0335,0.8124,0.4574,0.4688,0.5236,0.4624,0.4472,0.427,0.3929,0.4104,0.4443,0.4261,0.3636,0.5717,0.8992,0.8629,0.8094,0.8718,0.8478,0.8876,1.0269,1.1195,1.1246,1.1432,1.2605,1.0747,0.7068,0.7092,0.7946,0.7944,0.8304,0.8458,0.8374,0.8731,0.9016,0.9038,0.9176,0.9576,1.0033,1.0224,1.0471,1.0844,1.1215,1.2246,1.3377,1.3347,1.3651,1.4037,1.3082,1.4232,1.685,1.6777,1.6907,1.7686,1.6547,1.5836,1.6406,1.6691,1.6562,1.67,1.7234,1.4702,1.0571,1.0126,1.0755,1.0936,1.1352,0.9203,0.5664,0.5173,0.577,0.5687,0.5203,0.5335,0.5877,0.5685,0.5417,0.5517,0.569,0.5407,0.4811})</x:f>
        <x:v>49740.333443729156</x:v>
      </x:c>
    </x:row>
    <x:row r="194" ht="14" customHeight="1">
      <x:c r="A194" s="3">
        <x:v>45881</x:v>
      </x:c>
      <x:c r="B194" s="23" t="n">
        <x:v>761.937744140625</x:v>
      </x:c>
      <x:c r="C194" s="23" t="n">
        <x:v>758.4186197916666</x:v>
      </x:c>
      <x:c r="D194" s="23" t="n">
        <x:v>766.840576171875</x:v>
      </x:c>
      <x:c r="E194" s="23" t="n">
        <x:v>770.357177734375</x:v>
      </x:c>
      <x:c r="F194" s="23" t="n">
        <x:v>744.714599609375</x:v>
      </x:c>
      <x:c r="G194" s="23" t="n">
        <x:v>738.803955078125</x:v>
      </x:c>
      <x:c r="H194" s="23" t="n">
        <x:v>755.1832682291666</x:v>
      </x:c>
      <x:c r="I194" s="23" t="n">
        <x:v>736.8506673177083</x:v>
      </x:c>
      <x:c r="J194" s="23" t="n">
        <x:v>723.4436848958333</x:v>
      </x:c>
      <x:c r="K194" s="23" t="n">
        <x:v>714.869140625</x:v>
      </x:c>
      <x:c r="L194" s="23" t="n">
        <x:v>704.5043131510416</x:v>
      </x:c>
      <x:c r="M194" s="23" t="n">
        <x:v>694.534912109375</x:v>
      </x:c>
      <x:c r="N194" s="23" t="n">
        <x:v>727.5853678385416</x:v>
      </x:c>
      <x:c r="O194" s="23" t="n">
        <x:v>706.7237141927083</x:v>
      </x:c>
      <x:c r="P194" s="23" t="n">
        <x:v>687.5263671875</x:v>
      </x:c>
      <x:c r="Q194" s="23" t="n">
        <x:v>692.9991861979166</x:v>
      </x:c>
      <x:c r="R194" s="23" t="n">
        <x:v>677.4794921875</x:v>
      </x:c>
      <x:c r="S194" s="23" t="n">
        <x:v>960.6442791727352</x:v>
      </x:c>
      <x:c r="T194" s="23" t="n">
        <x:v>681.8568929036458</x:v>
      </x:c>
      <x:c r="U194" s="23" t="n">
        <x:v>716.6805013020833</x:v>
      </x:c>
      <x:c r="V194" s="23" t="n">
        <x:v>709.2791341145833</x:v>
      </x:c>
      <x:c r="W194" s="23" t="n">
        <x:v>697.4027506510416</x:v>
      </x:c>
      <x:c r="X194" s="23" t="n">
        <x:v>699.3125813802083</x:v>
      </x:c>
      <x:c r="Y194" s="23" t="n">
        <x:v>698.8590494791666</x:v>
      </x:c>
      <x:c r="Z194" s="23" t="n">
        <x:v>672.9494222005208</x:v>
      </x:c>
      <x:c r="AA194" s="23" t="n">
        <x:v>1501.9240315755208</x:v>
      </x:c>
      <x:c r="AB194" s="23" t="n">
        <x:v>1525.04296875</x:v>
      </x:c>
      <x:c r="AC194" s="23" t="n">
        <x:v>696.5576171875</x:v>
      </x:c>
      <x:c r="AD194" s="23" t="n">
        <x:v>671.9375950111594</x:v>
      </x:c>
      <x:c r="AE194" s="23" t="n">
        <x:v>657.9547119140625</x:v>
      </x:c>
      <x:c r="AF194" s="23" t="n">
        <x:v>656.4168294270833</x:v>
      </x:c>
      <x:c r="AG194" s="23" t="n">
        <x:v>1471.5120121316115</x:v>
      </x:c>
      <x:c r="AH194" s="23" t="n">
        <x:v>1444.146763669588</x:v>
      </x:c>
      <x:c r="AI194" s="23" t="n">
        <x:v>1410.8339350822937</x:v>
      </x:c>
      <x:c r="AJ194" s="23" t="n">
        <x:v>0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0</x:v>
      </x:c>
      <x:c r="BV194" s="23" t="n">
        <x:v>402.6039507673137</x:v>
      </x:c>
      <x:c r="BW194" s="23" t="n">
        <x:v>399.4301963010108</x:v>
      </x:c>
      <x:c r="BX194" s="23" t="n">
        <x:v>0</x:v>
      </x:c>
      <x:c r="BY194" s="23" t="n">
        <x:v>0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132.9113393460381</x:v>
      </x:c>
      <x:c r="CN194" s="23" t="n">
        <x:v>249.94520408872066</x:v>
      </x:c>
      <x:c r="CO194" s="23" t="n">
        <x:v>240.09604544141467</x:v>
      </x:c>
      <x:c r="CP194" s="23" t="n">
        <x:v>292.15466176572954</x:v>
      </x:c>
      <x:c r="CQ194" s="23" t="n">
        <x:v>350.0890140667907</x:v>
      </x:c>
      <x:c r="CR194" s="23" t="n">
        <x:v>396.3474757789871</x:v>
      </x:c>
      <x:c r="CS194" s="23" t="n">
        <x:v>435.4006957290409</x:v>
      </x:c>
      <x:c r="CT194" s="23" t="n">
        <x:v>481.5040965121628</x:v>
      </x:c>
      <x:c r="CU194" s="23" t="n">
        <x:v>521.7443351714978</x:v>
      </x:c>
      <x:c r="CV194" s="23" t="n">
        <x:v>586.8909003906144</x:v>
      </x:c>
      <x:c r="CW194" s="23" t="n">
        <x:v>642.2515825593462</x:v>
      </x:c>
      <x:c r="CX194" s="23" t="n">
        <x:v>703.4211307621931</x:v>
      </x:c>
      <x:c r="CY194" s="23" t="n">
        <x:v>745.7346421556324</x:v>
      </x:c>
      <x:c r="CZ194" s="23" t="n">
        <x:v>818.6033316755071</x:v>
      </x:c>
      <x:c r="DA194" s="23" t="n">
        <x:v>858.7334590976067</x:v>
      </x:c>
      <x:c r="DB194" s="23" t="n">
        <x:v>905.2867455444004</x:v>
      </x:c>
      <x:c r="DC194" s="23" t="n">
        <x:v>987.866418432062</x:v>
      </x:c>
      <x:c r="DD194" s="23" t="n">
        <x:v>940.7620978904512</x:v>
      </x:c>
      <x:c r="DE194" s="23" t="n">
        <x:v>802.0847504141291</x:v>
      </x:c>
      <x:c r="DF194" s="23" t="n">
        <x:v>819.6444956363405</x:v>
      </x:c>
      <x:c r="DG194" s="23" t="n">
        <x:v>880.623006849251</x:v>
      </x:c>
      <x:c r="DH194" s="23" t="n">
        <x:v>907.4924879438514</x:v>
      </x:c>
      <x:c r="DI194" s="23" t="n">
        <x:v>912.5246607651663</x:v>
      </x:c>
      <x:c r="DJ194" s="23" t="n">
        <x:v>940.2504069010416</x:v>
      </x:c>
      <x:c r="DK194" s="23" t="n">
        <x:v>176.5036324820042</x:v>
      </x:c>
      <x:c r="DL194" s="23" t="n">
        <x:v>158.82952689589393</x:v>
      </x:c>
      <x:c r="DM194" s="23" t="n">
        <x:v>164.36823760500192</x:v>
      </x:c>
      <x:c r="DN194" s="23" t="n">
        <x:v>180.11016341145842</x:v>
      </x:c>
      <x:c r="DO194" s="23" t="n">
        <x:v>156.3000985416667</x:v>
      </x:c>
      <x:c r="DP194" s="23" t="n">
        <x:v>143.7625316145833</x:v>
      </x:c>
      <x:c r="DQ194" s="23" t="n">
        <x:v>150.17363411458336</x:v>
      </x:c>
      <x:c r="DR194" s="23" t="n">
        <x:v>161.16973953125003</x:v>
      </x:c>
      <x:c r="DS194" s="23" t="n">
        <x:v>403.3189643400772</x:v>
      </x:c>
      <x:c r="DT194" s="23" t="n">
        <x:v>141.929740234375</x:v>
      </x:c>
      <x:c r="DU194" s="23" t="n">
        <x:v>155.29858335937493</x:v>
      </x:c>
      <x:c r="DV194" s="23" t="n">
        <x:v>957.7249348958333</x:v>
      </x:c>
      <x:c r="DW194" s="23" t="n">
        <x:v>954.3273798225307</x:v>
      </x:c>
      <x:c r="DX194" s="23" t="n">
        <x:v>958.3258287680043</x:v>
      </x:c>
      <x:c r="DY194" s="23" t="n">
        <x:v>955.1583658854166</x:v>
      </x:c>
      <x:c r="DZ194" s="23" t="n">
        <x:v>952.4671223958333</x:v>
      </x:c>
      <x:c r="EA194" s="23" t="n">
        <x:v>950.4868977864583</x:v>
      </x:c>
      <x:c r="EB194" s="23" t="n">
        <x:v>921.775972543724</x:v>
      </x:c>
      <x:c r="EC194" s="23" t="n">
        <x:v>1052.9759628986626</x:v>
      </x:c>
      <x:c r="ED194" s="23" t="n">
        <x:v>1613.6421712239583</x:v>
      </x:c>
      <x:c r="EE194" s="23" t="n">
        <x:v>788.5023600260416</x:v>
      </x:c>
      <x:c r="EF194" s="23" t="n">
        <x:v>782.6045735677083</x:v>
      </x:c>
      <x:c r="EG194" s="23" t="n">
        <x:v>775.60546875</x:v>
      </x:c>
      <x:c r="EH194" s="23" t="n">
        <x:v>1605.2281901041665</x:v>
      </x:c>
      <x:c r="EI194" s="23" t="n">
        <x:v>1604.7415364583333</x:v>
      </x:c>
      <x:c r="EJ194" s="23" t="n">
        <x:v>1583.8839518229165</x:v>
      </x:c>
      <x:c r="EK194" s="23" t="n">
        <x:v>1598.5833333333333</x:v>
      </x:c>
      <x:c r="EL194" s="23" t="n">
        <x:v>761.9825846354166</x:v>
      </x:c>
      <x:c r="EM194" s="23" t="n">
        <x:v>773.3592936197916</x:v>
      </x:c>
      <x:c r="EN194" s="23" t="n">
        <x:v>765.935302734375</x:v>
      </x:c>
      <x:c r="EO194" s="23" t="n">
        <x:v>1590.3064778645833</x:v>
      </x:c>
      <x:c r="EP194" s="23" t="n">
        <x:f>SUM(B194:EO194)</x:f>
        <x:v>68529.8635556648</x:v>
      </x:c>
      <x:c r="EQ194" s="23" t="n">
        <x:f>SUMPRODUCT(B194:EO194,{0.4638,0.5054,0.551,0.5246,0.4898,0.4956,0.5267,0.5133,0.4852,0.5323,0.5406,0.4982,0.5073,0.5112,0.4828,0.4651,0.4957,0.5481,0.5533,0.5208,0.5026,0.5345,0.5042,0.4384,0.4738,0.4908,0.4562,0.4656,0.5206,0.5636,0.5373,0.5174,0.4709,0.3472,0.566,0.9804,0.9792,0.8224,0.7682,0.8131,0.8247,0.7637,0.7097,0.7183,0.7186,0.6293,0.7819,1.1022,1.1537,1.0855,1.0534,1.0565,1.048,1.0141,0.9787,0.9491,0.9367,0.9653,1.0678,1.1768,1.1739,1.1423,1.1706,1.2222,0.9687,0.5621,0.5084,0.5344,0.4861,0.4843,0.4737,0.4298,0.4033,0.4292,0.4621,0.4537,0.6301,0.9014,0.9211,0.8538,0.8483,0.9059,1.0259,1.1433,1.176,1.2279,1.3166,1.3134,1.0519,0.7176,0.7046,0.8091,0.8538,0.858,0.899,0.9477,0.9132,0.9305,1.0085,1.0181,1.0096,1.0096,0.9971,1.0386,1.1127,1.1404,1.2438,1.3775,1.3675,1.3904,1.4519,1.3963,1.4507,1.633,1.7091,1.6704,1.604,1.6014,1.6256,1.6399,1.6415,1.6319,1.6449,1.6763,1.4643,1.1324,1.0879,1.0856,1.0483,1.1082,0.9175,0.5691,0.5382,0.5853,0.5561,0.5411,0.5318,0.5103,0.4863,0.5043,0.5447,0.5415,0.5301,0.5366})</x:f>
        <x:v>51021.65906967722</x:v>
      </x:c>
    </x:row>
    <x:row r="195" ht="14" customHeight="1">
      <x:c r="A195" s="3">
        <x:v>45882</x:v>
      </x:c>
      <x:c r="B195" s="23" t="n">
        <x:v>751.0068359375</x:v>
      </x:c>
      <x:c r="C195" s="23" t="n">
        <x:v>742.3814290364583</x:v>
      </x:c>
      <x:c r="D195" s="23" t="n">
        <x:v>755.436767578125</x:v>
      </x:c>
      <x:c r="E195" s="23" t="n">
        <x:v>751.5094401041666</x:v>
      </x:c>
      <x:c r="F195" s="23" t="n">
        <x:v>753.3609212239583</x:v>
      </x:c>
      <x:c r="G195" s="23" t="n">
        <x:v>741.9912109375</x:v>
      </x:c>
      <x:c r="H195" s="23" t="n">
        <x:v>751.399169921875</x:v>
      </x:c>
      <x:c r="I195" s="23" t="n">
        <x:v>720.0355631510416</x:v>
      </x:c>
      <x:c r="J195" s="23" t="n">
        <x:v>702.6290690104166</x:v>
      </x:c>
      <x:c r="K195" s="23" t="n">
        <x:v>707.8057454427083</x:v>
      </x:c>
      <x:c r="L195" s="23" t="n">
        <x:v>699.7107747395833</x:v>
      </x:c>
      <x:c r="M195" s="23" t="n">
        <x:v>686.2188313802083</x:v>
      </x:c>
      <x:c r="N195" s="23" t="n">
        <x:v>681.8829345703125</x:v>
      </x:c>
      <x:c r="O195" s="23" t="n">
        <x:v>685.5957845052083</x:v>
      </x:c>
      <x:c r="P195" s="23" t="n">
        <x:v>702.9449055989583</x:v>
      </x:c>
      <x:c r="Q195" s="23" t="n">
        <x:v>707.1663411458333</x:v>
      </x:c>
      <x:c r="R195" s="23" t="n">
        <x:v>699.768798828125</x:v>
      </x:c>
      <x:c r="S195" s="23" t="n">
        <x:v>686.6708984375</x:v>
      </x:c>
      <x:c r="T195" s="23" t="n">
        <x:v>709.2295735677083</x:v>
      </x:c>
      <x:c r="U195" s="23" t="n">
        <x:v>719.0553385416666</x:v>
      </x:c>
      <x:c r="V195" s="23" t="n">
        <x:v>719.01416015625</x:v>
      </x:c>
      <x:c r="W195" s="23" t="n">
        <x:v>717.83203125</x:v>
      </x:c>
      <x:c r="X195" s="23" t="n">
        <x:v>700.153076171875</x:v>
      </x:c>
      <x:c r="Y195" s="23" t="n">
        <x:v>677.3207194010416</x:v>
      </x:c>
      <x:c r="Z195" s="23" t="n">
        <x:v>679.9507649739583</x:v>
      </x:c>
      <x:c r="AA195" s="23" t="n">
        <x:v>687.062744140625</x:v>
      </x:c>
      <x:c r="AB195" s="23" t="n">
        <x:v>1500.1727294921875</x:v>
      </x:c>
      <x:c r="AC195" s="23" t="n">
        <x:v>662.6510009765625</x:v>
      </x:c>
      <x:c r="AD195" s="23" t="n">
        <x:v>658.1611867497134</x:v>
      </x:c>
      <x:c r="AE195" s="23" t="n">
        <x:v>1500.7069091796875</x:v>
      </x:c>
      <x:c r="AF195" s="23" t="n">
        <x:v>668.9529622395833</x:v>
      </x:c>
      <x:c r="AG195" s="23" t="n">
        <x:v>660.3526870378222</x:v>
      </x:c>
      <x:c r="AH195" s="23" t="n">
        <x:v>1462.9404486888172</x:v>
      </x:c>
      <x:c r="AI195" s="23" t="n">
        <x:v>1415.2236347841176</x:v>
      </x:c>
      <x:c r="AJ195" s="23" t="n">
        <x:v>607.7422897371459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418.57239984635873</x:v>
      </x:c>
      <x:c r="BV195" s="23" t="n">
        <x:v>60.59199400979833</x:v>
      </x:c>
      <x:c r="BW195" s="23" t="n">
        <x:v>0</x:v>
      </x:c>
      <x:c r="BX195" s="23" t="n">
        <x:v>422.6758190251415</x:v>
      </x:c>
      <x:c r="BY195" s="23" t="n">
        <x:v>464.1427247924533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128.45253901627044</x:v>
      </x:c>
      <x:c r="CN195" s="23" t="n">
        <x:v>289.9772932445098</x:v>
      </x:c>
      <x:c r="CO195" s="23" t="n">
        <x:v>240.76467131891846</x:v>
      </x:c>
      <x:c r="CP195" s="23" t="n">
        <x:v>296.70665430534683</x:v>
      </x:c>
      <x:c r="CQ195" s="23" t="n">
        <x:v>364.8847567946796</x:v>
      </x:c>
      <x:c r="CR195" s="23" t="n">
        <x:v>411.53825503324225</x:v>
      </x:c>
      <x:c r="CS195" s="23" t="n">
        <x:v>446.7360085734973</x:v>
      </x:c>
      <x:c r="CT195" s="23" t="n">
        <x:v>496.47289915178555</x:v>
      </x:c>
      <x:c r="CU195" s="23" t="n">
        <x:v>552.90828432005</x:v>
      </x:c>
      <x:c r="CV195" s="23" t="n">
        <x:v>608.2672802173236</x:v>
      </x:c>
      <x:c r="CW195" s="23" t="n">
        <x:v>667.5721795258366</x:v>
      </x:c>
      <x:c r="CX195" s="23" t="n">
        <x:v>710.5824657595455</x:v>
      </x:c>
      <x:c r="CY195" s="23" t="n">
        <x:v>745.2019254878793</x:v>
      </x:c>
      <x:c r="CZ195" s="23" t="n">
        <x:v>799.7712343989813</x:v>
      </x:c>
      <x:c r="DA195" s="23" t="n">
        <x:v>853.4178151449834</x:v>
      </x:c>
      <x:c r="DB195" s="23" t="n">
        <x:v>920.0816279911738</x:v>
      </x:c>
      <x:c r="DC195" s="23" t="n">
        <x:v>994.5800640699936</x:v>
      </x:c>
      <x:c r="DD195" s="23" t="n">
        <x:v>939.8870208039787</x:v>
      </x:c>
      <x:c r="DE195" s="23" t="n">
        <x:v>799.7306042258101</x:v>
      </x:c>
      <x:c r="DF195" s="23" t="n">
        <x:v>821.944340208223</x:v>
      </x:c>
      <x:c r="DG195" s="23" t="n">
        <x:v>888.8913114618719</x:v>
      </x:c>
      <x:c r="DH195" s="23" t="n">
        <x:v>919.8272558675337</x:v>
      </x:c>
      <x:c r="DI195" s="23" t="n">
        <x:v>946.2824790798643</x:v>
      </x:c>
      <x:c r="DJ195" s="23" t="n">
        <x:v>965.4437662760416</x:v>
      </x:c>
      <x:c r="DK195" s="23" t="n">
        <x:v>177.5570992788792</x:v>
      </x:c>
      <x:c r="DL195" s="23" t="n">
        <x:v>171.45726355728948</x:v>
      </x:c>
      <x:c r="DM195" s="23" t="n">
        <x:v>425.51230243987044</x:v>
      </x:c>
      <x:c r="DN195" s="23" t="n">
        <x:v>174.24801302083338</x:v>
      </x:c>
      <x:c r="DO195" s="23" t="n">
        <x:v>158.08069750000004</x:v>
      </x:c>
      <x:c r="DP195" s="23" t="n">
        <x:v>158.72325140625009</x:v>
      </x:c>
      <x:c r="DQ195" s="23" t="n">
        <x:v>150.87602669270836</x:v>
      </x:c>
      <x:c r="DR195" s="23" t="n">
        <x:v>153.3838989843751</x:v>
      </x:c>
      <x:c r="DS195" s="23" t="n">
        <x:v>142.00270692708332</x:v>
      </x:c>
      <x:c r="DT195" s="23" t="n">
        <x:v>131.44742838541666</x:v>
      </x:c>
      <x:c r="DU195" s="23" t="n">
        <x:v>144.20643966145826</x:v>
      </x:c>
      <x:c r="DV195" s="23" t="n">
        <x:v>954.5894368489583</x:v>
      </x:c>
      <x:c r="DW195" s="23" t="n">
        <x:v>959.5447463589891</x:v>
      </x:c>
      <x:c r="DX195" s="23" t="n">
        <x:v>960.2710774739583</x:v>
      </x:c>
      <x:c r="DY195" s="23" t="n">
        <x:v>952.148681640625</x:v>
      </x:c>
      <x:c r="DZ195" s="23" t="n">
        <x:v>944.7659505208333</x:v>
      </x:c>
      <x:c r="EA195" s="23" t="n">
        <x:v>960.10888671875</x:v>
      </x:c>
      <x:c r="EB195" s="23" t="n">
        <x:v>920.9342394627699</x:v>
      </x:c>
      <x:c r="EC195" s="23" t="n">
        <x:v>776.1767416168339</x:v>
      </x:c>
      <x:c r="ED195" s="23" t="n">
        <x:v>1590.082275390625</x:v>
      </x:c>
      <x:c r="EE195" s="23" t="n">
        <x:v>786.093505859375</x:v>
      </x:c>
      <x:c r="EF195" s="23" t="n">
        <x:v>774.7811686197916</x:v>
      </x:c>
      <x:c r="EG195" s="23" t="n">
        <x:v>770.831787109375</x:v>
      </x:c>
      <x:c r="EH195" s="23" t="n">
        <x:v>1581.8956705729165</x:v>
      </x:c>
      <x:c r="EI195" s="23" t="n">
        <x:v>734.8443196614583</x:v>
      </x:c>
      <x:c r="EJ195" s="23" t="n">
        <x:v>1025.575751229745</x:v>
      </x:c>
      <x:c r="EK195" s="23" t="n">
        <x:v>1580.55322265625</x:v>
      </x:c>
      <x:c r="EL195" s="23" t="n">
        <x:v>1593.1127115885415</x:v>
      </x:c>
      <x:c r="EM195" s="23" t="n">
        <x:v>1580.05322265625</x:v>
      </x:c>
      <x:c r="EN195" s="23" t="n">
        <x:v>1593.3546549479165</x:v>
      </x:c>
      <x:c r="EO195" s="23" t="n">
        <x:v>760.2334798177083</x:v>
      </x:c>
      <x:c r="EP195" s="23" t="n">
        <x:f>SUM(B195:EO195)</x:f>
        <x:v>68637.39000719515</x:v>
      </x:c>
      <x:c r="EQ195" s="23" t="n">
        <x:f>SUMPRODUCT(B195:EO195,{0.546,0.5258,0.5045,0.542,0.5678,0.5536,0.5411,0.548,0.5552,0.5279,0.491,0.4903,0.5441,0.545,0.5041,0.5357,0.5698,0.5575,0.5232,0.5074,0.498,0.4548,0.4481,0.4757,0.4705,0.5043,0.5499,0.5068,0.5081,0.5363,0.4524,0.4597,0.5122,0.3992,0.5706,0.9577,0.9973,0.8866,0.8242,0.8043,0.7912,0.7706,0.7534,0.7448,0.7218,0.6876,0.8397,1.0899,1.1303,1.104,1.1069,1.0919,1.0894,1.0856,1.0297,0.9829,0.941,0.8685,0.9639,1.1568,1.1597,1.1265,1.1908,1.274,1.0161,0.5783,0.5127,0.5854,0.5652,0.4629,0.4282,0.4489,0.3943,0.4242,0.4808,0.3789,0.5605,0.9243,0.8963,0.8087,0.8559,0.9082,1.024,1.1788,1.2404,1.1881,1.1622,1.2808,1.0787,0.6784,0.6904,0.757,0.7121,0.758,0.8107,0.8215,0.8458,0.9084,0.9623,0.9424,0.9547,1.0135,1.0349,1.0763,1.1278,1.1221,1.1727,1.3036,1.4094,1.4174,1.3526,1.3301,1.4617,1.6401,1.6399,1.6234,1.6445,1.6025,1.6024,1.6477,1.6286,1.6019,1.6475,1.7327,1.4832,1.0639,1.0384,1.0857,1.0672,1.1257,0.9165,0.5487,0.5178,0.5584,0.5243,0.5384,0.5376,0.5094,0.5161,0.5188,0.4961,0.4764,0.5111,0.5667})</x:f>
        <x:v>50940.093616074584</x:v>
      </x:c>
    </x:row>
    <x:row r="196" ht="14" customHeight="1">
      <x:c r="A196" s="3">
        <x:v>45883</x:v>
      </x:c>
      <x:c r="B196" s="23" t="n">
        <x:v>744.044677734375</x:v>
      </x:c>
      <x:c r="C196" s="23" t="n">
        <x:v>737.8838704427083</x:v>
      </x:c>
      <x:c r="D196" s="23" t="n">
        <x:v>735.6162923177083</x:v>
      </x:c>
      <x:c r="E196" s="23" t="n">
        <x:v>747.526123046875</x:v>
      </x:c>
      <x:c r="F196" s="23" t="n">
        <x:v>750.3264973958333</x:v>
      </x:c>
      <x:c r="G196" s="23" t="n">
        <x:v>762.0884602864583</x:v>
      </x:c>
      <x:c r="H196" s="23" t="n">
        <x:v>720.100341796875</x:v>
      </x:c>
      <x:c r="I196" s="23" t="n">
        <x:v>718.7801920572916</x:v>
      </x:c>
      <x:c r="J196" s="23" t="n">
        <x:v>731.6201171875</x:v>
      </x:c>
      <x:c r="K196" s="23" t="n">
        <x:v>713.4047037760416</x:v>
      </x:c>
      <x:c r="L196" s="23" t="n">
        <x:v>706.7213541666666</x:v>
      </x:c>
      <x:c r="M196" s="23" t="n">
        <x:v>712.436767578125</x:v>
      </x:c>
      <x:c r="N196" s="23" t="n">
        <x:v>709.0023600260416</x:v>
      </x:c>
      <x:c r="O196" s="23" t="n">
        <x:v>117.15632082913217</x:v>
      </x:c>
      <x:c r="P196" s="23" t="n">
        <x:v>722.2825520833333</x:v>
      </x:c>
      <x:c r="Q196" s="23" t="n">
        <x:v>711.6966959635416</x:v>
      </x:c>
      <x:c r="R196" s="23" t="n">
        <x:v>1542.5467122395833</x:v>
      </x:c>
      <x:c r="S196" s="23" t="n">
        <x:v>696.6162923177083</x:v>
      </x:c>
      <x:c r="T196" s="23" t="n">
        <x:v>1528.095947265625</x:v>
      </x:c>
      <x:c r="U196" s="23" t="n">
        <x:v>700.9331868489583</x:v>
      </x:c>
      <x:c r="V196" s="23" t="n">
        <x:v>693.9095052083333</x:v>
      </x:c>
      <x:c r="W196" s="23" t="n">
        <x:v>675.4757893880208</x:v>
      </x:c>
      <x:c r="X196" s="23" t="n">
        <x:v>665.3991292317708</x:v>
      </x:c>
      <x:c r="Y196" s="23" t="n">
        <x:v>669.4989013671875</x:v>
      </x:c>
      <x:c r="Z196" s="23" t="n">
        <x:v>689.8159993489583</x:v>
      </x:c>
      <x:c r="AA196" s="23" t="n">
        <x:v>1527.5672200520833</x:v>
      </x:c>
      <x:c r="AB196" s="23" t="n">
        <x:v>679.29052734375</x:v>
      </x:c>
      <x:c r="AC196" s="23" t="n">
        <x:v>670.0716552734375</x:v>
      </x:c>
      <x:c r="AD196" s="23" t="n">
        <x:v>672.0776310005609</x:v>
      </x:c>
      <x:c r="AE196" s="23" t="n">
        <x:v>689.7579752604166</x:v>
      </x:c>
      <x:c r="AF196" s="23" t="n">
        <x:v>692.4002278645833</x:v>
      </x:c>
      <x:c r="AG196" s="23" t="n">
        <x:v>664.6690810504122</x:v>
      </x:c>
      <x:c r="AH196" s="23" t="n">
        <x:v>1458.8524189319262</x:v>
      </x:c>
      <x:c r="AI196" s="23" t="n">
        <x:v>1414.0163835651556</x:v>
      </x:c>
      <x:c r="AJ196" s="23" t="n">
        <x:v>606.1146489329049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561.4378092039162</x:v>
      </x:c>
      <x:c r="BQ196" s="23" t="n">
        <x:v>0</x:v>
      </x:c>
      <x:c r="BR196" s="23" t="n">
        <x:v>0</x:v>
      </x:c>
      <x:c r="BS196" s="23" t="n">
        <x:v>0</x:v>
      </x:c>
      <x:c r="BT196" s="23" t="n">
        <x:v>0</x:v>
      </x:c>
      <x:c r="BU196" s="23" t="n">
        <x:v>0</x:v>
      </x:c>
      <x:c r="BV196" s="23" t="n">
        <x:v>409.2909849606658</x:v>
      </x:c>
      <x:c r="BW196" s="23" t="n">
        <x:v>0</x:v>
      </x:c>
      <x:c r="BX196" s="23" t="n">
        <x:v>0</x:v>
      </x:c>
      <x:c r="BY196" s="23" t="n">
        <x:v>447.6219247947438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95.00233683405015</x:v>
      </x:c>
      <x:c r="CN196" s="23" t="n">
        <x:v>200.11363257793818</x:v>
      </x:c>
      <x:c r="CO196" s="23" t="n">
        <x:v>208.23578523149718</x:v>
      </x:c>
      <x:c r="CP196" s="23" t="n">
        <x:v>257.42383322001626</x:v>
      </x:c>
      <x:c r="CQ196" s="23" t="n">
        <x:v>320.32345901846804</x:v>
      </x:c>
      <x:c r="CR196" s="23" t="n">
        <x:v>365.85518665174425</x:v>
      </x:c>
      <x:c r="CS196" s="23" t="n">
        <x:v>421.4806984363328</x:v>
      </x:c>
      <x:c r="CT196" s="23" t="n">
        <x:v>475.07866033912137</x:v>
      </x:c>
      <x:c r="CU196" s="23" t="n">
        <x:v>531.6801726957234</x:v>
      </x:c>
      <x:c r="CV196" s="23" t="n">
        <x:v>593.1639571823936</x:v>
      </x:c>
      <x:c r="CW196" s="23" t="n">
        <x:v>646.6845740937302</x:v>
      </x:c>
      <x:c r="CX196" s="23" t="n">
        <x:v>702.3357984751246</x:v>
      </x:c>
      <x:c r="CY196" s="23" t="n">
        <x:v>749.7997747863262</x:v>
      </x:c>
      <x:c r="CZ196" s="23" t="n">
        <x:v>797.7311671806302</x:v>
      </x:c>
      <x:c r="DA196" s="23" t="n">
        <x:v>847.4429470715543</x:v>
      </x:c>
      <x:c r="DB196" s="23" t="n">
        <x:v>917.9461046223232</x:v>
      </x:c>
      <x:c r="DC196" s="23" t="n">
        <x:v>988.6278729735378</x:v>
      </x:c>
      <x:c r="DD196" s="23" t="n">
        <x:v>962.6578979222678</x:v>
      </x:c>
      <x:c r="DE196" s="23" t="n">
        <x:v>786.8153195366614</x:v>
      </x:c>
      <x:c r="DF196" s="23" t="n">
        <x:v>826.3678592664462</x:v>
      </x:c>
      <x:c r="DG196" s="23" t="n">
        <x:v>891.543888492202</x:v>
      </x:c>
      <x:c r="DH196" s="23" t="n">
        <x:v>918.8696279995526</x:v>
      </x:c>
      <x:c r="DI196" s="23" t="n">
        <x:v>948.3721151690434</x:v>
      </x:c>
      <x:c r="DJ196" s="23" t="n">
        <x:v>955.1187337239583</x:v>
      </x:c>
      <x:c r="DK196" s="23" t="n">
        <x:v>156.3931995392959</x:v>
      </x:c>
      <x:c r="DL196" s="23" t="n">
        <x:v>148.9870235499108</x:v>
      </x:c>
      <x:c r="DM196" s="23" t="n">
        <x:v>411.44840790862054</x:v>
      </x:c>
      <x:c r="DN196" s="23" t="n">
        <x:v>153.51526562500004</x:v>
      </x:c>
      <x:c r="DO196" s="23" t="n">
        <x:v>130.0984383854167</x:v>
      </x:c>
      <x:c r="DP196" s="23" t="n">
        <x:v>121.60004177083343</x:v>
      </x:c>
      <x:c r="DQ196" s="23" t="n">
        <x:v>128.33815950520844</x:v>
      </x:c>
      <x:c r="DR196" s="23" t="n">
        <x:v>145.7559692968751</x:v>
      </x:c>
      <x:c r="DS196" s="23" t="n">
        <x:v>149.12095236979167</x:v>
      </x:c>
      <x:c r="DT196" s="23" t="n">
        <x:v>132.28397200520823</x:v>
      </x:c>
      <x:c r="DU196" s="23" t="n">
        <x:v>146.19203536458326</x:v>
      </x:c>
      <x:c r="DV196" s="23" t="n">
        <x:v>961.3501790364583</x:v>
      </x:c>
      <x:c r="DW196" s="23" t="n">
        <x:v>957.1236037808641</x:v>
      </x:c>
      <x:c r="DX196" s="23" t="n">
        <x:v>969.2998046875</x:v>
      </x:c>
      <x:c r="DY196" s="23" t="n">
        <x:v>964.796630859375</x:v>
      </x:c>
      <x:c r="DZ196" s="23" t="n">
        <x:v>962.843505859375</x:v>
      </x:c>
      <x:c r="EA196" s="23" t="n">
        <x:v>959.21142578125</x:v>
      </x:c>
      <x:c r="EB196" s="23" t="n">
        <x:v>916.0349881606867</x:v>
      </x:c>
      <x:c r="EC196" s="23" t="n">
        <x:v>779.3615560699589</x:v>
      </x:c>
      <x:c r="ED196" s="23" t="n">
        <x:v>1044.1896021412035</x:v>
      </x:c>
      <x:c r="EE196" s="23" t="n">
        <x:v>771.5840657552083</x:v>
      </x:c>
      <x:c r="EF196" s="23" t="n">
        <x:v>760.583984375</x:v>
      </x:c>
      <x:c r="EG196" s="23" t="n">
        <x:v>757.3271484375</x:v>
      </x:c>
      <x:c r="EH196" s="23" t="n">
        <x:v>1594.3369954427083</x:v>
      </x:c>
      <x:c r="EI196" s="23" t="n">
        <x:v>1580.33447265625</x:v>
      </x:c>
      <x:c r="EJ196" s="23" t="n">
        <x:v>744.1033528645833</x:v>
      </x:c>
      <x:c r="EK196" s="23" t="n">
        <x:v>1567.984130859375</x:v>
      </x:c>
      <x:c r="EL196" s="23" t="n">
        <x:v>1573.3810221354165</x:v>
      </x:c>
      <x:c r="EM196" s="23" t="n">
        <x:v>746.4916178385416</x:v>
      </x:c>
      <x:c r="EN196" s="23" t="n">
        <x:v>1546.1048177083333</x:v>
      </x:c>
      <x:c r="EO196" s="23" t="n">
        <x:v>1493.7366536458333</x:v>
      </x:c>
      <x:c r="EP196" s="23" t="n">
        <x:f>SUM(B196:EO196)</x:f>
        <x:v>68278.731705056</x:v>
      </x:c>
      <x:c r="EQ196" s="23" t="n">
        <x:f>SUMPRODUCT(B196:EO196,{0.5562,0.5349,0.5397,0.5534,0.5661,0.563,0.5268,0.4617,0.4376,0.5219,0.5387,0.483,0.5119,0.51,0.4722,0.5079,0.4699,0.3843,0.4383,0.5126,0.5273,0.5138,0.478,0.4718,0.5489,0.5638,0.4941,0.4642,0.4871,0.5299,0.5545,0.5636,0.5087,0.3912,0.625,1.0337,1.0027,0.9194,0.9421,0.8464,0.814,0.8566,0.79,0.7458,0.7324,0.6574,0.824,1.1674,1.2705,1.1864,1.0902,1.1006,1.1187,1.0602,0.945,0.9207,0.9501,0.8838,0.9723,1.1661,1.1395,1.0611,1.0839,1.1389,0.8726,0.4535,0.4291,0.508,0.4801,0.4298,0.4268,0.4653,0.488,0.5047,0.4801,0.3999,0.5613,0.8696,0.9121,0.877,0.8684,0.8163,0.9016,1.0859,1.1321,1.1413,1.2017,1.2474,1.0214,0.6833,0.6774,0.7454,0.7433,0.7844,0.8354,0.8639,0.8799,0.8979,0.9193,0.9419,0.9976,1.0494,1.0324,1.0717,1.1452,1.1209,1.1996,1.3478,1.3266,1.3403,1.4102,1.3671,1.4499,1.6435,1.6676,1.6143,1.6015,1.649,1.6725,1.655,1.6432,1.5799,1.5725,1.7384,1.5058,1.0391,1.0909,1.1517,1.0479,1.0891,0.8983,0.5484,0.5373,0.564,0.5004,0.5276,0.549,0.5416,0.5832,0.572,0.5191,0.5365,0.511,0.4303})</x:f>
        <x:v>50493.3607976876</x:v>
      </x:c>
    </x:row>
    <x:row r="197" ht="14" customHeight="1">
      <x:c r="A197" s="3">
        <x:v>45884</x:v>
      </x:c>
      <x:c r="B197" s="23" t="n">
        <x:v>594.843017578125</x:v>
      </x:c>
      <x:c r="C197" s="23" t="n">
        <x:v>589.9296875</x:v>
      </x:c>
      <x:c r="D197" s="23" t="n">
        <x:v>0</x:v>
      </x:c>
      <x:c r="E197" s="23" t="n">
        <x:v>586.8821207682291</x:v>
      </x:c>
      <x:c r="F197" s="23" t="n">
        <x:v>597.2547200520833</x:v>
      </x:c>
      <x:c r="G197" s="23" t="n">
        <x:v>0</x:v>
      </x:c>
      <x:c r="H197" s="23" t="n">
        <x:v>595.5321044921875</x:v>
      </x:c>
      <x:c r="I197" s="23" t="n">
        <x:v>0</x:v>
      </x:c>
      <x:c r="J197" s="23" t="n">
        <x:v>594.8473714192708</x:v>
      </x:c>
      <x:c r="K197" s="23" t="n">
        <x:v>581.1097412109375</x:v>
      </x:c>
      <x:c r="L197" s="23" t="n">
        <x:v>580.5801595052083</x:v>
      </x:c>
      <x:c r="M197" s="23" t="n">
        <x:v>571.3304850260416</x:v>
      </x:c>
      <x:c r="N197" s="23" t="n">
        <x:v>0</x:v>
      </x:c>
      <x:c r="O197" s="23" t="n">
        <x:v>0</x:v>
      </x:c>
      <x:c r="P197" s="23" t="n">
        <x:v>550.66064453125</x:v>
      </x:c>
      <x:c r="Q197" s="23" t="n">
        <x:v>530.1336669921875</x:v>
      </x:c>
      <x:c r="R197" s="23" t="n">
        <x:v>523.5284830729166</x:v>
      </x:c>
      <x:c r="S197" s="23" t="n">
        <x:v>558.99658203125</x:v>
      </x:c>
      <x:c r="T197" s="23" t="n">
        <x:v>577.1688232421875</x:v>
      </x:c>
      <x:c r="U197" s="23" t="n">
        <x:v>157.03238799560813</x:v>
      </x:c>
      <x:c r="V197" s="23" t="n">
        <x:v>550.4838460286458</x:v>
      </x:c>
      <x:c r="W197" s="23" t="n">
        <x:v>544.4460042317708</x:v>
      </x:c>
      <x:c r="X197" s="23" t="n">
        <x:v>529.8523763020833</x:v>
      </x:c>
      <x:c r="Y197" s="23" t="n">
        <x:v>538.1255696614583</x:v>
      </x:c>
      <x:c r="Z197" s="23" t="n">
        <x:v>525.045654296875</x:v>
      </x:c>
      <x:c r="AA197" s="23" t="n">
        <x:v>531.4666748046875</x:v>
      </x:c>
      <x:c r="AB197" s="23" t="n">
        <x:v>561.568603515625</x:v>
      </x:c>
      <x:c r="AC197" s="23" t="n">
        <x:v>527.7576904296875</x:v>
      </x:c>
      <x:c r="AD197" s="23" t="n">
        <x:v>508.2597598646137</x:v>
      </x:c>
      <x:c r="AE197" s="23" t="n">
        <x:v>511.6868896484375</x:v>
      </x:c>
      <x:c r="AF197" s="23" t="n">
        <x:v>516.2156575520833</x:v>
      </x:c>
      <x:c r="AG197" s="23" t="n">
        <x:v>493.22801597006287</x:v>
      </x:c>
      <x:c r="AH197" s="23" t="n">
        <x:v>459.62580397360995</x:v>
      </x:c>
      <x:c r="AI197" s="23" t="n">
        <x:v>1252.1287351965918</x:v>
      </x:c>
      <x:c r="AJ197" s="23" t="n">
        <x:v>385.1657447667122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0</x:v>
      </x:c>
      <x:c r="CT197" s="23" t="n">
        <x:v>20.327478902653034</x:v>
      </x:c>
      <x:c r="CU197" s="23" t="n">
        <x:v>68.27305912780017</x:v>
      </x:c>
      <x:c r="CV197" s="23" t="n">
        <x:v>138.031145141448</x:v>
      </x:c>
      <x:c r="CW197" s="23" t="n">
        <x:v>186.00930292192066</x:v>
      </x:c>
      <x:c r="CX197" s="23" t="n">
        <x:v>184.88477117943185</x:v>
      </x:c>
      <x:c r="CY197" s="23" t="n">
        <x:v>206.37327858076156</x:v>
      </x:c>
      <x:c r="CZ197" s="23" t="n">
        <x:v>249.82918780251308</x:v>
      </x:c>
      <x:c r="DA197" s="23" t="n">
        <x:v>314.05035023209075</x:v>
      </x:c>
      <x:c r="DB197" s="23" t="n">
        <x:v>368.4735622401064</x:v>
      </x:c>
      <x:c r="DC197" s="23" t="n">
        <x:v>414.2647916010451</x:v>
      </x:c>
      <x:c r="DD197" s="23" t="n">
        <x:v>497.51023430264183</x:v>
      </x:c>
      <x:c r="DE197" s="23" t="n">
        <x:v>558.6963219238226</x:v>
      </x:c>
      <x:c r="DF197" s="23" t="n">
        <x:v>586.828825398296</x:v>
      </x:c>
      <x:c r="DG197" s="23" t="n">
        <x:v>593.5860709214362</x:v>
      </x:c>
      <x:c r="DH197" s="23" t="n">
        <x:v>627.2628517532684</x:v>
      </x:c>
      <x:c r="DI197" s="23" t="n">
        <x:v>652.2272790150759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8.063478835136493</x:v>
      </x:c>
      <x:c r="DW197" s="23" t="n">
        <x:v>678.5377637281376</x:v>
      </x:c>
      <x:c r="DX197" s="23" t="n">
        <x:v>674.4185007113235</x:v>
      </x:c>
      <x:c r="DY197" s="23" t="n">
        <x:v>657.2876383463541</x:v>
      </x:c>
      <x:c r="DZ197" s="23" t="n">
        <x:v>650.8064371744791</x:v>
      </x:c>
      <x:c r="EA197" s="23" t="n">
        <x:v>678.4584554036458</x:v>
      </x:c>
      <x:c r="EB197" s="23" t="n">
        <x:v>681.5561597061467</x:v>
      </x:c>
      <x:c r="EC197" s="23" t="n">
        <x:v>1430.0815022786458</x:v>
      </x:c>
      <x:c r="ED197" s="23" t="n">
        <x:v>1422.25830078125</x:v>
      </x:c>
      <x:c r="EE197" s="23" t="n">
        <x:v>587.8851725260416</x:v>
      </x:c>
      <x:c r="EF197" s="23" t="n">
        <x:v>600.63134765625</x:v>
      </x:c>
      <x:c r="EG197" s="23" t="n">
        <x:v>596.7667643229166</x:v>
      </x:c>
      <x:c r="EH197" s="23" t="n">
        <x:v>592.8554280598958</x:v>
      </x:c>
      <x:c r="EI197" s="23" t="n">
        <x:v>604.7527669270833</x:v>
      </x:c>
      <x:c r="EJ197" s="23" t="n">
        <x:v>595.337890625</x:v>
      </x:c>
      <x:c r="EK197" s="23" t="n">
        <x:v>845.9492295002252</x:v>
      </x:c>
      <x:c r="EL197" s="23" t="n">
        <x:v>1387.6031494140625</x:v>
      </x:c>
      <x:c r="EM197" s="23" t="n">
        <x:v>1404.4916585286458</x:v>
      </x:c>
      <x:c r="EN197" s="23" t="n">
        <x:v>1405.720987955729</x:v>
      </x:c>
      <x:c r="EO197" s="23" t="n">
        <x:v>1407.750773111979</x:v>
      </x:c>
      <x:c r="EP197" s="23" t="n">
        <x:f>SUM(B197:EO197)</x:f>
        <x:v>39202.728938297696</x:v>
      </x:c>
      <x:c r="EQ197" s="23" t="n">
        <x:f>SUMPRODUCT(B197:EO197,{0.4053,0.4088,0.4137,0.4273,0.448,0.4489,0.407,0.4007,0.4339,0.4326,0.4119,0.386,0.3588,0.3868,0.4269,0.3812,0.3789,0.4353,0.4296,0.386,0.3585,0.371,0.3616,0.3522,0.4171,0.4279,0.3784,0.3883,0.3883,0.3557,0.3517,0.3872,0.3996,0.351,0.5221,0.7889,0.7292,0.652,0.697,0.6998,0.7024,0.6983,0.6231,0.5913,0.5725,0.4608,0.5884,0.8535,0.7953,0.6836,0.698,0.7459,0.7665,0.745,0.6988,0.6356,0.5818,0.5883,0.7143,0.8394,0.7723,0.7503,0.8382,0.8286,0.5657,0.2186,0.139,0.1798,0.2015,0.1976,0.1534,0.1119,0.1423,0.1773,0.1878,0.2266,0.3734,0.5484,0.5712,0.5189,0.4828,0.5092,0.6628,0.8616,0.9213,0.86,0.8513,1.0079,0.8225,0.4158,0.437,0.5323,0.5114,0.5431,0.5476,0.526,0.5839,0.6576,0.6863,0.6711,0.6706,0.7018,0.7326,0.756,0.7525,0.7318,0.8845,1.1358,1.2039,1.2145,1.234,1.2193,1.3363,1.5156,1.499,1.4239,1.4252,1.5013,1.5299,1.5003,1.5047,1.4929,1.5116,1.6114,1.3529,0.8924,0.8627,0.9402,0.9604,1.0368,0.8008,0.4029,0.4062,0.4649,0.4135,0.4347,0.452,0.442,0.4728,0.4926,0.479,0.4659,0.4677,0.483})</x:f>
        <x:v>21752.711139298248</x:v>
      </x:c>
    </x:row>
    <x:row r="198" ht="14" customHeight="1">
      <x:c r="A198" s="3">
        <x:v>45885</x:v>
      </x:c>
      <x:c r="B198" s="23" t="n">
        <x:v>0</x:v>
      </x:c>
      <x:c r="C198" s="23" t="n">
        <x:v>0</x:v>
      </x:c>
      <x:c r="D198" s="23" t="n">
        <x:v>0</x:v>
      </x:c>
      <x:c r="E198" s="23" t="n">
        <x:v>0</x:v>
      </x:c>
      <x:c r="F198" s="23" t="n">
        <x:v>586.7274576822916</x:v>
      </x:c>
      <x:c r="G198" s="23" t="n">
        <x:v>583.2933349609375</x:v>
      </x:c>
      <x:c r="H198" s="23" t="n">
        <x:v>592.978515625</x:v>
      </x:c>
      <x:c r="I198" s="23" t="n">
        <x:v>576.3194173177083</x:v>
      </x:c>
      <x:c r="J198" s="23" t="n">
        <x:v>590.0336507161458</x:v>
      </x:c>
      <x:c r="K198" s="23" t="n">
        <x:v>574.4498291015625</x:v>
      </x:c>
      <x:c r="L198" s="23" t="n">
        <x:v>541.9839274088541</x:v>
      </x:c>
      <x:c r="M198" s="23" t="n">
        <x:v>583.8424886067708</x:v>
      </x:c>
      <x:c r="N198" s="23" t="n">
        <x:v>556.8045482539989</x:v>
      </x:c>
      <x:c r="O198" s="23" t="n">
        <x:v>552.2994384765625</x:v>
      </x:c>
      <x:c r="P198" s="23" t="n">
        <x:v>563.8380940755208</x:v>
      </x:c>
      <x:c r="Q198" s="23" t="n">
        <x:v>0</x:v>
      </x:c>
      <x:c r="R198" s="23" t="n">
        <x:v>553.7097574869791</x:v>
      </x:c>
      <x:c r="S198" s="23" t="n">
        <x:v>531.9881591796875</x:v>
      </x:c>
      <x:c r="T198" s="23" t="n">
        <x:v>529.1111653645833</x:v>
      </x:c>
      <x:c r="U198" s="23" t="n">
        <x:v>539.4857177734375</x:v>
      </x:c>
      <x:c r="V198" s="23" t="n">
        <x:v>532.6666259765625</x:v>
      </x:c>
      <x:c r="W198" s="23" t="n">
        <x:v>498.727294921875</x:v>
      </x:c>
      <x:c r="X198" s="23" t="n">
        <x:v>504.1485188802083</x:v>
      </x:c>
      <x:c r="Y198" s="23" t="n">
        <x:v>0</x:v>
      </x:c>
      <x:c r="Z198" s="23" t="n">
        <x:v>515.8872477213541</x:v>
      </x:c>
      <x:c r="AA198" s="23" t="n">
        <x:v>1347.6853841145833</x:v>
      </x:c>
      <x:c r="AB198" s="23" t="n">
        <x:v>522.1197509765625</x:v>
      </x:c>
      <x:c r="AC198" s="23" t="n">
        <x:v>524.3105875651041</x:v>
      </x:c>
      <x:c r="AD198" s="23" t="n">
        <x:v>488.4684382573874</x:v>
      </x:c>
      <x:c r="AE198" s="23" t="n">
        <x:v>469.57511393229163</x:v>
      </x:c>
      <x:c r="AF198" s="23" t="n">
        <x:v>498.5858968098958</x:v>
      </x:c>
      <x:c r="AG198" s="23" t="n">
        <x:v>481.7892347809395</x:v>
      </x:c>
      <x:c r="AH198" s="23" t="n">
        <x:v>484.86629607464795</x:v>
      </x:c>
      <x:c r="AI198" s="23" t="n">
        <x:v>1269.0251467922237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17.74457754153794</x:v>
      </x:c>
      <x:c r="CU198" s="23" t="n">
        <x:v>59.46529453968499</x:v>
      </x:c>
      <x:c r="CV198" s="23" t="n">
        <x:v>112.85050354715509</x:v>
      </x:c>
      <x:c r="CW198" s="23" t="n">
        <x:v>189.67578115613316</x:v>
      </x:c>
      <x:c r="CX198" s="23" t="n">
        <x:v>204.53345751955493</x:v>
      </x:c>
      <x:c r="CY198" s="23" t="n">
        <x:v>172.7117251630816</x:v>
      </x:c>
      <x:c r="CZ198" s="23" t="n">
        <x:v>221.2579029095578</x:v>
      </x:c>
      <x:c r="DA198" s="23" t="n">
        <x:v>311.0094862499278</x:v>
      </x:c>
      <x:c r="DB198" s="23" t="n">
        <x:v>366.0030988340013</x:v>
      </x:c>
      <x:c r="DC198" s="23" t="n">
        <x:v>402.573141466015</x:v>
      </x:c>
      <x:c r="DD198" s="23" t="n">
        <x:v>452.69259474999774</x:v>
      </x:c>
      <x:c r="DE198" s="23" t="n">
        <x:v>511.2125395366661</x:v>
      </x:c>
      <x:c r="DF198" s="23" t="n">
        <x:v>543.2440509160598</x:v>
      </x:c>
      <x:c r="DG198" s="23" t="n">
        <x:v>589.9987699560575</x:v>
      </x:c>
      <x:c r="DH198" s="23" t="n">
        <x:v>643.8549741401716</x:v>
      </x:c>
      <x:c r="DI198" s="23" t="n">
        <x:v>657.4934944761557</x:v>
      </x:c>
      <x:c r="DJ198" s="23" t="n">
        <x:v>135.62766304699585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0</x:v>
      </x:c>
      <x:c r="DW198" s="23" t="n">
        <x:v>713.4108720341435</x:v>
      </x:c>
      <x:c r="DX198" s="23" t="n">
        <x:v>690.716064453125</x:v>
      </x:c>
      <x:c r="DY198" s="23" t="n">
        <x:v>691.2969563802083</x:v>
      </x:c>
      <x:c r="DZ198" s="23" t="n">
        <x:v>683.781494140625</x:v>
      </x:c>
      <x:c r="EA198" s="23" t="n">
        <x:v>679.7171313151041</x:v>
      </x:c>
      <x:c r="EB198" s="23" t="n">
        <x:v>639.5610758463541</x:v>
      </x:c>
      <x:c r="EC198" s="23" t="n">
        <x:v>1438.9669189453125</x:v>
      </x:c>
      <x:c r="ED198" s="23" t="n">
        <x:v>1429.0177001953125</x:v>
      </x:c>
      <x:c r="EE198" s="23" t="n">
        <x:v>596.2115885416666</x:v>
      </x:c>
      <x:c r="EF198" s="23" t="n">
        <x:v>604.2361653645833</x:v>
      </x:c>
      <x:c r="EG198" s="23" t="n">
        <x:v>1413.126220703125</x:v>
      </x:c>
      <x:c r="EH198" s="23" t="n">
        <x:v>1417.1949869791665</x:v>
      </x:c>
      <x:c r="EI198" s="23" t="n">
        <x:v>588.7496337890625</x:v>
      </x:c>
      <x:c r="EJ198" s="23" t="n">
        <x:v>580.6170654296875</x:v>
      </x:c>
      <x:c r="EK198" s="23" t="n">
        <x:v>1420.5691731770833</x:v>
      </x:c>
      <x:c r="EL198" s="23" t="n">
        <x:v>1424.6101888020833</x:v>
      </x:c>
      <x:c r="EM198" s="23" t="n">
        <x:v>1415.449259440104</x:v>
      </x:c>
      <x:c r="EN198" s="23" t="n">
        <x:v>622.3938802083333</x:v>
      </x:c>
      <x:c r="EO198" s="23" t="n">
        <x:v>310.89952486979183</x:v>
      </x:c>
      <x:c r="EP198" s="23" t="n">
        <x:f>SUM(B198:EO198)</x:f>
        <x:v>39547.195995197304</x:v>
      </x:c>
      <x:c r="EQ198" s="23" t="n">
        <x:f>SUMPRODUCT(B198:EO198,{0.4952,0.4689,0.4222,0.4119,0.4181,0.4328,0.4595,0.4239,0.3541,0.3588,0.3803,0.3924,0.4272,0.4527,0.4423,0.4085,0.4262,0.4649,0.4227,0.3921,0.4045,0.4023,0.4132,0.4195,0.3697,0.343,0.3808,0.4391,0.4261,0.3721,0.395,0.4274,0.3848,0.2927,0.472,0.7633,0.6762,0.5911,0.6576,0.6452,0.6194,0.6332,0.646,0.6058,0.5059,0.4258,0.5831,0.8245,0.7594,0.6545,0.6554,0.6503,0.6549,0.665,0.6457,0.6529,0.6457,0.5511,0.6308,0.8489,0.8824,0.7888,0.7435,0.8172,0.6186,0.2373,0.1804,0.2426,0.2464,0.2152,0.1327,0.0685,0.13,0.1879,0.1755,0.1707,0.3259,0.5599,0.6278,0.6253,0.5975,0.5231,0.6511,0.8833,0.8623,0.8431,0.9561,1.0268,0.8106,0.4509,0.3592,0.4165,0.4928,0.5743,0.6072,0.6076,0.6369,0.6197,0.6003,0.6935,0.6946,0.6253,0.7123,0.7775,0.7345,0.7159,0.9278,1.2277,1.2555,1.2307,1.2663,1.2721,1.3587,1.4906,1.4967,1.4588,1.4561,1.4853,1.4888,1.4599,1.4498,1.4826,1.5409,1.5402,1.2808,0.9364,0.9137,0.9584,0.9347,0.9181,0.6941,0.3994,0.4281,0.5069,0.4701,0.4223,0.4276,0.4381,0.3739,0.4124,0.4979,0.4012,0.3812,0.4952})</x:f>
        <x:v>21690.04018282364</x:v>
      </x:c>
    </x:row>
    <x:row r="199" ht="14" customHeight="1">
      <x:c r="A199" s="3">
        <x:v>45886</x:v>
      </x:c>
      <x:c r="B199" s="23" t="n">
        <x:v>759.9930826822916</x:v>
      </x:c>
      <x:c r="C199" s="23" t="n">
        <x:v>723.680419921875</x:v>
      </x:c>
      <x:c r="D199" s="23" t="n">
        <x:v>720.8318684895833</x:v>
      </x:c>
      <x:c r="E199" s="23" t="n">
        <x:v>747.3671061197916</x:v>
      </x:c>
      <x:c r="F199" s="23" t="n">
        <x:v>766.3323567708333</x:v>
      </x:c>
      <x:c r="G199" s="23" t="n">
        <x:v>760.7748209635416</x:v>
      </x:c>
      <x:c r="H199" s="23" t="n">
        <x:v>727.65185546875</x:v>
      </x:c>
      <x:c r="I199" s="23" t="n">
        <x:v>720.3102213541666</x:v>
      </x:c>
      <x:c r="J199" s="23" t="n">
        <x:v>724.739501953125</x:v>
      </x:c>
      <x:c r="K199" s="23" t="n">
        <x:v>721.0062662760416</x:v>
      </x:c>
      <x:c r="L199" s="23" t="n">
        <x:v>711.2994791666666</x:v>
      </x:c>
      <x:c r="M199" s="23" t="n">
        <x:v>694.3048502604166</x:v>
      </x:c>
      <x:c r="N199" s="23" t="n">
        <x:v>701.5865071614583</x:v>
      </x:c>
      <x:c r="O199" s="23" t="n">
        <x:v>690.46923828125</x:v>
      </x:c>
      <x:c r="P199" s="23" t="n">
        <x:v>702.8834635416666</x:v>
      </x:c>
      <x:c r="Q199" s="23" t="n">
        <x:v>724.4871419270833</x:v>
      </x:c>
      <x:c r="R199" s="23" t="n">
        <x:v>719.6416829427083</x:v>
      </x:c>
      <x:c r="S199" s="23" t="n">
        <x:v>693.5665690104166</x:v>
      </x:c>
      <x:c r="T199" s="23" t="n">
        <x:v>680.7786458333333</x:v>
      </x:c>
      <x:c r="U199" s="23" t="n">
        <x:v>672.940185546875</x:v>
      </x:c>
      <x:c r="V199" s="23" t="n">
        <x:v>1490.812784830729</x:v>
      </x:c>
      <x:c r="W199" s="23" t="n">
        <x:v>668.4901529947916</x:v>
      </x:c>
      <x:c r="X199" s="23" t="n">
        <x:v>699.2255859375</x:v>
      </x:c>
      <x:c r="Y199" s="23" t="n">
        <x:v>682.0198567708333</x:v>
      </x:c>
      <x:c r="Z199" s="23" t="n">
        <x:v>689.3019205729166</x:v>
      </x:c>
      <x:c r="AA199" s="23" t="n">
        <x:v>684.5247395833333</x:v>
      </x:c>
      <x:c r="AB199" s="23" t="n">
        <x:v>696.8919270833333</x:v>
      </x:c>
      <x:c r="AC199" s="23" t="n">
        <x:v>688.2154134114583</x:v>
      </x:c>
      <x:c r="AD199" s="23" t="n">
        <x:v>682.5513341323776</x:v>
      </x:c>
      <x:c r="AE199" s="23" t="n">
        <x:v>642.0460611979166</x:v>
      </x:c>
      <x:c r="AF199" s="23" t="n">
        <x:v>657.5659185388298</x:v>
      </x:c>
      <x:c r="AG199" s="23" t="n">
        <x:v>1467.5687654639273</x:v>
      </x:c>
      <x:c r="AH199" s="23" t="n">
        <x:v>1445.9382370896658</x:v>
      </x:c>
      <x:c r="AI199" s="23" t="n">
        <x:v>1416.5529909487695</x:v>
      </x:c>
      <x:c r="AJ199" s="23" t="n">
        <x:v>0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87.31496713229771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490.6884080730818</x:v>
      </x:c>
      <x:c r="BQ199" s="23" t="n">
        <x:v>0</x:v>
      </x:c>
      <x:c r="BR199" s="23" t="n">
        <x:v>0</x:v>
      </x:c>
      <x:c r="BS199" s="23" t="n">
        <x:v>0</x:v>
      </x:c>
      <x:c r="BT199" s="23" t="n">
        <x:v>409.10731522434617</x:v>
      </x:c>
      <x:c r="BU199" s="23" t="n">
        <x:v>0</x:v>
      </x:c>
      <x:c r="BV199" s="23" t="n">
        <x:v>383.1844373786692</x:v>
      </x:c>
      <x:c r="BW199" s="23" t="n">
        <x:v>0</x:v>
      </x:c>
      <x:c r="BX199" s="23" t="n">
        <x:v>0</x:v>
      </x:c>
      <x:c r="BY199" s="23" t="n">
        <x:v>444.81036210668356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105.15820857793597</x:v>
      </x:c>
      <x:c r="CN199" s="23" t="n">
        <x:v>288.53605555155013</x:v>
      </x:c>
      <x:c r="CO199" s="23" t="n">
        <x:v>220.69129106690826</x:v>
      </x:c>
      <x:c r="CP199" s="23" t="n">
        <x:v>252.996475514957</x:v>
      </x:c>
      <x:c r="CQ199" s="23" t="n">
        <x:v>333.1566029104972</x:v>
      </x:c>
      <x:c r="CR199" s="23" t="n">
        <x:v>394.9864495138364</x:v>
      </x:c>
      <x:c r="CS199" s="23" t="n">
        <x:v>425.8733470740118</x:v>
      </x:c>
      <x:c r="CT199" s="23" t="n">
        <x:v>473.4904192589365</x:v>
      </x:c>
      <x:c r="CU199" s="23" t="n">
        <x:v>549.662279639336</x:v>
      </x:c>
      <x:c r="CV199" s="23" t="n">
        <x:v>602.6423098346107</x:v>
      </x:c>
      <x:c r="CW199" s="23" t="n">
        <x:v>648.5158576444275</x:v>
      </x:c>
      <x:c r="CX199" s="23" t="n">
        <x:v>705.8537803039995</x:v>
      </x:c>
      <x:c r="CY199" s="23" t="n">
        <x:v>774.0563906412941</x:v>
      </x:c>
      <x:c r="CZ199" s="23" t="n">
        <x:v>817.3714633691407</x:v>
      </x:c>
      <x:c r="DA199" s="23" t="n">
        <x:v>867.6518166891498</x:v>
      </x:c>
      <x:c r="DB199" s="23" t="n">
        <x:v>939.0470155659946</x:v>
      </x:c>
      <x:c r="DC199" s="23" t="n">
        <x:v>998.62057046353</x:v>
      </x:c>
      <x:c r="DD199" s="23" t="n">
        <x:v>968.4691177128517</x:v>
      </x:c>
      <x:c r="DE199" s="23" t="n">
        <x:v>819.6012837589747</x:v>
      </x:c>
      <x:c r="DF199" s="23" t="n">
        <x:v>776.1846846897121</x:v>
      </x:c>
      <x:c r="DG199" s="23" t="n">
        <x:v>886.2547367546886</x:v>
      </x:c>
      <x:c r="DH199" s="23" t="n">
        <x:v>936.8848315577479</x:v>
      </x:c>
      <x:c r="DI199" s="23" t="n">
        <x:v>943.5232875628362</x:v>
      </x:c>
      <x:c r="DJ199" s="23" t="n">
        <x:v>934.4443487715826</x:v>
      </x:c>
      <x:c r="DK199" s="23" t="n">
        <x:v>152.03128535301448</x:v>
      </x:c>
      <x:c r="DL199" s="23" t="n">
        <x:v>168.22922178199525</x:v>
      </x:c>
      <x:c r="DM199" s="23" t="n">
        <x:v>159.10363704427073</x:v>
      </x:c>
      <x:c r="DN199" s="23" t="n">
        <x:v>154.8748209635417</x:v>
      </x:c>
      <x:c r="DO199" s="23" t="n">
        <x:v>130.64341608072905</x:v>
      </x:c>
      <x:c r="DP199" s="23" t="n">
        <x:v>141.52819739583325</x:v>
      </x:c>
      <x:c r="DQ199" s="23" t="n">
        <x:v>150.6032486979167</x:v>
      </x:c>
      <x:c r="DR199" s="23" t="n">
        <x:v>362.6478879694631</x:v>
      </x:c>
      <x:c r="DS199" s="23" t="n">
        <x:v>141.62817226562493</x:v>
      </x:c>
      <x:c r="DT199" s="23" t="n">
        <x:v>152.9739143880209</x:v>
      </x:c>
      <x:c r="DU199" s="23" t="n">
        <x:v>182.22573919270826</x:v>
      </x:c>
      <x:c r="DV199" s="23" t="n">
        <x:v>989.82177734375</x:v>
      </x:c>
      <x:c r="DW199" s="23" t="n">
        <x:v>988.5832353153937</x:v>
      </x:c>
      <x:c r="DX199" s="23" t="n">
        <x:v>970.442626953125</x:v>
      </x:c>
      <x:c r="DY199" s="23" t="n">
        <x:v>967.6151529947916</x:v>
      </x:c>
      <x:c r="DZ199" s="23" t="n">
        <x:v>930.68994140625</x:v>
      </x:c>
      <x:c r="EA199" s="23" t="n">
        <x:v>944.7357266927083</x:v>
      </x:c>
      <x:c r="EB199" s="23" t="n">
        <x:v>867.190185546875</x:v>
      </x:c>
      <x:c r="EC199" s="23" t="n">
        <x:v>736.4243977864583</x:v>
      </x:c>
      <x:c r="ED199" s="23" t="n">
        <x:v>1602.2261555989583</x:v>
      </x:c>
      <x:c r="EE199" s="23" t="n">
        <x:v>798.452392578125</x:v>
      </x:c>
      <x:c r="EF199" s="23" t="n">
        <x:v>779.2748209635416</x:v>
      </x:c>
      <x:c r="EG199" s="23" t="n">
        <x:v>758.0948079427083</x:v>
      </x:c>
      <x:c r="EH199" s="23" t="n">
        <x:v>1609.9895833333333</x:v>
      </x:c>
      <x:c r="EI199" s="23" t="n">
        <x:v>1621.932373046875</x:v>
      </x:c>
      <x:c r="EJ199" s="23" t="n">
        <x:v>1585.4014485677083</x:v>
      </x:c>
      <x:c r="EK199" s="23" t="n">
        <x:v>1567.6991373697915</x:v>
      </x:c>
      <x:c r="EL199" s="23" t="n">
        <x:v>765.3053385416666</x:v>
      </x:c>
      <x:c r="EM199" s="23" t="n">
        <x:v>766.1780598958333</x:v>
      </x:c>
      <x:c r="EN199" s="23" t="n">
        <x:v>1045.9627400816617</x:v>
      </x:c>
      <x:c r="EO199" s="23" t="n">
        <x:v>1585.81103515625</x:v>
      </x:c>
      <x:c r="EP199" s="23" t="n">
        <x:f>SUM(B199:EO199)</x:f>
        <x:v>68233.44954482076</x:v>
      </x:c>
      <x:c r="EQ199" s="23" t="n">
        <x:f>SUMPRODUCT(B199:EO199,{0.5309,0.5069,0.5046,0.5649,0.5662,0.4879,0.4373,0.4637,0.5238,0.5234,0.4734,0.4429,0.4927,0.5264,0.5222,0.5392,0.5119,0.4716,0.5211,0.5381,0.5009,0.5003,0.4545,0.3974,0.4553,0.4887,0.4593,0.4648,0.4732,0.4729,0.4938,0.5141,0.4628,0.3386,0.5327,0.9359,1.0096,0.8883,0.8132,0.8808,0.889,0.8203,0.8384,0.8054,0.6928,0.6633,0.88,1.1535,1.1142,1.057,1.0886,1.0333,1.0132,1.0463,1.0117,0.9594,0.9111,0.8551,0.9273,1.0808,1.1128,1.0796,1.0657,1.0518,0.7809,0.3972,0.3422,0.4161,0.4341,0.4081,0.4075,0.4129,0.3626,0.4173,0.509,0.4416,0.6214,0.9577,0.9251,0.8446,0.8718,0.8536,0.9259,1.078,1.1299,1.1184,1.1335,1.1813,0.9709,0.6467,0.6727,0.7668,0.7768,0.8211,0.8192,0.8002,0.8839,0.9131,0.8919,0.9777,1.0216,1.0049,1.0588,1.0841,1.0727,1.1326,1.2326,1.3243,1.3855,1.4212,1.4294,1.4217,1.5122,1.6516,1.6723,1.6825,1.6959,1.6199,1.591,1.6431,1.6693,1.6485,1.6521,1.7136,1.4634,1.0553,1.046,1.1208,1.1195,1.1559,0.9436,0.5847,0.5107,0.5129,0.4732,0.4968,0.5552,0.5725,0.5077,0.4965,0.5457,0.5397,0.5619,0.5937})</x:f>
        <x:v>50507.829168015</x:v>
      </x:c>
    </x:row>
    <x:row r="200" ht="14" customHeight="1">
      <x:c r="A200" s="3">
        <x:v>45887</x:v>
      </x:c>
      <x:c r="B200" s="23" t="n">
        <x:v>754.5115559895833</x:v>
      </x:c>
      <x:c r="C200" s="23" t="n">
        <x:v>749.71923828125</x:v>
      </x:c>
      <x:c r="D200" s="23" t="n">
        <x:v>0</x:v>
      </x:c>
      <x:c r="E200" s="23" t="n">
        <x:v>738.757568359375</x:v>
      </x:c>
      <x:c r="F200" s="23" t="n">
        <x:v>733.73193359375</x:v>
      </x:c>
      <x:c r="G200" s="23" t="n">
        <x:v>738.7522786458333</x:v>
      </x:c>
      <x:c r="H200" s="23" t="n">
        <x:v>738.1029459635416</x:v>
      </x:c>
      <x:c r="I200" s="23" t="n">
        <x:v>721.022216796875</x:v>
      </x:c>
      <x:c r="J200" s="23" t="n">
        <x:v>703.2149251302083</x:v>
      </x:c>
      <x:c r="K200" s="23" t="n">
        <x:v>1544.9453125</x:v>
      </x:c>
      <x:c r="L200" s="23" t="n">
        <x:v>709.26611328125</x:v>
      </x:c>
      <x:c r="M200" s="23" t="n">
        <x:v>688.7833658854166</x:v>
      </x:c>
      <x:c r="N200" s="23" t="n">
        <x:v>676.4457600911458</x:v>
      </x:c>
      <x:c r="O200" s="23" t="n">
        <x:v>685.471923828125</x:v>
      </x:c>
      <x:c r="P200" s="23" t="n">
        <x:v>708.6415201822916</x:v>
      </x:c>
      <x:c r="Q200" s="23" t="n">
        <x:v>695.0641276041666</x:v>
      </x:c>
      <x:c r="R200" s="23" t="n">
        <x:v>690.3197428385416</x:v>
      </x:c>
      <x:c r="S200" s="23" t="n">
        <x:v>697.2215169270833</x:v>
      </x:c>
      <x:c r="T200" s="23" t="n">
        <x:v>1536.3938802083333</x:v>
      </x:c>
      <x:c r="U200" s="23" t="n">
        <x:v>707.5115559895833</x:v>
      </x:c>
      <x:c r="V200" s="23" t="n">
        <x:v>1523.2449914210151</x:v>
      </x:c>
      <x:c r="W200" s="23" t="n">
        <x:v>694.0707194010416</x:v>
      </x:c>
      <x:c r="X200" s="23" t="n">
        <x:v>673.607177734375</x:v>
      </x:c>
      <x:c r="Y200" s="23" t="n">
        <x:v>655.5384928385416</x:v>
      </x:c>
      <x:c r="Z200" s="23" t="n">
        <x:v>667.8118082682291</x:v>
      </x:c>
      <x:c r="AA200" s="23" t="n">
        <x:v>677.6024576822916</x:v>
      </x:c>
      <x:c r="AB200" s="23" t="n">
        <x:v>688.3042805989583</x:v>
      </x:c>
      <x:c r="AC200" s="23" t="n">
        <x:v>672.9121500651041</x:v>
      </x:c>
      <x:c r="AD200" s="23" t="n">
        <x:v>655.9723708923423</x:v>
      </x:c>
      <x:c r="AE200" s="23" t="n">
        <x:v>1492.9132893880208</x:v>
      </x:c>
      <x:c r="AF200" s="23" t="n">
        <x:v>639.0392381707372</x:v>
      </x:c>
      <x:c r="AG200" s="23" t="n">
        <x:v>637.2770616282896</x:v>
      </x:c>
      <x:c r="AH200" s="23" t="n">
        <x:v>626.3438437291284</x:v>
      </x:c>
      <x:c r="AI200" s="23" t="n">
        <x:v>1418.338961480472</x:v>
      </x:c>
      <x:c r="AJ200" s="23" t="n">
        <x:v>0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391.1143758360082</x:v>
      </x:c>
      <x:c r="BU200" s="23" t="n">
        <x:v>193.27218528532185</x:v>
      </x:c>
      <x:c r="BV200" s="23" t="n">
        <x:v>386.691781866108</x:v>
      </x:c>
      <x:c r="BW200" s="23" t="n">
        <x:v>0</x:v>
      </x:c>
      <x:c r="BX200" s="23" t="n">
        <x:v>0</x:v>
      </x:c>
      <x:c r="BY200" s="23" t="n">
        <x:v>443.72963334369643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104.33371561149852</x:v>
      </x:c>
      <x:c r="CN200" s="23" t="n">
        <x:v>158.6472371699807</x:v>
      </x:c>
      <x:c r="CO200" s="23" t="n">
        <x:v>214.9808944640954</x:v>
      </x:c>
      <x:c r="CP200" s="23" t="n">
        <x:v>262.36929214574894</x:v>
      </x:c>
      <x:c r="CQ200" s="23" t="n">
        <x:v>314.0052377691309</x:v>
      </x:c>
      <x:c r="CR200" s="23" t="n">
        <x:v>363.7966506029185</x:v>
      </x:c>
      <x:c r="CS200" s="23" t="n">
        <x:v>404.841652596313</x:v>
      </x:c>
      <x:c r="CT200" s="23" t="n">
        <x:v>463.5902447380055</x:v>
      </x:c>
      <x:c r="CU200" s="23" t="n">
        <x:v>522.6015239683545</x:v>
      </x:c>
      <x:c r="CV200" s="23" t="n">
        <x:v>594.1075425567417</x:v>
      </x:c>
      <x:c r="CW200" s="23" t="n">
        <x:v>648.0267940479268</x:v>
      </x:c>
      <x:c r="CX200" s="23" t="n">
        <x:v>698.9361601784295</x:v>
      </x:c>
      <x:c r="CY200" s="23" t="n">
        <x:v>750.4583738620634</x:v>
      </x:c>
      <x:c r="CZ200" s="23" t="n">
        <x:v>806.9912087322392</x:v>
      </x:c>
      <x:c r="DA200" s="23" t="n">
        <x:v>854.9195425650951</x:v>
      </x:c>
      <x:c r="DB200" s="23" t="n">
        <x:v>917.1588227446293</x:v>
      </x:c>
      <x:c r="DC200" s="23" t="n">
        <x:v>978.9381638468167</x:v>
      </x:c>
      <x:c r="DD200" s="23" t="n">
        <x:v>957.7479499627466</x:v>
      </x:c>
      <x:c r="DE200" s="23" t="n">
        <x:v>785.5518421844486</x:v>
      </x:c>
      <x:c r="DF200" s="23" t="n">
        <x:v>809.0621340033346</x:v>
      </x:c>
      <x:c r="DG200" s="23" t="n">
        <x:v>898.2570100148066</x:v>
      </x:c>
      <x:c r="DH200" s="23" t="n">
        <x:v>928.3090104689105</x:v>
      </x:c>
      <x:c r="DI200" s="23" t="n">
        <x:v>947.0058929686174</x:v>
      </x:c>
      <x:c r="DJ200" s="23" t="n">
        <x:v>944.3520302910143</x:v>
      </x:c>
      <x:c r="DK200" s="23" t="n">
        <x:v>152.2936715445042</x:v>
      </x:c>
      <x:c r="DL200" s="23" t="n">
        <x:v>165.69743439806234</x:v>
      </x:c>
      <x:c r="DM200" s="23" t="n">
        <x:v>162.3946994019575</x:v>
      </x:c>
      <x:c r="DN200" s="23" t="n">
        <x:v>182.95575846354177</x:v>
      </x:c>
      <x:c r="DO200" s="23" t="n">
        <x:v>161.91199632812504</x:v>
      </x:c>
      <x:c r="DP200" s="23" t="n">
        <x:v>154.37168890625009</x:v>
      </x:c>
      <x:c r="DQ200" s="23" t="n">
        <x:v>122.76434765625011</x:v>
      </x:c>
      <x:c r="DR200" s="23" t="n">
        <x:v>392.19072095457955</x:v>
      </x:c>
      <x:c r="DS200" s="23" t="n">
        <x:v>146.14308778645832</x:v>
      </x:c>
      <x:c r="DT200" s="23" t="n">
        <x:v>136.50603320312499</x:v>
      </x:c>
      <x:c r="DU200" s="23" t="n">
        <x:v>145.82278583333328</x:v>
      </x:c>
      <x:c r="DV200" s="23" t="n">
        <x:v>945.2738444010416</x:v>
      </x:c>
      <x:c r="DW200" s="23" t="n">
        <x:v>943.8313021395961</x:v>
      </x:c>
      <x:c r="DX200" s="23" t="n">
        <x:v>945.4117837416409</x:v>
      </x:c>
      <x:c r="DY200" s="23" t="n">
        <x:v>951.9063313802083</x:v>
      </x:c>
      <x:c r="DZ200" s="23" t="n">
        <x:v>956.2306315104166</x:v>
      </x:c>
      <x:c r="EA200" s="23" t="n">
        <x:v>952.8174102604166</x:v>
      </x:c>
      <x:c r="EB200" s="23" t="n">
        <x:v>918.9019023759001</x:v>
      </x:c>
      <x:c r="EC200" s="23" t="n">
        <x:v>777.7315104970422</x:v>
      </x:c>
      <x:c r="ED200" s="23" t="n">
        <x:v>1596.2137044270833</x:v>
      </x:c>
      <x:c r="EE200" s="23" t="n">
        <x:v>770.9287923177083</x:v>
      </x:c>
      <x:c r="EF200" s="23" t="n">
        <x:v>764.3821614583333</x:v>
      </x:c>
      <x:c r="EG200" s="23" t="n">
        <x:v>1594.4478352864583</x:v>
      </x:c>
      <x:c r="EH200" s="23" t="n">
        <x:v>1598.3180338541665</x:v>
      </x:c>
      <x:c r="EI200" s="23" t="n">
        <x:v>762.9195149739583</x:v>
      </x:c>
      <x:c r="EJ200" s="23" t="n">
        <x:v>744.783203125</x:v>
      </x:c>
      <x:c r="EK200" s="23" t="n">
        <x:v>753.8346354166666</x:v>
      </x:c>
      <x:c r="EL200" s="23" t="n">
        <x:v>1030.0268417245368</x:v>
      </x:c>
      <x:c r="EM200" s="23" t="n">
        <x:v>1599.120849609375</x:v>
      </x:c>
      <x:c r="EN200" s="23" t="n">
        <x:v>1603.8387044270833</x:v>
      </x:c>
      <x:c r="EO200" s="23" t="n">
        <x:v>1595.3951009114583</x:v>
      </x:c>
      <x:c r="EP200" s="23" t="n">
        <x:f>SUM(B200:EO200)</x:f>
        <x:v>67414.0175475342</x:v>
      </x:c>
      <x:c r="EQ200" s="23" t="n">
        <x:f>SUMPRODUCT(B200:EO200,{0.5275,0.5048,0.5395,0.5127,0.5326,0.5812,0.5246,0.4997,0.5578,0.6039,0.5819,0.522,0.5047,0.5151,0.5275,0.5303,0.5153,0.4957,0.499,0.5266,0.5462,0.5225,0.5167,0.5221,0.4771,0.4624,0.4922,0.4931,0.4563,0.4376,0.4974,0.5282,0.4704,0.4094,0.6258,0.9878,1.0467,0.9251,0.8172,0.8032,0.8112,0.7824,0.7293,0.7423,0.7605,0.6747,0.8369,1.1622,1.1827,1.1057,1.1043,1.1287,1.0827,1.0059,1.0202,1.0009,0.9139,0.8732,0.9635,1.1029,1.1167,1.0887,1.1057,1.1232,0.8465,0.435,0.3751,0.4083,0.387,0.4137,0.3915,0.3325,0.3663,0.4431,0.462,0.3995,0.5433,0.8345,0.906,0.8521,0.8213,0.8839,1.0548,1.1999,1.1526,1.1477,1.2523,1.2673,1.0224,0.6971,0.6629,0.7126,0.7342,0.8166,0.8791,0.8795,0.8652,0.9041,0.9673,0.966,0.971,1.0012,1.0147,1.0921,1.1808,1.1528,1.2216,1.387,1.4195,1.3749,1.3377,1.3521,1.4774,1.6346,1.6665,1.6693,1.6759,1.6308,1.6327,1.6726,1.6422,1.6227,1.6855,1.7616,1.483,1.0296,0.9792,1.0281,1.0363,1.1223,0.905,0.5179,0.5153,0.5786,0.5351,0.5359,0.5439,0.5301,0.5152,0.4828,0.4696,0.5321,0.5584,0.5318})</x:f>
        <x:v>50185.94041204042</x:v>
      </x:c>
    </x:row>
    <x:row r="201" ht="14" customHeight="1">
      <x:c r="A201" s="3">
        <x:v>45888</x:v>
      </x:c>
      <x:c r="B201" s="23" t="n">
        <x:v>772.5116373697916</x:v>
      </x:c>
      <x:c r="C201" s="23" t="n">
        <x:v>755.1422526041666</x:v>
      </x:c>
      <x:c r="D201" s="23" t="n">
        <x:v>759.4571126302083</x:v>
      </x:c>
      <x:c r="E201" s="23" t="n">
        <x:v>728.3102213541666</x:v>
      </x:c>
      <x:c r="F201" s="23" t="n">
        <x:v>704.0808919270833</x:v>
      </x:c>
      <x:c r="G201" s="23" t="n">
        <x:v>718.8642578125</x:v>
      </x:c>
      <x:c r="H201" s="23" t="n">
        <x:v>710.293701171875</x:v>
      </x:c>
      <x:c r="I201" s="23" t="n">
        <x:v>693.87109375</x:v>
      </x:c>
      <x:c r="J201" s="23" t="n">
        <x:v>701.8246256510416</x:v>
      </x:c>
      <x:c r="K201" s="23" t="n">
        <x:v>729.5699055989583</x:v>
      </x:c>
      <x:c r="L201" s="23" t="n">
        <x:v>717.1394856770833</x:v>
      </x:c>
      <x:c r="M201" s="23" t="n">
        <x:v>688.95556640625</x:v>
      </x:c>
      <x:c r="N201" s="23" t="n">
        <x:v>718.6459147135416</x:v>
      </x:c>
      <x:c r="O201" s="23" t="n">
        <x:v>722.0209147135416</x:v>
      </x:c>
      <x:c r="P201" s="23" t="n">
        <x:v>709.7099609375</x:v>
      </x:c>
      <x:c r="Q201" s="23" t="n">
        <x:v>687.1600748697916</x:v>
      </x:c>
      <x:c r="R201" s="23" t="n">
        <x:v>682.89404296875</x:v>
      </x:c>
      <x:c r="S201" s="23" t="n">
        <x:v>689.792724609375</x:v>
      </x:c>
      <x:c r="T201" s="23" t="n">
        <x:v>709.2836100260416</x:v>
      </x:c>
      <x:c r="U201" s="23" t="n">
        <x:v>716.9523111979166</x:v>
      </x:c>
      <x:c r="V201" s="23" t="n">
        <x:v>710.294189453125</x:v>
      </x:c>
      <x:c r="W201" s="23" t="n">
        <x:v>697.3697916666666</x:v>
      </x:c>
      <x:c r="X201" s="23" t="n">
        <x:v>684.5503743489583</x:v>
      </x:c>
      <x:c r="Y201" s="23" t="n">
        <x:v>674.7919514973958</x:v>
      </x:c>
      <x:c r="Z201" s="23" t="n">
        <x:v>667.8060302734375</x:v>
      </x:c>
      <x:c r="AA201" s="23" t="n">
        <x:v>1499.9618733723958</x:v>
      </x:c>
      <x:c r="AB201" s="23" t="n">
        <x:v>1504.3568929036458</x:v>
      </x:c>
      <x:c r="AC201" s="23" t="n">
        <x:v>672.9100341796875</x:v>
      </x:c>
      <x:c r="AD201" s="23" t="n">
        <x:v>672.8043005703058</x:v>
      </x:c>
      <x:c r="AE201" s="23" t="n">
        <x:v>681.8900146484375</x:v>
      </x:c>
      <x:c r="AF201" s="23" t="n">
        <x:v>669.2008459138902</x:v>
      </x:c>
      <x:c r="AG201" s="23" t="n">
        <x:v>932.25256700156</x:v>
      </x:c>
      <x:c r="AH201" s="23" t="n">
        <x:v>1469.6187748250622</x:v>
      </x:c>
      <x:c r="AI201" s="23" t="n">
        <x:v>1433.42054086704</x:v>
      </x:c>
      <x:c r="AJ201" s="23" t="n">
        <x:v>0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0</x:v>
      </x:c>
      <x:c r="BV201" s="23" t="n">
        <x:v>360.68699606078127</x:v>
      </x:c>
      <x:c r="BW201" s="23" t="n">
        <x:v>361.2586815735882</x:v>
      </x:c>
      <x:c r="BX201" s="23" t="n">
        <x:v>380.07261213735876</x:v>
      </x:c>
      <x:c r="BY201" s="23" t="n">
        <x:v>434.97626205249645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137.21330306094245</x:v>
      </x:c>
      <x:c r="CN201" s="23" t="n">
        <x:v>137.48698766706002</x:v>
      </x:c>
      <x:c r="CO201" s="23" t="n">
        <x:v>169.00086689561326</x:v>
      </x:c>
      <x:c r="CP201" s="23" t="n">
        <x:v>219.32864837401817</x:v>
      </x:c>
      <x:c r="CQ201" s="23" t="n">
        <x:v>282.0052455629555</x:v>
      </x:c>
      <x:c r="CR201" s="23" t="n">
        <x:v>349.98801498107633</x:v>
      </x:c>
      <x:c r="CS201" s="23" t="n">
        <x:v>411.32559912923927</x:v>
      </x:c>
      <x:c r="CT201" s="23" t="n">
        <x:v>488.62801685828435</x:v>
      </x:c>
      <x:c r="CU201" s="23" t="n">
        <x:v>546.648071804828</x:v>
      </x:c>
      <x:c r="CV201" s="23" t="n">
        <x:v>603.7322159137609</x:v>
      </x:c>
      <x:c r="CW201" s="23" t="n">
        <x:v>668.3975970267195</x:v>
      </x:c>
      <x:c r="CX201" s="23" t="n">
        <x:v>724.7395694858626</x:v>
      </x:c>
      <x:c r="CY201" s="23" t="n">
        <x:v>771.9503110512975</x:v>
      </x:c>
      <x:c r="CZ201" s="23" t="n">
        <x:v>820.7489281137216</x:v>
      </x:c>
      <x:c r="DA201" s="23" t="n">
        <x:v>881.8273681568778</x:v>
      </x:c>
      <x:c r="DB201" s="23" t="n">
        <x:v>933.122616976491</x:v>
      </x:c>
      <x:c r="DC201" s="23" t="n">
        <x:v>1015.7928734259747</x:v>
      </x:c>
      <x:c r="DD201" s="23" t="n">
        <x:v>967.0971304838496</x:v>
      </x:c>
      <x:c r="DE201" s="23" t="n">
        <x:v>797.6676966209885</x:v>
      </x:c>
      <x:c r="DF201" s="23" t="n">
        <x:v>814.5691571289623</x:v>
      </x:c>
      <x:c r="DG201" s="23" t="n">
        <x:v>884.2317652879256</x:v>
      </x:c>
      <x:c r="DH201" s="23" t="n">
        <x:v>918.4692483604422</x:v>
      </x:c>
      <x:c r="DI201" s="23" t="n">
        <x:v>934.089337381648</x:v>
      </x:c>
      <x:c r="DJ201" s="23" t="n">
        <x:v>937.4832302769779</x:v>
      </x:c>
      <x:c r="DK201" s="23" t="n">
        <x:v>166.74956347158755</x:v>
      </x:c>
      <x:c r="DL201" s="23" t="n">
        <x:v>165.97276672855133</x:v>
      </x:c>
      <x:c r="DM201" s="23" t="n">
        <x:v>156.3068901571658</x:v>
      </x:c>
      <x:c r="DN201" s="23" t="n">
        <x:v>150.26988606770843</x:v>
      </x:c>
      <x:c r="DO201" s="23" t="n">
        <x:v>131.58142992187504</x:v>
      </x:c>
      <x:c r="DP201" s="23" t="n">
        <x:v>151.15513617187509</x:v>
      </x:c>
      <x:c r="DQ201" s="23" t="n">
        <x:v>153.64952018229178</x:v>
      </x:c>
      <x:c r="DR201" s="23" t="n">
        <x:v>396.40473444416295</x:v>
      </x:c>
      <x:c r="DS201" s="23" t="n">
        <x:v>145.05902203124998</x:v>
      </x:c>
      <x:c r="DT201" s="23" t="n">
        <x:v>147.12467447916666</x:v>
      </x:c>
      <x:c r="DU201" s="23" t="n">
        <x:v>166.41599369791675</x:v>
      </x:c>
      <x:c r="DV201" s="23" t="n">
        <x:v>972.3280436197916</x:v>
      </x:c>
      <x:c r="DW201" s="23" t="n">
        <x:v>964.4412468010544</x:v>
      </x:c>
      <x:c r="DX201" s="23" t="n">
        <x:v>965.3070474135159</x:v>
      </x:c>
      <x:c r="DY201" s="23" t="n">
        <x:v>959.56640625</x:v>
      </x:c>
      <x:c r="DZ201" s="23" t="n">
        <x:v>956.9917805989583</x:v>
      </x:c>
      <x:c r="EA201" s="23" t="n">
        <x:v>962.1346028645833</x:v>
      </x:c>
      <x:c r="EB201" s="23" t="n">
        <x:v>929.9034121576002</x:v>
      </x:c>
      <x:c r="EC201" s="23" t="n">
        <x:v>773.8814290364583</x:v>
      </x:c>
      <x:c r="ED201" s="23" t="n">
        <x:v>1589.2701009114583</x:v>
      </x:c>
      <x:c r="EE201" s="23" t="n">
        <x:v>759.4175618489583</x:v>
      </x:c>
      <x:c r="EF201" s="23" t="n">
        <x:v>758.9073893229166</x:v>
      </x:c>
      <x:c r="EG201" s="23" t="n">
        <x:v>1593.3263346354165</x:v>
      </x:c>
      <x:c r="EH201" s="23" t="n">
        <x:v>1594.1106770833333</x:v>
      </x:c>
      <x:c r="EI201" s="23" t="n">
        <x:v>751.7591145833333</x:v>
      </x:c>
      <x:c r="EJ201" s="23" t="n">
        <x:v>1574.7196451822915</x:v>
      </x:c>
      <x:c r="EK201" s="23" t="n">
        <x:v>1572.6167805989583</x:v>
      </x:c>
      <x:c r="EL201" s="23" t="n">
        <x:v>753.6337076822916</x:v>
      </x:c>
      <x:c r="EM201" s="23" t="n">
        <x:v>745.252197265625</x:v>
      </x:c>
      <x:c r="EN201" s="23" t="n">
        <x:v>1013.7520045653293</x:v>
      </x:c>
      <x:c r="EO201" s="23" t="n">
        <x:v>1571.7285970052083</x:v>
      </x:c>
      <x:c r="EP201" s="23" t="n">
        <x:f>SUM(B201:EO201)</x:f>
        <x:v>67933.9845361416</x:v>
      </x:c>
      <x:c r="EQ201" s="23" t="n">
        <x:f>SUMPRODUCT(B201:EO201,{0.5391,0.5302,0.5147,0.5547,0.5489,0.5015,0.518,0.5258,0.5029,0.5064,0.5234,0.531,0.5197,0.5015,0.5097,0.5605,0.5439,0.4883,0.5288,0.5531,0.5154,0.4873,0.4864,0.4806,0.4352,0.4404,0.5115,0.5647,0.5472,0.4886,0.471,0.4918,0.4928,0.4516,0.6089,0.8839,0.9307,0.8857,0.8663,0.8515,0.8372,0.8071,0.747,0.7185,0.6882,0.6102,0.8197,1.1598,1.1133,1.0578,1.1278,1.0773,1.0224,1.0144,0.9708,0.9155,0.8782,0.8791,0.9825,1.1045,1.077,1.0302,1.0536,1.0727,0.8438,0.496,0.4324,0.4994,0.5239,0.4814,0.4456,0.4441,0.4468,0.4663,0.4763,0.4574,0.6032,0.8191,0.809,0.8218,0.8961,0.839,0.9178,1.1315,1.1855,1.1544,1.178,1.2688,1.0781,0.7097,0.6471,0.7309,0.7685,0.7462,0.8218,0.9334,0.8703,0.8609,0.9539,0.9616,0.9153,0.9049,0.984,1.0631,1.092,1.1123,1.2271,1.3477,1.2916,1.3112,1.4133,1.373,1.4453,1.6197,1.6178,1.6368,1.7202,1.6991,1.6583,1.6622,1.6817,1.6669,1.6467,1.6541,1.4252,1.0949,1.087,1.1001,1.0571,1.1389,0.9453,0.5722,0.5491,0.5712,0.5094,0.5455,0.5493,0.4993,0.5165,0.5322,0.5133,0.5041,0.5153,0.5312})</x:f>
        <x:v>50444.632881790814</x:v>
      </x:c>
    </x:row>
    <x:row r="202" ht="14" customHeight="1">
      <x:c r="A202" s="3">
        <x:v>45889</x:v>
      </x:c>
      <x:c r="B202" s="23" t="n">
        <x:v>737.9319661458333</x:v>
      </x:c>
      <x:c r="C202" s="23" t="n">
        <x:v>732.0018717447916</x:v>
      </x:c>
      <x:c r="D202" s="23" t="n">
        <x:v>725.6046549479166</x:v>
      </x:c>
      <x:c r="E202" s="23" t="n">
        <x:v>735.693359375</x:v>
      </x:c>
      <x:c r="F202" s="23" t="n">
        <x:v>746.8021647135416</x:v>
      </x:c>
      <x:c r="G202" s="23" t="n">
        <x:v>748.807861328125</x:v>
      </x:c>
      <x:c r="H202" s="23" t="n">
        <x:v>728.6315104166666</x:v>
      </x:c>
      <x:c r="I202" s="23" t="n">
        <x:v>711.476318359375</x:v>
      </x:c>
      <x:c r="J202" s="23" t="n">
        <x:v>719.8479817708333</x:v>
      </x:c>
      <x:c r="K202" s="23" t="n">
        <x:v>715.96923828125</x:v>
      </x:c>
      <x:c r="L202" s="23" t="n">
        <x:v>701.3451334635416</x:v>
      </x:c>
      <x:c r="M202" s="23" t="n">
        <x:v>697.7862141927083</x:v>
      </x:c>
      <x:c r="N202" s="23" t="n">
        <x:v>689.0748697916666</x:v>
      </x:c>
      <x:c r="O202" s="23" t="n">
        <x:v>693.3253580729166</x:v>
      </x:c>
      <x:c r="P202" s="23" t="n">
        <x:v>709.3987630208333</x:v>
      </x:c>
      <x:c r="Q202" s="23" t="n">
        <x:v>720.2152506510416</x:v>
      </x:c>
      <x:c r="R202" s="23" t="n">
        <x:v>719.7893880208333</x:v>
      </x:c>
      <x:c r="S202" s="23" t="n">
        <x:v>707.8037109375</x:v>
      </x:c>
      <x:c r="T202" s="23" t="n">
        <x:v>701.672119140625</x:v>
      </x:c>
      <x:c r="U202" s="23" t="n">
        <x:v>698.9617513020833</x:v>
      </x:c>
      <x:c r="V202" s="23" t="n">
        <x:v>689.31103515625</x:v>
      </x:c>
      <x:c r="W202" s="23" t="n">
        <x:v>691.0897623697916</x:v>
      </x:c>
      <x:c r="X202" s="23" t="n">
        <x:v>878.9866404536779</x:v>
      </x:c>
      <x:c r="Y202" s="23" t="n">
        <x:v>674.0550537109375</x:v>
      </x:c>
      <x:c r="Z202" s="23" t="n">
        <x:v>1505.8043619791665</x:v>
      </x:c>
      <x:c r="AA202" s="23" t="n">
        <x:v>1503.9110107421875</x:v>
      </x:c>
      <x:c r="AB202" s="23" t="n">
        <x:v>693.9329427083333</x:v>
      </x:c>
      <x:c r="AC202" s="23" t="n">
        <x:v>687.929931640625</x:v>
      </x:c>
      <x:c r="AD202" s="23" t="n">
        <x:v>678.1632405814516</x:v>
      </x:c>
      <x:c r="AE202" s="23" t="n">
        <x:v>678.7865804036458</x:v>
      </x:c>
      <x:c r="AF202" s="23" t="n">
        <x:v>650.5383729938294</x:v>
      </x:c>
      <x:c r="AG202" s="23" t="n">
        <x:v>1486.0495624979587</x:v>
      </x:c>
      <x:c r="AH202" s="23" t="n">
        <x:v>648.8309283708298</x:v>
      </x:c>
      <x:c r="AI202" s="23" t="n">
        <x:v>1434.1972047302943</x:v>
      </x:c>
      <x:c r="AJ202" s="23" t="n">
        <x:v>0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402.71092778697493</x:v>
      </x:c>
      <x:c r="BU202" s="23" t="n">
        <x:v>161.77395692446157</x:v>
      </x:c>
      <x:c r="BV202" s="23" t="n">
        <x:v>384.93889186725573</x:v>
      </x:c>
      <x:c r="BW202" s="23" t="n">
        <x:v>0</x:v>
      </x:c>
      <x:c r="BX202" s="23" t="n">
        <x:v>0</x:v>
      </x:c>
      <x:c r="BY202" s="23" t="n">
        <x:v>454.36989991989196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112.89555337346067</x:v>
      </x:c>
      <x:c r="CN202" s="23" t="n">
        <x:v>130.30885223210194</x:v>
      </x:c>
      <x:c r="CO202" s="23" t="n">
        <x:v>137.83920314798706</x:v>
      </x:c>
      <x:c r="CP202" s="23" t="n">
        <x:v>187.9543115478212</x:v>
      </x:c>
      <x:c r="CQ202" s="23" t="n">
        <x:v>286.31688744988196</x:v>
      </x:c>
      <x:c r="CR202" s="23" t="n">
        <x:v>351.21105865952836</x:v>
      </x:c>
      <x:c r="CS202" s="23" t="n">
        <x:v>404.3817838865276</x:v>
      </x:c>
      <x:c r="CT202" s="23" t="n">
        <x:v>474.8155678289816</x:v>
      </x:c>
      <x:c r="CU202" s="23" t="n">
        <x:v>540.33076952628</x:v>
      </x:c>
      <x:c r="CV202" s="23" t="n">
        <x:v>583.3936812776077</x:v>
      </x:c>
      <x:c r="CW202" s="23" t="n">
        <x:v>633.1215439393224</x:v>
      </x:c>
      <x:c r="CX202" s="23" t="n">
        <x:v>690.7176772093358</x:v>
      </x:c>
      <x:c r="CY202" s="23" t="n">
        <x:v>739.546250950829</x:v>
      </x:c>
      <x:c r="CZ202" s="23" t="n">
        <x:v>785.4881364278613</x:v>
      </x:c>
      <x:c r="DA202" s="23" t="n">
        <x:v>848.2746046372456</x:v>
      </x:c>
      <x:c r="DB202" s="23" t="n">
        <x:v>928.8441727250643</x:v>
      </x:c>
      <x:c r="DC202" s="23" t="n">
        <x:v>1003.0047944579162</x:v>
      </x:c>
      <x:c r="DD202" s="23" t="n">
        <x:v>955.9191548883277</x:v>
      </x:c>
      <x:c r="DE202" s="23" t="n">
        <x:v>803.4545775373535</x:v>
      </x:c>
      <x:c r="DF202" s="23" t="n">
        <x:v>819.2767725934569</x:v>
      </x:c>
      <x:c r="DG202" s="23" t="n">
        <x:v>899.135255853978</x:v>
      </x:c>
      <x:c r="DH202" s="23" t="n">
        <x:v>934.8373817213208</x:v>
      </x:c>
      <x:c r="DI202" s="23" t="n">
        <x:v>937.2010593369929</x:v>
      </x:c>
      <x:c r="DJ202" s="23" t="n">
        <x:v>939.9086528353752</x:v>
      </x:c>
      <x:c r="DK202" s="23" t="n">
        <x:v>164.9713245392959</x:v>
      </x:c>
      <x:c r="DL202" s="23" t="n">
        <x:v>147.69804637253065</x:v>
      </x:c>
      <x:c r="DM202" s="23" t="n">
        <x:v>390.71990337737</x:v>
      </x:c>
      <x:c r="DN202" s="23" t="n">
        <x:v>181.36275911458338</x:v>
      </x:c>
      <x:c r="DO202" s="23" t="n">
        <x:v>170.38048348958333</x:v>
      </x:c>
      <x:c r="DP202" s="23" t="n">
        <x:v>164.74554958333343</x:v>
      </x:c>
      <x:c r="DQ202" s="23" t="n">
        <x:v>154.99497916666678</x:v>
      </x:c>
      <x:c r="DR202" s="23" t="n">
        <x:v>167.15334278645832</x:v>
      </x:c>
      <x:c r="DS202" s="23" t="n">
        <x:v>141.46209820312498</x:v>
      </x:c>
      <x:c r="DT202" s="23" t="n">
        <x:v>106.80851236979166</x:v>
      </x:c>
      <x:c r="DU202" s="23" t="n">
        <x:v>140.14874109375006</x:v>
      </x:c>
      <x:c r="DV202" s="23" t="n">
        <x:v>947.534912109375</x:v>
      </x:c>
      <x:c r="DW202" s="23" t="n">
        <x:v>959.3066920653291</x:v>
      </x:c>
      <x:c r="DX202" s="23" t="n">
        <x:v>955.9859212239583</x:v>
      </x:c>
      <x:c r="DY202" s="23" t="n">
        <x:v>963.76416015625</x:v>
      </x:c>
      <x:c r="DZ202" s="23" t="n">
        <x:v>964.4599609375</x:v>
      </x:c>
      <x:c r="EA202" s="23" t="n">
        <x:v>984.5153007812501</x:v>
      </x:c>
      <x:c r="EB202" s="23" t="n">
        <x:v>927.9128486287934</x:v>
      </x:c>
      <x:c r="EC202" s="23" t="n">
        <x:v>780.6322428385416</x:v>
      </x:c>
      <x:c r="ED202" s="23" t="n">
        <x:v>1584.9867350260415</x:v>
      </x:c>
      <x:c r="EE202" s="23" t="n">
        <x:v>753.109619140625</x:v>
      </x:c>
      <x:c r="EF202" s="23" t="n">
        <x:v>1586.8375651041665</x:v>
      </x:c>
      <x:c r="EG202" s="23" t="n">
        <x:v>1605.787841796875</x:v>
      </x:c>
      <x:c r="EH202" s="23" t="n">
        <x:v>1597.8330078125</x:v>
      </x:c>
      <x:c r="EI202" s="23" t="n">
        <x:v>742.042724609375</x:v>
      </x:c>
      <x:c r="EJ202" s="23" t="n">
        <x:v>729.0135091145833</x:v>
      </x:c>
      <x:c r="EK202" s="23" t="n">
        <x:v>1000.2271836017877</x:v>
      </x:c>
      <x:c r="EL202" s="23" t="n">
        <x:v>729.5001627604166</x:v>
      </x:c>
      <x:c r="EM202" s="23" t="n">
        <x:v>1555.6927897135415</x:v>
      </x:c>
      <x:c r="EN202" s="23" t="n">
        <x:v>1576.7616373697915</x:v>
      </x:c>
      <x:c r="EO202" s="23" t="n">
        <x:v>749.3816731770833</x:v>
      </x:c>
      <x:c r="EP202" s="23" t="n">
        <x:f>SUM(B202:EO202)</x:f>
        <x:v>67401.42972262348</x:v>
      </x:c>
      <x:c r="EQ202" s="23" t="n">
        <x:f>SUMPRODUCT(B202:EO202,{0.5338,0.5599,0.5772,0.5221,0.5276,0.5707,0.4996,0.4638,0.5106,0.5325,0.5246,0.5032,0.4781,0.4608,0.4585,0.4743,0.5117,0.5607,0.5919,0.5583,0.4986,0.5037,0.5174,0.5144,0.5189,0.4815,0.4501,0.5202,0.5208,0.4438,0.4551,0.492,0.4743,0.4305,0.6376,0.9743,1.0151,0.9515,0.9199,0.8674,0.8378,0.8333,0.8071,0.7839,0.7338,0.6436,0.8377,1.192,1.2288,1.1781,1.1867,1.1603,1.1019,1.0587,1.064,1.0313,0.9525,0.9194,0.9872,1.097,1.1282,1.1236,1.1593,1.2155,0.9522,0.5295,0.481,0.5281,0.5253,0.5958,0.5778,0.4751,0.4713,0.5056,0.483,0.4085,0.5467,0.8084,0.833,0.8374,0.9036,0.9071,1.0225,1.1997,1.191,1.1636,1.2333,1.3081,1.1188,0.763,0.6375,0.6942,0.7876,0.8196,0.8082,0.7934,0.8105,0.8978,0.9904,0.9772,0.971,1.0071,1.021,1.0815,1.1527,1.1391,1.2506,1.4337,1.4153,1.3961,1.4399,1.4205,1.4793,1.6331,1.7251,1.6874,1.6053,1.6281,1.6552,1.661,1.7126,1.6994,1.6592,1.7074,1.5144,1.1515,1.0508,1.0402,1.0277,1.0672,0.8675,0.5347,0.4981,0.5434,0.5225,0.5087,0.5284,0.549,0.5259,0.5401,0.5843,0.5679,0.5478,0.548})</x:f>
        <x:v>50565.90527135497</x:v>
      </x:c>
    </x:row>
    <x:row r="203" ht="14" customHeight="1">
      <x:c r="A203" s="3">
        <x:v>45890</x:v>
      </x:c>
      <x:c r="B203" s="23" t="n">
        <x:v>757.91552734375</x:v>
      </x:c>
      <x:c r="C203" s="23" t="n">
        <x:v>736.8907063802083</x:v>
      </x:c>
      <x:c r="D203" s="23" t="n">
        <x:v>741.1621907552083</x:v>
      </x:c>
      <x:c r="E203" s="23" t="n">
        <x:v>752.8134765625</x:v>
      </x:c>
      <x:c r="F203" s="23" t="n">
        <x:v>755.1712239583333</x:v>
      </x:c>
      <x:c r="G203" s="23" t="n">
        <x:v>750.427734375</x:v>
      </x:c>
      <x:c r="H203" s="23" t="n">
        <x:v>718.3726399739583</x:v>
      </x:c>
      <x:c r="I203" s="23" t="n">
        <x:v>699.8413899739583</x:v>
      </x:c>
      <x:c r="J203" s="23" t="n">
        <x:v>689.7811686197916</x:v>
      </x:c>
      <x:c r="K203" s="23" t="n">
        <x:v>711.7394205729166</x:v>
      </x:c>
      <x:c r="L203" s="23" t="n">
        <x:v>714.3949381510416</x:v>
      </x:c>
      <x:c r="M203" s="23" t="n">
        <x:v>716.441650390625</x:v>
      </x:c>
      <x:c r="N203" s="23" t="n">
        <x:v>720.78759765625</x:v>
      </x:c>
      <x:c r="O203" s="23" t="n">
        <x:v>714.2117513020833</x:v>
      </x:c>
      <x:c r="P203" s="23" t="n">
        <x:v>700.4307454427083</x:v>
      </x:c>
      <x:c r="Q203" s="23" t="n">
        <x:v>707.2186686197916</x:v>
      </x:c>
      <x:c r="R203" s="23" t="n">
        <x:v>1529.9115397135415</x:v>
      </x:c>
      <x:c r="S203" s="23" t="n">
        <x:v>1503.9622395833333</x:v>
      </x:c>
      <x:c r="T203" s="23" t="n">
        <x:v>1517.059814453125</x:v>
      </x:c>
      <x:c r="U203" s="23" t="n">
        <x:v>699.76220703125</x:v>
      </x:c>
      <x:c r="V203" s="23" t="n">
        <x:v>699.6725260416666</x:v>
      </x:c>
      <x:c r="W203" s="23" t="n">
        <x:v>712.4798177083333</x:v>
      </x:c>
      <x:c r="X203" s="23" t="n">
        <x:v>701.2786469611747</x:v>
      </x:c>
      <x:c r="Y203" s="23" t="n">
        <x:v>660.3598225911458</x:v>
      </x:c>
      <x:c r="Z203" s="23" t="n">
        <x:v>665.12939453125</x:v>
      </x:c>
      <x:c r="AA203" s="23" t="n">
        <x:v>677.5872395833333</x:v>
      </x:c>
      <x:c r="AB203" s="23" t="n">
        <x:v>666.1869710286458</x:v>
      </x:c>
      <x:c r="AC203" s="23" t="n">
        <x:v>650.121826171875</x:v>
      </x:c>
      <x:c r="AD203" s="23" t="n">
        <x:v>646.0132090576469</x:v>
      </x:c>
      <x:c r="AE203" s="23" t="n">
        <x:v>653.6689860026041</x:v>
      </x:c>
      <x:c r="AF203" s="23" t="n">
        <x:v>654.0990099330147</x:v>
      </x:c>
      <x:c r="AG203" s="23" t="n">
        <x:v>655.6969824403668</x:v>
      </x:c>
      <x:c r="AH203" s="23" t="n">
        <x:v>1476.4189659330707</x:v>
      </x:c>
      <x:c r="AI203" s="23" t="n">
        <x:v>1440.4938895936732</x:v>
      </x:c>
      <x:c r="AJ203" s="23" t="n">
        <x:v>0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479.5166281660598</x:v>
      </x:c>
      <x:c r="BQ203" s="23" t="n">
        <x:v>0</x:v>
      </x:c>
      <x:c r="BR203" s="23" t="n">
        <x:v>0</x:v>
      </x:c>
      <x:c r="BS203" s="23" t="n">
        <x:v>334.9311176287868</x:v>
      </x:c>
      <x:c r="BT203" s="23" t="n">
        <x:v>452.561782690141</x:v>
      </x:c>
      <x:c r="BU203" s="23" t="n">
        <x:v>422.61093523195206</x:v>
      </x:c>
      <x:c r="BV203" s="23" t="n">
        <x:v>416.53874933906565</x:v>
      </x:c>
      <x:c r="BW203" s="23" t="n">
        <x:v>0</x:v>
      </x:c>
      <x:c r="BX203" s="23" t="n">
        <x:v>0</x:v>
      </x:c>
      <x:c r="BY203" s="23" t="n">
        <x:v>458.6308486677238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217.65452525871592</x:v>
      </x:c>
      <x:c r="CN203" s="23" t="n">
        <x:v>173.94284164367065</x:v>
      </x:c>
      <x:c r="CO203" s="23" t="n">
        <x:v>193.97854037963316</x:v>
      </x:c>
      <x:c r="CP203" s="23" t="n">
        <x:v>229.02608464413333</x:v>
      </x:c>
      <x:c r="CQ203" s="23" t="n">
        <x:v>306.9990921662835</x:v>
      </x:c>
      <x:c r="CR203" s="23" t="n">
        <x:v>370.1717351311496</x:v>
      </x:c>
      <x:c r="CS203" s="23" t="n">
        <x:v>410.2058523107868</x:v>
      </x:c>
      <x:c r="CT203" s="23" t="n">
        <x:v>464.8789817234816</x:v>
      </x:c>
      <x:c r="CU203" s="23" t="n">
        <x:v>524.19005316892</x:v>
      </x:c>
      <x:c r="CV203" s="23" t="n">
        <x:v>590.979302054629</x:v>
      </x:c>
      <x:c r="CW203" s="23" t="n">
        <x:v>666.4420244541695</x:v>
      </x:c>
      <x:c r="CX203" s="23" t="n">
        <x:v>724.2422157173355</x:v>
      </x:c>
      <x:c r="CY203" s="23" t="n">
        <x:v>778.7428499386306</x:v>
      </x:c>
      <x:c r="CZ203" s="23" t="n">
        <x:v>830.5063429488405</x:v>
      </x:c>
      <x:c r="DA203" s="23" t="n">
        <x:v>886.3811062657737</x:v>
      </x:c>
      <x:c r="DB203" s="23" t="n">
        <x:v>948.3756597261861</x:v>
      </x:c>
      <x:c r="DC203" s="23" t="n">
        <x:v>1012.8468646532694</x:v>
      </x:c>
      <x:c r="DD203" s="23" t="n">
        <x:v>973.9914400249429</x:v>
      </x:c>
      <x:c r="DE203" s="23" t="n">
        <x:v>832.4509926504952</x:v>
      </x:c>
      <x:c r="DF203" s="23" t="n">
        <x:v>832.5629881151192</x:v>
      </x:c>
      <x:c r="DG203" s="23" t="n">
        <x:v>889.8981995665063</x:v>
      </x:c>
      <x:c r="DH203" s="23" t="n">
        <x:v>924.5392771435554</x:v>
      </x:c>
      <x:c r="DI203" s="23" t="n">
        <x:v>936.8568320375452</x:v>
      </x:c>
      <x:c r="DJ203" s="23" t="n">
        <x:v>936.8176789174096</x:v>
      </x:c>
      <x:c r="DK203" s="23" t="n">
        <x:v>150.06645800283755</x:v>
      </x:c>
      <x:c r="DL203" s="23" t="n">
        <x:v>152.23791047974873</x:v>
      </x:c>
      <x:c r="DM203" s="23" t="n">
        <x:v>146.77498588352015</x:v>
      </x:c>
      <x:c r="DN203" s="23" t="n">
        <x:v>162.58362500000004</x:v>
      </x:c>
      <x:c r="DO203" s="23" t="n">
        <x:v>158.46243335937498</x:v>
      </x:c>
      <x:c r="DP203" s="23" t="n">
        <x:v>149.59100856770843</x:v>
      </x:c>
      <x:c r="DQ203" s="23" t="n">
        <x:v>145.12190429687507</x:v>
      </x:c>
      <x:c r="DR203" s="23" t="n">
        <x:v>169.38226531249998</x:v>
      </x:c>
      <x:c r="DS203" s="23" t="n">
        <x:v>149.35288596354167</x:v>
      </x:c>
      <x:c r="DT203" s="23" t="n">
        <x:v>378.7353602021827</x:v>
      </x:c>
      <x:c r="DU203" s="23" t="n">
        <x:v>149.97727299479175</x:v>
      </x:c>
      <x:c r="DV203" s="23" t="n">
        <x:v>965.0823567708333</x:v>
      </x:c>
      <x:c r="DW203" s="23" t="n">
        <x:v>965.0743001302083</x:v>
      </x:c>
      <x:c r="DX203" s="23" t="n">
        <x:v>958.1913445617927</x:v>
      </x:c>
      <x:c r="DY203" s="23" t="n">
        <x:v>946.3720703125</x:v>
      </x:c>
      <x:c r="DZ203" s="23" t="n">
        <x:v>956.4747721354166</x:v>
      </x:c>
      <x:c r="EA203" s="23" t="n">
        <x:v>952.8072916666666</x:v>
      </x:c>
      <x:c r="EB203" s="23" t="n">
        <x:v>896.7408830054012</x:v>
      </x:c>
      <x:c r="EC203" s="23" t="n">
        <x:v>763.7972819010416</x:v>
      </x:c>
      <x:c r="ED203" s="23" t="n">
        <x:v>747.913818359375</x:v>
      </x:c>
      <x:c r="EE203" s="23" t="n">
        <x:v>754.4126790364583</x:v>
      </x:c>
      <x:c r="EF203" s="23" t="n">
        <x:v>1569.09765625</x:v>
      </x:c>
      <x:c r="EG203" s="23" t="n">
        <x:v>1590.7350260416665</x:v>
      </x:c>
      <x:c r="EH203" s="23" t="n">
        <x:v>1585.0275065104165</x:v>
      </x:c>
      <x:c r="EI203" s="23" t="n">
        <x:v>755.669189453125</x:v>
      </x:c>
      <x:c r="EJ203" s="23" t="n">
        <x:v>758.5860188802083</x:v>
      </x:c>
      <x:c r="EK203" s="23" t="n">
        <x:v>745.0480143229166</x:v>
      </x:c>
      <x:c r="EL203" s="23" t="n">
        <x:v>1554.6023763020833</x:v>
      </x:c>
      <x:c r="EM203" s="23" t="n">
        <x:v>1041.3347328719778</x:v>
      </x:c>
      <x:c r="EN203" s="23" t="n">
        <x:v>1568.6482747395833</x:v>
      </x:c>
      <x:c r="EO203" s="23" t="n">
        <x:v>1496.8684895833333</x:v>
      </x:c>
      <x:c r="EP203" s="23" t="n">
        <x:f>SUM(B203:EO203)</x:f>
        <x:v>69503.74565370019</x:v>
      </x:c>
      <x:c r="EQ203" s="23" t="n">
        <x:f>SUMPRODUCT(B203:EO203,{0.5358,0.5342,0.5451,0.5428,0.5327,0.5128,0.4779,0.4731,0.489,0.4743,0.4768,0.4964,0.4839,0.4828,0.513,0.5456,0.5469,0.5288,0.5315,0.5262,0.5143,0.5265,0.5185,0.4862,0.4745,0.4876,0.5063,0.5097,0.518,0.5114,0.4569,0.4609,0.4841,0.4163,0.5643,0.8676,0.9302,0.8981,0.8923,0.876,0.8485,0.8105,0.7639,0.7474,0.7059,0.5922,0.7779,1.146,1.1719,1.0704,1.0246,0.9965,0.957,0.9325,0.9658,0.9662,0.9237,0.928,1.0029,1.0974,1.1247,1.0889,1.0852,1.1559,0.8916,0.4484,0.4266,0.5016,0.4926,0.5337,0.497,0.4297,0.5237,0.5814,0.5167,0.4643,0.585,0.8061,0.8964,0.9407,0.9683,0.9306,1.0025,1.1782,1.2546,1.1984,1.1666,1.2934,1.0776,0.6398,0.6405,0.7806,0.8006,0.7515,0.769,0.8617,0.9163,0.9134,0.9037,0.9539,1.0159,1.0321,0.9967,1.0241,1.1018,1.1196,1.1976,1.3429,1.4212,1.4216,1.3859,1.3764,1.453,1.5804,1.6516,1.6559,1.6376,1.6505,1.6659,1.656,1.623,1.6009,1.6403,1.7157,1.483,1.0773,1.0051,1.0368,1.0489,1.108,0.8814,0.5087,0.5016,0.5766,0.5505,0.5283,0.5421,0.5543,0.5111,0.4858,0.5125,0.5488,0.5322,0.4683})</x:f>
        <x:v>51118.09317892612</x:v>
      </x:c>
    </x:row>
    <x:row r="204" ht="14" customHeight="1">
      <x:c r="A204" s="3">
        <x:v>45891</x:v>
      </x:c>
      <x:c r="B204" s="23" t="n">
        <x:v>586.4845784505208</x:v>
      </x:c>
      <x:c r="C204" s="23" t="n">
        <x:v>597.9488525390625</x:v>
      </x:c>
      <x:c r="D204" s="23" t="n">
        <x:v>0</x:v>
      </x:c>
      <x:c r="E204" s="23" t="n">
        <x:v>595.907958984375</x:v>
      </x:c>
      <x:c r="F204" s="23" t="n">
        <x:v>591.6061604817708</x:v>
      </x:c>
      <x:c r="G204" s="23" t="n">
        <x:v>0</x:v>
      </x:c>
      <x:c r="H204" s="23" t="n">
        <x:v>0</x:v>
      </x:c>
      <x:c r="I204" s="23" t="n">
        <x:v>595.6169840494791</x:v>
      </x:c>
      <x:c r="J204" s="23" t="n">
        <x:v>0</x:v>
      </x:c>
      <x:c r="K204" s="23" t="n">
        <x:v>561.9556477864583</x:v>
      </x:c>
      <x:c r="L204" s="23" t="n">
        <x:v>557.6795654296875</x:v>
      </x:c>
      <x:c r="M204" s="23" t="n">
        <x:v>560.786376953125</x:v>
      </x:c>
      <x:c r="N204" s="23" t="n">
        <x:v>545.6805419921875</x:v>
      </x:c>
      <x:c r="O204" s="23" t="n">
        <x:v>562.0264485677083</x:v>
      </x:c>
      <x:c r="P204" s="23" t="n">
        <x:v>589.334228515625</x:v>
      </x:c>
      <x:c r="Q204" s="23" t="n">
        <x:v>534.3425699869791</x:v>
      </x:c>
      <x:c r="R204" s="23" t="n">
        <x:v>518.9549967447916</x:v>
      </x:c>
      <x:c r="S204" s="23" t="n">
        <x:v>0</x:v>
      </x:c>
      <x:c r="T204" s="23" t="n">
        <x:v>547.85986328125</x:v>
      </x:c>
      <x:c r="U204" s="23" t="n">
        <x:v>546.9027506510416</x:v>
      </x:c>
      <x:c r="V204" s="23" t="n">
        <x:v>539.611083984375</x:v>
      </x:c>
      <x:c r="W204" s="23" t="n">
        <x:v>521.3907877604166</x:v>
      </x:c>
      <x:c r="X204" s="23" t="n">
        <x:v>698.463687107616</x:v>
      </x:c>
      <x:c r="Y204" s="23" t="n">
        <x:v>520.045166015625</x:v>
      </x:c>
      <x:c r="Z204" s="23" t="n">
        <x:v>537.7227783203125</x:v>
      </x:c>
      <x:c r="AA204" s="23" t="n">
        <x:v>540.233642578125</x:v>
      </x:c>
      <x:c r="AB204" s="23" t="n">
        <x:v>516.4204508463541</x:v>
      </x:c>
      <x:c r="AC204" s="23" t="n">
        <x:v>508.35009765625</x:v>
      </x:c>
      <x:c r="AD204" s="23" t="n">
        <x:v>509.5782340314821</x:v>
      </x:c>
      <x:c r="AE204" s="23" t="n">
        <x:v>484.53409830729163</x:v>
      </x:c>
      <x:c r="AF204" s="23" t="n">
        <x:v>482.52498898946976</x:v>
      </x:c>
      <x:c r="AG204" s="23" t="n">
        <x:v>500.0038359819549</x:v>
      </x:c>
      <x:c r="AH204" s="23" t="n">
        <x:v>481.2099251328323</x:v>
      </x:c>
      <x:c r="AI204" s="23" t="n">
        <x:v>1286.8627773599906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0</x:v>
      </x:c>
      <x:c r="CU204" s="23" t="n">
        <x:v>62.030230877318594</x:v>
      </x:c>
      <x:c r="CV204" s="23" t="n">
        <x:v>136.74932331635787</x:v>
      </x:c>
      <x:c r="CW204" s="23" t="n">
        <x:v>180.046179751364</x:v>
      </x:c>
      <x:c r="CX204" s="23" t="n">
        <x:v>205.68020611308071</x:v>
      </x:c>
      <x:c r="CY204" s="23" t="n">
        <x:v>209.56070086434062</x:v>
      </x:c>
      <x:c r="CZ204" s="23" t="n">
        <x:v>250.76022460431005</x:v>
      </x:c>
      <x:c r="DA204" s="23" t="n">
        <x:v>303.70174787233475</x:v>
      </x:c>
      <x:c r="DB204" s="23" t="n">
        <x:v>361.3631283738944</x:v>
      </x:c>
      <x:c r="DC204" s="23" t="n">
        <x:v>412.4923916576816</x:v>
      </x:c>
      <x:c r="DD204" s="23" t="n">
        <x:v>491.1192730846133</x:v>
      </x:c>
      <x:c r="DE204" s="23" t="n">
        <x:v>546.3439960453222</x:v>
      </x:c>
      <x:c r="DF204" s="23" t="n">
        <x:v>542.1984210257641</x:v>
      </x:c>
      <x:c r="DG204" s="23" t="n">
        <x:v>588.1197076063728</x:v>
      </x:c>
      <x:c r="DH204" s="23" t="n">
        <x:v>635.9231178650821</x:v>
      </x:c>
      <x:c r="DI204" s="23" t="n">
        <x:v>644.9752663255645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0</x:v>
      </x:c>
      <x:c r="DW204" s="23" t="n">
        <x:v>647.6194661458333</x:v>
      </x:c>
      <x:c r="DX204" s="23" t="n">
        <x:v>685.47802734375</x:v>
      </x:c>
      <x:c r="DY204" s="23" t="n">
        <x:v>687.6831868489583</x:v>
      </x:c>
      <x:c r="DZ204" s="23" t="n">
        <x:v>670.2147623697916</x:v>
      </x:c>
      <x:c r="EA204" s="23" t="n">
        <x:v>687.9336763020833</x:v>
      </x:c>
      <x:c r="EB204" s="23" t="n">
        <x:v>671.4576740129887</x:v>
      </x:c>
      <x:c r="EC204" s="23" t="n">
        <x:v>1426.4788411458333</x:v>
      </x:c>
      <x:c r="ED204" s="23" t="n">
        <x:v>1439.9610595703125</x:v>
      </x:c>
      <x:c r="EE204" s="23" t="n">
        <x:v>1426.1785481770833</x:v>
      </x:c>
      <x:c r="EF204" s="23" t="n">
        <x:v>1411.49951171875</x:v>
      </x:c>
      <x:c r="EG204" s="23" t="n">
        <x:v>1405.4955240885415</x:v>
      </x:c>
      <x:c r="EH204" s="23" t="n">
        <x:v>1418.040812174479</x:v>
      </x:c>
      <x:c r="EI204" s="23" t="n">
        <x:v>591.5239664713541</x:v>
      </x:c>
      <x:c r="EJ204" s="23" t="n">
        <x:v>598.2267659505208</x:v>
      </x:c>
      <x:c r="EK204" s="23" t="n">
        <x:v>589.3207600911458</x:v>
      </x:c>
      <x:c r="EL204" s="23" t="n">
        <x:v>588.1984049479166</x:v>
      </x:c>
      <x:c r="EM204" s="23" t="n">
        <x:v>595.4014078776041</x:v>
      </x:c>
      <x:c r="EN204" s="23" t="n">
        <x:v>872.549251101145</x:v>
      </x:c>
      <x:c r="EO204" s="23" t="n">
        <x:v>597.418212890625</x:v>
      </x:c>
      <x:c r="EP204" s="23" t="n">
        <x:f>SUM(B204:EO204)</x:f>
        <x:v>39201.782853098266</x:v>
      </x:c>
      <x:c r="EQ204" s="23" t="n">
        <x:f>SUMPRODUCT(B204:EO204,{0.4263,0.4404,0.4701,0.4406,0.3982,0.3885,0.4142,0.4338,0.4508,0.4959,0.4889,0.4375,0.431,0.4216,0.4138,0.4614,0.4742,0.4294,0.3962,0.3914,0.4039,0.4187,0.456,0.4718,0.402,0.3874,0.427,0.391,0.3959,0.4186,0.3245,0.3315,0.3982,0.301,0.4576,0.7675,0.687,0.6066,0.6856,0.6856,0.6624,0.641,0.5746,0.56,0.564,0.4865,0.6046,0.8509,0.8493,0.7465,0.679,0.6419,0.6459,0.676,0.6911,0.6705,0.6328,0.6318,0.7202,0.8357,0.8493,0.8232,0.8408,0.8799,0.6271,0.2285,0.1842,0.2891,0.3085,0.209,0.1452,0.1545,0.1444,0.1503,0.1691,0.1758,0.335,0.5713,0.6189,0.5975,0.6095,0.6488,0.7369,0.8481,0.921,0.9753,1.0413,1.0852,0.8754,0.5356,0.4616,0.5243,0.5606,0.5392,0.5452,0.5839,0.5899,0.6421,0.7208,0.7156,0.6927,0.6958,0.7096,0.7516,0.7871,0.7805,0.9268,1.1661,1.2283,1.2457,1.2604,1.2015,1.3045,1.5117,1.5126,1.4629,1.4534,1.4242,1.4494,1.4887,1.4228,1.4107,1.5088,1.5612,1.2821,0.8769,0.8638,0.9431,0.9518,0.9816,0.7764,0.4442,0.3934,0.4219,0.4084,0.4352,0.4502,0.4308,0.4133,0.4079,0.4115,0.419,0.4404,0.4507})</x:f>
        <x:v>21651.357427260475</x:v>
      </x:c>
    </x:row>
    <x:row r="205" ht="14" customHeight="1">
      <x:c r="A205" s="3">
        <x:v>45892</x:v>
      </x:c>
      <x:c r="B205" s="23" t="n">
        <x:v>0</x:v>
      </x:c>
      <x:c r="C205" s="23" t="n">
        <x:v>0</x:v>
      </x:c>
      <x:c r="D205" s="23" t="n">
        <x:v>0</x:v>
      </x:c>
      <x:c r="E205" s="23" t="n">
        <x:v>587.1941731770833</x:v>
      </x:c>
      <x:c r="F205" s="23" t="n">
        <x:v>573.926513671875</x:v>
      </x:c>
      <x:c r="G205" s="23" t="n">
        <x:v>556.8343098958333</x:v>
      </x:c>
      <x:c r="H205" s="23" t="n">
        <x:v>568.7749430338541</x:v>
      </x:c>
      <x:c r="I205" s="23" t="n">
        <x:v>573.180419921875</x:v>
      </x:c>
      <x:c r="J205" s="23" t="n">
        <x:v>570.6931559244791</x:v>
      </x:c>
      <x:c r="K205" s="23" t="n">
        <x:v>564.1195068359375</x:v>
      </x:c>
      <x:c r="L205" s="23" t="n">
        <x:v>574.19384765625</x:v>
      </x:c>
      <x:c r="M205" s="23" t="n">
        <x:v>584.0421956380208</x:v>
      </x:c>
      <x:c r="N205" s="23" t="n">
        <x:v>563.1414794921875</x:v>
      </x:c>
      <x:c r="O205" s="23" t="n">
        <x:v>542.6667073567708</x:v>
      </x:c>
      <x:c r="P205" s="23" t="n">
        <x:v>563.2025146484375</x:v>
      </x:c>
      <x:c r="Q205" s="23" t="n">
        <x:v>573.4145914713541</x:v>
      </x:c>
      <x:c r="R205" s="23" t="n">
        <x:v>80.45462828488583</x:v>
      </x:c>
      <x:c r="S205" s="23" t="n">
        <x:v>0</x:v>
      </x:c>
      <x:c r="T205" s="23" t="n">
        <x:v>557.2051595052083</x:v>
      </x:c>
      <x:c r="U205" s="23" t="n">
        <x:v>535.98046875</x:v>
      </x:c>
      <x:c r="V205" s="23" t="n">
        <x:v>523.654296875</x:v>
      </x:c>
      <x:c r="W205" s="23" t="n">
        <x:v>522.7898356119791</x:v>
      </x:c>
      <x:c r="X205" s="23" t="n">
        <x:v>531.8912760416666</x:v>
      </x:c>
      <x:c r="Y205" s="23" t="n">
        <x:v>0</x:v>
      </x:c>
      <x:c r="Z205" s="23" t="n">
        <x:v>544.9860026041666</x:v>
      </x:c>
      <x:c r="AA205" s="23" t="n">
        <x:v>1365.096923828125</x:v>
      </x:c>
      <x:c r="AB205" s="23" t="n">
        <x:v>522.8110758463541</x:v>
      </x:c>
      <x:c r="AC205" s="23" t="n">
        <x:v>513.7992757161458</x:v>
      </x:c>
      <x:c r="AD205" s="23" t="n">
        <x:v>515.2472465492061</x:v>
      </x:c>
      <x:c r="AE205" s="23" t="n">
        <x:v>516.4297281901041</x:v>
      </x:c>
      <x:c r="AF205" s="23" t="n">
        <x:v>499.230796153641</x:v>
      </x:c>
      <x:c r="AG205" s="23" t="n">
        <x:v>472.815851745783</x:v>
      </x:c>
      <x:c r="AH205" s="23" t="n">
        <x:v>484.82623755992836</x:v>
      </x:c>
      <x:c r="AI205" s="23" t="n">
        <x:v>1277.392404030451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28.11006286650475</x:v>
      </x:c>
      <x:c r="CU205" s="23" t="n">
        <x:v>64.34176286992154</x:v>
      </x:c>
      <x:c r="CV205" s="23" t="n">
        <x:v>126.88069949000858</x:v>
      </x:c>
      <x:c r="CW205" s="23" t="n">
        <x:v>209.0849755286622</x:v>
      </x:c>
      <x:c r="CX205" s="23" t="n">
        <x:v>233.6220631983556</x:v>
      </x:c>
      <x:c r="CY205" s="23" t="n">
        <x:v>186.95919041186698</x:v>
      </x:c>
      <x:c r="CZ205" s="23" t="n">
        <x:v>237.83262044946383</x:v>
      </x:c>
      <x:c r="DA205" s="23" t="n">
        <x:v>312.3474587035824</x:v>
      </x:c>
      <x:c r="DB205" s="23" t="n">
        <x:v>361.0531309273443</x:v>
      </x:c>
      <x:c r="DC205" s="23" t="n">
        <x:v>402.6768780804224</x:v>
      </x:c>
      <x:c r="DD205" s="23" t="n">
        <x:v>474.7695746879843</x:v>
      </x:c>
      <x:c r="DE205" s="23" t="n">
        <x:v>533.0892439032442</x:v>
      </x:c>
      <x:c r="DF205" s="23" t="n">
        <x:v>574.5347696238874</x:v>
      </x:c>
      <x:c r="DG205" s="23" t="n">
        <x:v>611.5018752149821</x:v>
      </x:c>
      <x:c r="DH205" s="23" t="n">
        <x:v>659.929067632813</x:v>
      </x:c>
      <x:c r="DI205" s="23" t="n">
        <x:v>673.6177159438498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133.50511570383392</x:v>
      </x:c>
      <x:c r="DW205" s="23" t="n">
        <x:v>714.2389954668207</x:v>
      </x:c>
      <x:c r="DX205" s="23" t="n">
        <x:v>699.5250651041666</x:v>
      </x:c>
      <x:c r="DY205" s="23" t="n">
        <x:v>698.5365893229166</x:v>
      </x:c>
      <x:c r="DZ205" s="23" t="n">
        <x:v>676.9031575520833</x:v>
      </x:c>
      <x:c r="EA205" s="23" t="n">
        <x:v>661.0819498697916</x:v>
      </x:c>
      <x:c r="EB205" s="23" t="n">
        <x:v>628.9209798177083</x:v>
      </x:c>
      <x:c r="EC205" s="23" t="n">
        <x:v>1454.0203450520833</x:v>
      </x:c>
      <x:c r="ED205" s="23" t="n">
        <x:v>1441.031534830729</x:v>
      </x:c>
      <x:c r="EE205" s="23" t="n">
        <x:v>621.1021728515625</x:v>
      </x:c>
      <x:c r="EF205" s="23" t="n">
        <x:v>612.0024820963541</x:v>
      </x:c>
      <x:c r="EG205" s="23" t="n">
        <x:v>1429.9542236328125</x:v>
      </x:c>
      <x:c r="EH205" s="23" t="n">
        <x:v>866.6086141050993</x:v>
      </x:c>
      <x:c r="EI205" s="23" t="n">
        <x:v>589.7112223307291</x:v>
      </x:c>
      <x:c r="EJ205" s="23" t="n">
        <x:v>576.7138264973958</x:v>
      </x:c>
      <x:c r="EK205" s="23" t="n">
        <x:v>1408.9716796875</x:v>
      </x:c>
      <x:c r="EL205" s="23" t="n">
        <x:v>581.8076578776041</x:v>
      </x:c>
      <x:c r="EM205" s="23" t="n">
        <x:v>1401.755411783854</x:v>
      </x:c>
      <x:c r="EN205" s="23" t="n">
        <x:v>1434.8589680989583</x:v>
      </x:c>
      <x:c r="EO205" s="23" t="n">
        <x:v>729.389404296875</x:v>
      </x:c>
      <x:c r="EP205" s="23" t="n">
        <x:f>SUM(B205:EO205)</x:f>
        <x:v>39910.986051528365</x:v>
      </x:c>
      <x:c r="EQ205" s="23" t="n">
        <x:f>SUMPRODUCT(B205:EO205,{0.4166,0.4218,0.4625,0.4516,0.4348,0.4471,0.4671,0.4287,0.372,0.4047,0.4406,0.4364,0.4341,0.4434,0.4493,0.4287,0.3939,0.3696,0.3726,0.3766,0.3783,0.3925,0.376,0.3436,0.3627,0.4126,0.4201,0.3401,0.3492,0.421,0.3591,0.3131,0.3264,0.3157,0.4581,0.6938,0.7527,0.7342,0.7111,0.6561,0.6282,0.6301,0.6067,0.5824,0.5367,0.4544,0.5876,0.8397,0.8346,0.7343,0.6847,0.6823,0.7436,0.8079,0.7823,0.7708,0.7791,0.7295,0.793,0.9252,0.9,0.8721,0.9201,0.9176,0.6343,0.2539,0.2182,0.2613,0.2128,0.1668,0.1639,0.2136,0.2861,0.2623,0.1593,0.1405,0.3095,0.5306,0.562,0.6134,0.7059,0.6673,0.7512,0.9378,0.9313,0.8594,0.88,0.9756,0.7711,0.3854,0.337,0.4246,0.47,0.5046,0.5608,0.6201,0.6374,0.6556,0.6758,0.662,0.6824,0.7264,0.72,0.754,0.8009,0.7673,0.9182,1.1833,1.2076,1.1958,1.2373,1.2277,1.3127,1.4731,1.5209,1.5108,1.4969,1.4742,1.4579,1.465,1.4923,1.4761,1.4589,1.5064,1.3108,0.9683,0.9087,0.915,0.8956,0.9455,0.759,0.4254,0.3753,0.4229,0.4267,0.4354,0.439,0.417,0.3752,0.3933,0.4259,0.3644,0.4093,0.5327})</x:f>
        <x:v>21700.20541578358</x:v>
      </x:c>
    </x:row>
    <x:row r="206" ht="14" customHeight="1">
      <x:c r="A206" s="3">
        <x:v>45893</x:v>
      </x:c>
      <x:c r="B206" s="23" t="n">
        <x:v>751.13134765625</x:v>
      </x:c>
      <x:c r="C206" s="23" t="n">
        <x:v>726.2847493489583</x:v>
      </x:c>
      <x:c r="D206" s="23" t="n">
        <x:v>743.6754557291666</x:v>
      </x:c>
      <x:c r="E206" s="23" t="n">
        <x:v>743.6080729166666</x:v>
      </x:c>
      <x:c r="F206" s="23" t="n">
        <x:v>743.3651529947916</x:v>
      </x:c>
      <x:c r="G206" s="23" t="n">
        <x:v>732.4056803385416</x:v>
      </x:c>
      <x:c r="H206" s="23" t="n">
        <x:v>707.229248046875</x:v>
      </x:c>
      <x:c r="I206" s="23" t="n">
        <x:v>703.0203450520833</x:v>
      </x:c>
      <x:c r="J206" s="23" t="n">
        <x:v>731.225341796875</x:v>
      </x:c>
      <x:c r="K206" s="23" t="n">
        <x:v>716.5276692708333</x:v>
      </x:c>
      <x:c r="L206" s="23" t="n">
        <x:v>696.4153645833333</x:v>
      </x:c>
      <x:c r="M206" s="23" t="n">
        <x:v>696.391845703125</x:v>
      </x:c>
      <x:c r="N206" s="23" t="n">
        <x:v>694.0066731770833</x:v>
      </x:c>
      <x:c r="O206" s="23" t="n">
        <x:v>707.12451171875</x:v>
      </x:c>
      <x:c r="P206" s="23" t="n">
        <x:v>706.0126953125</x:v>
      </x:c>
      <x:c r="Q206" s="23" t="n">
        <x:v>725.4231770833333</x:v>
      </x:c>
      <x:c r="R206" s="23" t="n">
        <x:v>714.4219563802083</x:v>
      </x:c>
      <x:c r="S206" s="23" t="n">
        <x:v>697.0270182291666</x:v>
      </x:c>
      <x:c r="T206" s="23" t="n">
        <x:v>705.663330078125</x:v>
      </x:c>
      <x:c r="U206" s="23" t="n">
        <x:v>695.1402180989583</x:v>
      </x:c>
      <x:c r="V206" s="23" t="n">
        <x:v>680.1388346354166</x:v>
      </x:c>
      <x:c r="W206" s="23" t="n">
        <x:v>685.149658203125</x:v>
      </x:c>
      <x:c r="X206" s="23" t="n">
        <x:v>681.3089599609375</x:v>
      </x:c>
      <x:c r="Y206" s="23" t="n">
        <x:v>660.7674560546875</x:v>
      </x:c>
      <x:c r="Z206" s="23" t="n">
        <x:v>1485.9995930989583</x:v>
      </x:c>
      <x:c r="AA206" s="23" t="n">
        <x:v>1072.1208986237593</x:v>
      </x:c>
      <x:c r="AB206" s="23" t="n">
        <x:v>659.5257161458333</x:v>
      </x:c>
      <x:c r="AC206" s="23" t="n">
        <x:v>668.1182454427083</x:v>
      </x:c>
      <x:c r="AD206" s="23" t="n">
        <x:v>654.6240010862062</x:v>
      </x:c>
      <x:c r="AE206" s="23" t="n">
        <x:v>676.6731770833333</x:v>
      </x:c>
      <x:c r="AF206" s="23" t="n">
        <x:v>676.7035778604417</x:v>
      </x:c>
      <x:c r="AG206" s="23" t="n">
        <x:v>653.0879585497207</x:v>
      </x:c>
      <x:c r="AH206" s="23" t="n">
        <x:v>1452.4261565922334</x:v>
      </x:c>
      <x:c r="AI206" s="23" t="n">
        <x:v>1426.2238841009741</x:v>
      </x:c>
      <x:c r="AJ206" s="23" t="n">
        <x:v>623.1498388611788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539.4755572426084</x:v>
      </x:c>
      <x:c r="BP206" s="23" t="n">
        <x:v>496.4807823140139</x:v>
      </x:c>
      <x:c r="BQ206" s="23" t="n">
        <x:v>485.48452167690294</x:v>
      </x:c>
      <x:c r="BR206" s="23" t="n">
        <x:v>4.866361171939616</x:v>
      </x:c>
      <x:c r="BS206" s="23" t="n">
        <x:v>502.48843935409906</x:v>
      </x:c>
      <x:c r="BT206" s="23" t="n">
        <x:v>459.33448830767185</x:v>
      </x:c>
      <x:c r="BU206" s="23" t="n">
        <x:v>408.92514279040734</x:v>
      </x:c>
      <x:c r="BV206" s="23" t="n">
        <x:v>424.2481353795568</x:v>
      </x:c>
      <x:c r="BW206" s="23" t="n">
        <x:v>0</x:v>
      </x:c>
      <x:c r="BX206" s="23" t="n">
        <x:v>0</x:v>
      </x:c>
      <x:c r="BY206" s="23" t="n">
        <x:v>0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105.35452155219687</x:v>
      </x:c>
      <x:c r="CN206" s="23" t="n">
        <x:v>311.054112299636</x:v>
      </x:c>
      <x:c r="CO206" s="23" t="n">
        <x:v>220.42279038251823</x:v>
      </x:c>
      <x:c r="CP206" s="23" t="n">
        <x:v>273.07048845250813</x:v>
      </x:c>
      <x:c r="CQ206" s="23" t="n">
        <x:v>322.4267171933776</x:v>
      </x:c>
      <x:c r="CR206" s="23" t="n">
        <x:v>366.25572466916884</x:v>
      </x:c>
      <x:c r="CS206" s="23" t="n">
        <x:v>427.40525718153214</x:v>
      </x:c>
      <x:c r="CT206" s="23" t="n">
        <x:v>494.8606666565802</x:v>
      </x:c>
      <x:c r="CU206" s="23" t="n">
        <x:v>561.5629498994241</x:v>
      </x:c>
      <x:c r="CV206" s="23" t="n">
        <x:v>608.0854080717645</x:v>
      </x:c>
      <x:c r="CW206" s="23" t="n">
        <x:v>649.3666282859172</x:v>
      </x:c>
      <x:c r="CX206" s="23" t="n">
        <x:v>697.7429939293816</x:v>
      </x:c>
      <x:c r="CY206" s="23" t="n">
        <x:v>745.3869099806509</x:v>
      </x:c>
      <x:c r="CZ206" s="23" t="n">
        <x:v>794.1365319906029</x:v>
      </x:c>
      <x:c r="DA206" s="23" t="n">
        <x:v>853.8229836285293</x:v>
      </x:c>
      <x:c r="DB206" s="23" t="n">
        <x:v>927.2562065634272</x:v>
      </x:c>
      <x:c r="DC206" s="23" t="n">
        <x:v>1012.3196130902762</x:v>
      </x:c>
      <x:c r="DD206" s="23" t="n">
        <x:v>967.1610477007627</x:v>
      </x:c>
      <x:c r="DE206" s="23" t="n">
        <x:v>807.5500357613221</x:v>
      </x:c>
      <x:c r="DF206" s="23" t="n">
        <x:v>870.2954807530975</x:v>
      </x:c>
      <x:c r="DG206" s="23" t="n">
        <x:v>925.568984188576</x:v>
      </x:c>
      <x:c r="DH206" s="23" t="n">
        <x:v>915.9806974349322</x:v>
      </x:c>
      <x:c r="DI206" s="23" t="n">
        <x:v>956.0583655404962</x:v>
      </x:c>
      <x:c r="DJ206" s="23" t="n">
        <x:v>938.2196031576034</x:v>
      </x:c>
      <x:c r="DK206" s="23" t="n">
        <x:v>105.79194616030614</x:v>
      </x:c>
      <x:c r="DL206" s="23" t="n">
        <x:v>135.34538887803788</x:v>
      </x:c>
      <x:c r="DM206" s="23" t="n">
        <x:v>179.66234914959279</x:v>
      </x:c>
      <x:c r="DN206" s="23" t="n">
        <x:v>188.46608723958326</x:v>
      </x:c>
      <x:c r="DO206" s="23" t="n">
        <x:v>175.483141796875</x:v>
      </x:c>
      <x:c r="DP206" s="23" t="n">
        <x:v>325.863989861537</x:v>
      </x:c>
      <x:c r="DQ206" s="23" t="n">
        <x:v>152.90202473958334</x:v>
      </x:c>
      <x:c r="DR206" s="23" t="n">
        <x:v>153.56942499999997</x:v>
      </x:c>
      <x:c r="DS206" s="23" t="n">
        <x:v>155.43814947916658</x:v>
      </x:c>
      <x:c r="DT206" s="23" t="n">
        <x:v>180.42004069010423</x:v>
      </x:c>
      <x:c r="DU206" s="23" t="n">
        <x:v>162.81550156249992</x:v>
      </x:c>
      <x:c r="DV206" s="23" t="n">
        <x:v>953.5177910807289</x:v>
      </x:c>
      <x:c r="DW206" s="23" t="n">
        <x:v>974.4240143550669</x:v>
      </x:c>
      <x:c r="DX206" s="23" t="n">
        <x:v>976.1625008037549</x:v>
      </x:c>
      <x:c r="DY206" s="23" t="n">
        <x:v>941.7290852864583</x:v>
      </x:c>
      <x:c r="DZ206" s="23" t="n">
        <x:v>950.037841796875</x:v>
      </x:c>
      <x:c r="EA206" s="23" t="n">
        <x:v>959.2705891927083</x:v>
      </x:c>
      <x:c r="EB206" s="23" t="n">
        <x:v>869.7906087239583</x:v>
      </x:c>
      <x:c r="EC206" s="23" t="n">
        <x:v>1034.3997285718879</x:v>
      </x:c>
      <x:c r="ED206" s="23" t="n">
        <x:v>1595.73388671875</x:v>
      </x:c>
      <x:c r="EE206" s="23" t="n">
        <x:v>753.6668294270833</x:v>
      </x:c>
      <x:c r="EF206" s="23" t="n">
        <x:v>1567.4080403645833</x:v>
      </x:c>
      <x:c r="EG206" s="23" t="n">
        <x:v>1570.922119140625</x:v>
      </x:c>
      <x:c r="EH206" s="23" t="n">
        <x:v>1604.62890625</x:v>
      </x:c>
      <x:c r="EI206" s="23" t="n">
        <x:v>777.1609700520833</x:v>
      </x:c>
      <x:c r="EJ206" s="23" t="n">
        <x:v>1567.601806640625</x:v>
      </x:c>
      <x:c r="EK206" s="23" t="n">
        <x:v>1562.6803385416665</x:v>
      </x:c>
      <x:c r="EL206" s="23" t="n">
        <x:v>744.7301432291666</x:v>
      </x:c>
      <x:c r="EM206" s="23" t="n">
        <x:v>761.0421549479166</x:v>
      </x:c>
      <x:c r="EN206" s="23" t="n">
        <x:v>772.5567220052083</x:v>
      </x:c>
      <x:c r="EO206" s="23" t="n">
        <x:v>771.275390625</x:v>
      </x:c>
      <x:c r="EP206" s="23" t="n">
        <x:f>SUM(B206:EO206)</x:f>
        <x:v>69789.28346872808</x:v>
      </x:c>
      <x:c r="EQ206" s="23" t="n">
        <x:f>SUMPRODUCT(B206:EO206,{0.5019,0.4822,0.5337,0.5417,0.5221,0.5204,0.5516,0.5376,0.4962,0.5193,0.5219,0.4986,0.5298,0.5454,0.5215,0.5061,0.4951,0.4939,0.5178,0.532,0.5229,0.5083,0.4971,0.4856,0.4659,0.4506,0.446,0.4488,0.4627,0.4704,0.4546,0.4839,0.4991,0.4114,0.5844,0.9417,1.0076,0.9247,0.8637,0.847,0.8345,0.8129,0.7999,0.777,0.7147,0.647,0.8434,1.1519,1.131,1.0825,1.1141,1.038,1.0128,1.0542,1.0114,0.9941,0.9827,0.8619,0.9037,1.0895,1.1047,1.0116,0.9871,1.0878,0.8534,0.433,0.4528,0.5159,0.4196,0.3676,0.3589,0.3637,0.3747,0.3661,0.3394,0.3496,0.5289,0.7663,0.8003,0.8042,0.8394,0.8141,0.9045,1.1006,1.1919,1.1921,1.2095,1.2856,1.0798,0.7286,0.7406,0.8341,0.8193,0.7901,0.7856,0.8056,0.8381,0.9124,0.9927,0.9978,0.9692,0.9827,1.0748,1.1211,1.1054,1.1367,1.227,1.3299,1.3855,1.4101,1.4148,1.4146,1.5243,1.6692,1.6465,1.5974,1.6101,1.6379,1.66,1.6632,1.6411,1.6173,1.644,1.7075,1.4732,1.0766,1.0191,1.0769,1.1191,1.19,0.9405,0.5187,0.4702,0.5465,0.5341,0.4775,0.4874,0.5476,0.5438,0.5278,0.5401,0.5625,0.5629,0.5519})</x:f>
        <x:v>51376.75870974263</x:v>
      </x:c>
    </x:row>
    <x:row r="207" ht="14" customHeight="1">
      <x:c r="A207" s="3">
        <x:v>45894</x:v>
      </x:c>
      <x:c r="B207" s="23" t="n">
        <x:v>746.1748860677083</x:v>
      </x:c>
      <x:c r="C207" s="23" t="n">
        <x:v>747.5096842447916</x:v>
      </x:c>
      <x:c r="D207" s="23" t="n">
        <x:v>551.9809870636004</x:v>
      </x:c>
      <x:c r="E207" s="23" t="n">
        <x:v>703.9921061197916</x:v>
      </x:c>
      <x:c r="F207" s="23" t="n">
        <x:v>723.6448567708333</x:v>
      </x:c>
      <x:c r="G207" s="23" t="n">
        <x:v>737.0164388020833</x:v>
      </x:c>
      <x:c r="H207" s="23" t="n">
        <x:v>701.3758138020833</x:v>
      </x:c>
      <x:c r="I207" s="23" t="n">
        <x:v>697.1464029947916</x:v>
      </x:c>
      <x:c r="J207" s="23" t="n">
        <x:v>719.3052571614583</x:v>
      </x:c>
      <x:c r="K207" s="23" t="n">
        <x:v>723.8924967447916</x:v>
      </x:c>
      <x:c r="L207" s="23" t="n">
        <x:v>714.4183756510416</x:v>
      </x:c>
      <x:c r="M207" s="23" t="n">
        <x:v>695.9298502604166</x:v>
      </x:c>
      <x:c r="N207" s="23" t="n">
        <x:v>717.563232421875</x:v>
      </x:c>
      <x:c r="O207" s="23" t="n">
        <x:v>719.8062337239583</x:v>
      </x:c>
      <x:c r="P207" s="23" t="n">
        <x:v>707.8218587239583</x:v>
      </x:c>
      <x:c r="Q207" s="23" t="n">
        <x:v>687.959228515625</x:v>
      </x:c>
      <x:c r="R207" s="23" t="n">
        <x:v>685.143310546875</x:v>
      </x:c>
      <x:c r="S207" s="23" t="n">
        <x:v>690.8108723958333</x:v>
      </x:c>
      <x:c r="T207" s="23" t="n">
        <x:v>691.9243977864583</x:v>
      </x:c>
      <x:c r="U207" s="23" t="n">
        <x:v>699.192626953125</x:v>
      </x:c>
      <x:c r="V207" s="23" t="n">
        <x:v>704.053955078125</x:v>
      </x:c>
      <x:c r="W207" s="23" t="n">
        <x:v>685.2650553385416</x:v>
      </x:c>
      <x:c r="X207" s="23" t="n">
        <x:v>674.7784830729166</x:v>
      </x:c>
      <x:c r="Y207" s="23" t="n">
        <x:v>682.3336995442708</x:v>
      </x:c>
      <x:c r="Z207" s="23" t="n">
        <x:v>1495.4432373046875</x:v>
      </x:c>
      <x:c r="AA207" s="23" t="n">
        <x:v>1495.5234375</x:v>
      </x:c>
      <x:c r="AB207" s="23" t="n">
        <x:v>668.5652669270833</x:v>
      </x:c>
      <x:c r="AC207" s="23" t="n">
        <x:v>677.3657633463541</x:v>
      </x:c>
      <x:c r="AD207" s="23" t="n">
        <x:v>652.4458480892918</x:v>
      </x:c>
      <x:c r="AE207" s="23" t="n">
        <x:v>1481.557902018229</x:v>
      </x:c>
      <x:c r="AF207" s="23" t="n">
        <x:v>637.0452912606102</x:v>
      </x:c>
      <x:c r="AG207" s="23" t="n">
        <x:v>639.8336113555205</x:v>
      </x:c>
      <x:c r="AH207" s="23" t="n">
        <x:v>1477.9533587256842</x:v>
      </x:c>
      <x:c r="AI207" s="23" t="n">
        <x:v>1437.6122984232693</x:v>
      </x:c>
      <x:c r="AJ207" s="23" t="n">
        <x:v>0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265.50888980049206</x:v>
      </x:c>
      <x:c r="BP207" s="23" t="n">
        <x:v>496.85868090426357</x:v>
      </x:c>
      <x:c r="BQ207" s="23" t="n">
        <x:v>0</x:v>
      </x:c>
      <x:c r="BR207" s="23" t="n">
        <x:v>0</x:v>
      </x:c>
      <x:c r="BS207" s="23" t="n">
        <x:v>0</x:v>
      </x:c>
      <x:c r="BT207" s="23" t="n">
        <x:v>399.8603001891106</x:v>
      </x:c>
      <x:c r="BU207" s="23" t="n">
        <x:v>389.7004976645436</x:v>
      </x:c>
      <x:c r="BV207" s="23" t="n">
        <x:v>398.78239528866106</x:v>
      </x:c>
      <x:c r="BW207" s="23" t="n">
        <x:v>0</x:v>
      </x:c>
      <x:c r="BX207" s="23" t="n">
        <x:v>0</x:v>
      </x:c>
      <x:c r="BY207" s="23" t="n">
        <x:v>414.8304383119248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153.77712527322</x:v>
      </x:c>
      <x:c r="CN207" s="23" t="n">
        <x:v>380.9836876249288</x:v>
      </x:c>
      <x:c r="CO207" s="23" t="n">
        <x:v>221.9864062202578</x:v>
      </x:c>
      <x:c r="CP207" s="23" t="n">
        <x:v>276.6619932088733</x:v>
      </x:c>
      <x:c r="CQ207" s="23" t="n">
        <x:v>343.6786925723566</x:v>
      </x:c>
      <x:c r="CR207" s="23" t="n">
        <x:v>385.53329480433695</x:v>
      </x:c>
      <x:c r="CS207" s="23" t="n">
        <x:v>422.6928380405925</x:v>
      </x:c>
      <x:c r="CT207" s="23" t="n">
        <x:v>492.14504390786334</x:v>
      </x:c>
      <x:c r="CU207" s="23" t="n">
        <x:v>556.9934482918219</x:v>
      </x:c>
      <x:c r="CV207" s="23" t="n">
        <x:v>621.354198597702</x:v>
      </x:c>
      <x:c r="CW207" s="23" t="n">
        <x:v>679.9784248143712</x:v>
      </x:c>
      <x:c r="CX207" s="23" t="n">
        <x:v>723.9948355932493</x:v>
      </x:c>
      <x:c r="CY207" s="23" t="n">
        <x:v>767.8476240288321</x:v>
      </x:c>
      <x:c r="CZ207" s="23" t="n">
        <x:v>817.2017466440622</x:v>
      </x:c>
      <x:c r="DA207" s="23" t="n">
        <x:v>874.2479012799818</x:v>
      </x:c>
      <x:c r="DB207" s="23" t="n">
        <x:v>946.8939109632157</x:v>
      </x:c>
      <x:c r="DC207" s="23" t="n">
        <x:v>1002.6797979613675</x:v>
      </x:c>
      <x:c r="DD207" s="23" t="n">
        <x:v>974.5345126813913</x:v>
      </x:c>
      <x:c r="DE207" s="23" t="n">
        <x:v>839.2228423918933</x:v>
      </x:c>
      <x:c r="DF207" s="23" t="n">
        <x:v>867.9253839585655</x:v>
      </x:c>
      <x:c r="DG207" s="23" t="n">
        <x:v>921.3703764122924</x:v>
      </x:c>
      <x:c r="DH207" s="23" t="n">
        <x:v>941.4072274975348</x:v>
      </x:c>
      <x:c r="DI207" s="23" t="n">
        <x:v>959.7774687916923</x:v>
      </x:c>
      <x:c r="DJ207" s="23" t="n">
        <x:v>950.8100203402353</x:v>
      </x:c>
      <x:c r="DK207" s="23" t="n">
        <x:v>156.06230761221255</x:v>
      </x:c>
      <x:c r="DL207" s="23" t="n">
        <x:v>117.32510761511124</x:v>
      </x:c>
      <x:c r="DM207" s="23" t="n">
        <x:v>116.49202901787915</x:v>
      </x:c>
      <x:c r="DN207" s="23" t="n">
        <x:v>140.70886067708335</x:v>
      </x:c>
      <x:c r="DO207" s="23" t="n">
        <x:v>144.7214852604167</x:v>
      </x:c>
      <x:c r="DP207" s="23" t="n">
        <x:v>399.20850805530614</x:v>
      </x:c>
      <x:c r="DQ207" s="23" t="n">
        <x:v>122.05749218749997</x:v>
      </x:c>
      <x:c r="DR207" s="23" t="n">
        <x:v>143.73496713541664</x:v>
      </x:c>
      <x:c r="DS207" s="23" t="n">
        <x:v>131.86240744791667</x:v>
      </x:c>
      <x:c r="DT207" s="23" t="n">
        <x:v>151.83093489583325</x:v>
      </x:c>
      <x:c r="DU207" s="23" t="n">
        <x:v>160.54414976562504</x:v>
      </x:c>
      <x:c r="DV207" s="23" t="n">
        <x:v>952.583998671875</x:v>
      </x:c>
      <x:c r="DW207" s="23" t="n">
        <x:v>958.3208821614583</x:v>
      </x:c>
      <x:c r="DX207" s="23" t="n">
        <x:v>956.0711699701003</x:v>
      </x:c>
      <x:c r="DY207" s="23" t="n">
        <x:v>962.068115234375</x:v>
      </x:c>
      <x:c r="DZ207" s="23" t="n">
        <x:v>969.1327311197916</x:v>
      </x:c>
      <x:c r="EA207" s="23" t="n">
        <x:v>945.1797403124999</x:v>
      </x:c>
      <x:c r="EB207" s="23" t="n">
        <x:v>920.3638798868312</x:v>
      </x:c>
      <x:c r="EC207" s="23" t="n">
        <x:v>769.9879557291666</x:v>
      </x:c>
      <x:c r="ED207" s="23" t="n">
        <x:v>1581.112548828125</x:v>
      </x:c>
      <x:c r="EE207" s="23" t="n">
        <x:v>753.807373046875</x:v>
      </x:c>
      <x:c r="EF207" s="23" t="n">
        <x:v>1047.4262856063528</x:v>
      </x:c>
      <x:c r="EG207" s="23" t="n">
        <x:v>1586.523681640625</x:v>
      </x:c>
      <x:c r="EH207" s="23" t="n">
        <x:v>1594.9178873697915</x:v>
      </x:c>
      <x:c r="EI207" s="23" t="n">
        <x:v>759.4837239583333</x:v>
      </x:c>
      <x:c r="EJ207" s="23" t="n">
        <x:v>757.8766276041666</x:v>
      </x:c>
      <x:c r="EK207" s="23" t="n">
        <x:v>1571.2097981770833</x:v>
      </x:c>
      <x:c r="EL207" s="23" t="n">
        <x:v>1545.2406412760415</x:v>
      </x:c>
      <x:c r="EM207" s="23" t="n">
        <x:v>743.743896484375</x:v>
      </x:c>
      <x:c r="EN207" s="23" t="n">
        <x:v>755.3831380208333</x:v>
      </x:c>
      <x:c r="EO207" s="23" t="n">
        <x:v>1584.027587890625</x:v>
      </x:c>
      <x:c r="EP207" s="23" t="n">
        <x:f>SUM(B207:EO207)</x:f>
        <x:v>69460.63604145494</x:v>
      </x:c>
      <x:c r="EQ207" s="23" t="n">
        <x:f>SUMPRODUCT(B207:EO207,{0.5615,0.5351,0.5052,0.5581,0.5544,0.4924,0.5101,0.5304,0.5122,0.4978,0.4933,0.4933,0.4986,0.5382,0.5674,0.5117,0.4936,0.5229,0.4941,0.4867,0.5036,0.4666,0.4699,0.5191,0.5181,0.4916,0.4553,0.404,0.4095,0.4568,0.4662,0.514,0.5293,0.3974,0.5529,0.9198,0.9662,0.9241,0.9305,0.8726,0.8065,0.7759,0.768,0.7752,0.7362,0.6325,0.8151,1.1597,1.1662,1.0889,1.0803,1.0357,1.0055,1.0073,0.999,0.9974,0.9729,0.8945,0.9616,1.1233,1.126,1.1318,1.215,1.2271,0.9289,0.5074,0.4255,0.4717,0.4865,0.5151,0.5256,0.5095,0.4971,0.492,0.4724,0.4539,0.6539,0.9416,0.9464,0.9181,0.9488,0.9011,0.9751,1.1607,1.2215,1.2051,1.2403,1.352,1.1478,0.7599,0.7395,0.8114,0.7966,0.8064,0.8731,0.9339,0.9076,0.9169,0.9788,0.9961,1.0377,1.0917,1.0668,1.0434,1.0741,1.1429,1.247,1.3435,1.376,1.4086,1.4228,1.3584,1.4276,1.6121,1.6716,1.6733,1.6768,1.6619,1.6383,1.6187,1.6139,1.6494,1.7083,1.7012,1.4478,1.0971,1.0175,1.057,1.0996,1.1305,0.882,0.5238,0.5239,0.5511,0.475,0.4962,0.5219,0.5157,0.5474,0.5756,0.5593,0.5066,0.4997,0.5246})</x:f>
        <x:v>51451.607435860824</x:v>
      </x:c>
    </x:row>
    <x:row r="208" ht="14" customHeight="1">
      <x:c r="A208" s="3">
        <x:v>45895</x:v>
      </x:c>
      <x:c r="B208" s="23" t="n">
        <x:v>750.2632649739583</x:v>
      </x:c>
      <x:c r="C208" s="23" t="n">
        <x:v>747.5354817708333</x:v>
      </x:c>
      <x:c r="D208" s="23" t="n">
        <x:v>727.5167643229166</x:v>
      </x:c>
      <x:c r="E208" s="23" t="n">
        <x:v>731.959716796875</x:v>
      </x:c>
      <x:c r="F208" s="23" t="n">
        <x:v>736.3309733072916</x:v>
      </x:c>
      <x:c r="G208" s="23" t="n">
        <x:v>1560.62451171875</x:v>
      </x:c>
      <x:c r="H208" s="23" t="n">
        <x:v>718.9043782552083</x:v>
      </x:c>
      <x:c r="I208" s="23" t="n">
        <x:v>710.2996419270833</x:v>
      </x:c>
      <x:c r="J208" s="23" t="n">
        <x:v>698.0131022135416</x:v>
      </x:c>
      <x:c r="K208" s="23" t="n">
        <x:v>699.509521484375</x:v>
      </x:c>
      <x:c r="L208" s="23" t="n">
        <x:v>713.2508138020833</x:v>
      </x:c>
      <x:c r="M208" s="23" t="n">
        <x:v>721.24072265625</x:v>
      </x:c>
      <x:c r="N208" s="23" t="n">
        <x:v>701.7548014322916</x:v>
      </x:c>
      <x:c r="O208" s="23" t="n">
        <x:v>694.1421712239583</x:v>
      </x:c>
      <x:c r="P208" s="23" t="n">
        <x:v>700.2457682291666</x:v>
      </x:c>
      <x:c r="Q208" s="23" t="n">
        <x:v>707.5143229166666</x:v>
      </x:c>
      <x:c r="R208" s="23" t="n">
        <x:v>692.560302734375</x:v>
      </x:c>
      <x:c r="S208" s="23" t="n">
        <x:v>681.2507731119791</x:v>
      </x:c>
      <x:c r="T208" s="23" t="n">
        <x:v>693.1404622395833</x:v>
      </x:c>
      <x:c r="U208" s="23" t="n">
        <x:v>693.727783203125</x:v>
      </x:c>
      <x:c r="V208" s="23" t="n">
        <x:v>692.65576171875</x:v>
      </x:c>
      <x:c r="W208" s="23" t="n">
        <x:v>688.7276204427083</x:v>
      </x:c>
      <x:c r="X208" s="23" t="n">
        <x:v>685.5990397135416</x:v>
      </x:c>
      <x:c r="Y208" s="23" t="n">
        <x:v>758.7836564381694</x:v>
      </x:c>
      <x:c r="Z208" s="23" t="n">
        <x:v>1512.1608479817708</x:v>
      </x:c>
      <x:c r="AA208" s="23" t="n">
        <x:v>1510.720987955729</x:v>
      </x:c>
      <x:c r="AB208" s="23" t="n">
        <x:v>670.0030110677083</x:v>
      </x:c>
      <x:c r="AC208" s="23" t="n">
        <x:v>681.8440755208333</x:v>
      </x:c>
      <x:c r="AD208" s="23" t="n">
        <x:v>675.8147379557291</x:v>
      </x:c>
      <x:c r="AE208" s="23" t="n">
        <x:v>669.7130533854166</x:v>
      </x:c>
      <x:c r="AF208" s="23" t="n">
        <x:v>648.7487144347256</x:v>
      </x:c>
      <x:c r="AG208" s="23" t="n">
        <x:v>659.0817210842586</x:v>
      </x:c>
      <x:c r="AH208" s="23" t="n">
        <x:v>1487.5350565364427</x:v>
      </x:c>
      <x:c r="AI208" s="23" t="n">
        <x:v>1453.1553602266545</x:v>
      </x:c>
      <x:c r="AJ208" s="23" t="n">
        <x:v>641.0143168947054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515.7744438783217</x:v>
      </x:c>
      <x:c r="BQ208" s="23" t="n">
        <x:v>0</x:v>
      </x:c>
      <x:c r="BR208" s="23" t="n">
        <x:v>0</x:v>
      </x:c>
      <x:c r="BS208" s="23" t="n">
        <x:v>0</x:v>
      </x:c>
      <x:c r="BT208" s="23" t="n">
        <x:v>459.3128087749816</x:v>
      </x:c>
      <x:c r="BU208" s="23" t="n">
        <x:v>447.0003304527545</x:v>
      </x:c>
      <x:c r="BV208" s="23" t="n">
        <x:v>453.5586322506724</x:v>
      </x:c>
      <x:c r="BW208" s="23" t="n">
        <x:v>462.7385619814695</x:v>
      </x:c>
      <x:c r="BX208" s="23" t="n">
        <x:v>0</x:v>
      </x:c>
      <x:c r="BY208" s="23" t="n">
        <x:v>477.95589104791117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167.95722609222773</x:v>
      </x:c>
      <x:c r="CN208" s="23" t="n">
        <x:v>440.50395693409973</x:v>
      </x:c>
      <x:c r="CO208" s="23" t="n">
        <x:v>265.63207004768776</x:v>
      </x:c>
      <x:c r="CP208" s="23" t="n">
        <x:v>310.74497345088093</x:v>
      </x:c>
      <x:c r="CQ208" s="23" t="n">
        <x:v>359.63630008711</x:v>
      </x:c>
      <x:c r="CR208" s="23" t="n">
        <x:v>406.546356069009</x:v>
      </x:c>
      <x:c r="CS208" s="23" t="n">
        <x:v>443.9439264128462</x:v>
      </x:c>
      <x:c r="CT208" s="23" t="n">
        <x:v>511.82074488457783</x:v>
      </x:c>
      <x:c r="CU208" s="23" t="n">
        <x:v>581.1249885292227</x:v>
      </x:c>
      <x:c r="CV208" s="23" t="n">
        <x:v>628.6389886772497</x:v>
      </x:c>
      <x:c r="CW208" s="23" t="n">
        <x:v>686.6092347258393</x:v>
      </x:c>
      <x:c r="CX208" s="23" t="n">
        <x:v>755.0188531079777</x:v>
      </x:c>
      <x:c r="CY208" s="23" t="n">
        <x:v>804.5334817028761</x:v>
      </x:c>
      <x:c r="CZ208" s="23" t="n">
        <x:v>851.9746996208705</x:v>
      </x:c>
      <x:c r="DA208" s="23" t="n">
        <x:v>889.5591876806704</x:v>
      </x:c>
      <x:c r="DB208" s="23" t="n">
        <x:v>932.6452505394261</x:v>
      </x:c>
      <x:c r="DC208" s="23" t="n">
        <x:v>1019.0932402180284</x:v>
      </x:c>
      <x:c r="DD208" s="23" t="n">
        <x:v>982.425471623448</x:v>
      </x:c>
      <x:c r="DE208" s="23" t="n">
        <x:v>834.8696686310714</x:v>
      </x:c>
      <x:c r="DF208" s="23" t="n">
        <x:v>849.6130929424901</x:v>
      </x:c>
      <x:c r="DG208" s="23" t="n">
        <x:v>907.7880105820466</x:v>
      </x:c>
      <x:c r="DH208" s="23" t="n">
        <x:v>925.6286674695723</x:v>
      </x:c>
      <x:c r="DI208" s="23" t="n">
        <x:v>938.4396908309427</x:v>
      </x:c>
      <x:c r="DJ208" s="23" t="n">
        <x:v>931.3690347844997</x:v>
      </x:c>
      <x:c r="DK208" s="23" t="n">
        <x:v>147.81379646134138</x:v>
      </x:c>
      <x:c r="DL208" s="23" t="n">
        <x:v>130.96920106981057</x:v>
      </x:c>
      <x:c r="DM208" s="23" t="n">
        <x:v>150.51437687880843</x:v>
      </x:c>
      <x:c r="DN208" s="23" t="n">
        <x:v>171.08777539062504</x:v>
      </x:c>
      <x:c r="DO208" s="23" t="n">
        <x:v>146.3602524088542</x:v>
      </x:c>
      <x:c r="DP208" s="23" t="n">
        <x:v>143.49953221354173</x:v>
      </x:c>
      <x:c r="DQ208" s="23" t="n">
        <x:v>142.28372916666663</x:v>
      </x:c>
      <x:c r="DR208" s="23" t="n">
        <x:v>158.07448536458332</x:v>
      </x:c>
      <x:c r="DS208" s="23" t="n">
        <x:v>144.44142763020832</x:v>
      </x:c>
      <x:c r="DT208" s="23" t="n">
        <x:v>415.61501000410254</x:v>
      </x:c>
      <x:c r="DU208" s="23" t="n">
        <x:v>161.59558205729172</x:v>
      </x:c>
      <x:c r="DV208" s="23" t="n">
        <x:v>957.8262675520833</x:v>
      </x:c>
      <x:c r="DW208" s="23" t="n">
        <x:v>962.8572591145833</x:v>
      </x:c>
      <x:c r="DX208" s="23" t="n">
        <x:v>957.9941029128087</x:v>
      </x:c>
      <x:c r="DY208" s="23" t="n">
        <x:v>950.850830078125</x:v>
      </x:c>
      <x:c r="DZ208" s="23" t="n">
        <x:v>955.1531575520833</x:v>
      </x:c>
      <x:c r="EA208" s="23" t="n">
        <x:v>960.6984049479166</x:v>
      </x:c>
      <x:c r="EB208" s="23" t="n">
        <x:v>912.7686910606353</x:v>
      </x:c>
      <x:c r="EC208" s="23" t="n">
        <x:v>743.9049479166666</x:v>
      </x:c>
      <x:c r="ED208" s="23" t="n">
        <x:v>745.8131813834232</x:v>
      </x:c>
      <x:c r="EE208" s="23" t="n">
        <x:v>769.7691243489583</x:v>
      </x:c>
      <x:c r="EF208" s="23" t="n">
        <x:v>1591.718994140625</x:v>
      </x:c>
      <x:c r="EG208" s="23" t="n">
        <x:v>1049.1839050041795</x:v>
      </x:c>
      <x:c r="EH208" s="23" t="n">
        <x:v>1606.593994140625</x:v>
      </x:c>
      <x:c r="EI208" s="23" t="n">
        <x:v>733.7434895833333</x:v>
      </x:c>
      <x:c r="EJ208" s="23" t="n">
        <x:v>1580.8104654947915</x:v>
      </x:c>
      <x:c r="EK208" s="23" t="n">
        <x:v>1592.0795084635415</x:v>
      </x:c>
      <x:c r="EL208" s="23" t="n">
        <x:v>747.0718587239583</x:v>
      </x:c>
      <x:c r="EM208" s="23" t="n">
        <x:v>1571.299072265625</x:v>
      </x:c>
      <x:c r="EN208" s="23" t="n">
        <x:v>1570.3905436197915</x:v>
      </x:c>
      <x:c r="EO208" s="23" t="n">
        <x:v>732.1228841145833</x:v>
      </x:c>
      <x:c r="EP208" s="23" t="n">
        <x:f>SUM(B208:EO208)</x:f>
        <x:v>71362.70687477241</x:v>
      </x:c>
      <x:c r="EQ208" s="23" t="n">
        <x:f>SUMPRODUCT(B208:EO208,{0.4979,0.5106,0.5492,0.5034,0.4682,0.484,0.4955,0.4929,0.5021,0.5449,0.5383,0.4674,0.4109,0.4359,0.5159,0.5538,0.5332,0.4682,0.3962,0.4071,0.4866,0.5268,0.5172,0.4926,0.4925,0.4968,0.4773,0.4383,0.4788,0.5407,0.4736,0.4681,0.5039,0.4078,0.5609,0.9007,0.9521,0.9166,0.9185,0.8673,0.8197,0.7945,0.7561,0.7567,0.7444,0.6571,0.872,1.2372,1.1955,1.1107,1.1355,1.0584,0.9982,1.0042,0.9899,0.953,0.9098,0.8847,0.9488,1.0722,1.1357,1.1184,1.0981,1.1304,0.9101,0.5266,0.4113,0.4293,0.4374,0.4268,0.3727,0.3224,0.3629,0.4323,0.4366,0.368,0.5203,0.8329,0.9338,0.9197,0.8883,0.8537,0.9683,1.1612,1.1912,1.1706,1.218,1.2895,1.0552,0.6874,0.7116,0.7956,0.7611,0.7674,0.8245,0.9018,0.966,0.9719,0.9501,0.979,1.0186,1.049,1.0883,1.1055,1.0962,1.1079,1.2322,1.3961,1.4221,1.4095,1.4076,1.3857,1.4698,1.6205,1.6511,1.6095,1.5879,1.634,1.6834,1.6987,1.6906,1.6453,1.6296,1.6866,1.4442,1.0422,1.0206,1.0706,1.0654,1.1418,0.9143,0.5156,0.503,0.541,0.4787,0.5052,0.5163,0.4907,0.522,0.5284,0.5062,0.5386,0.5626,0.5337})</x:f>
        <x:v>52013.29565981908</x:v>
      </x:c>
    </x:row>
    <x:row r="209" ht="14" customHeight="1">
      <x:c r="A209" s="3">
        <x:v>45896</x:v>
      </x:c>
      <x:c r="B209" s="23" t="n">
        <x:v>723.2796223958333</x:v>
      </x:c>
      <x:c r="C209" s="23" t="n">
        <x:v>730.8180338541666</x:v>
      </x:c>
      <x:c r="D209" s="23" t="n">
        <x:v>740.638671875</x:v>
      </x:c>
      <x:c r="E209" s="23" t="n">
        <x:v>734.5523274739583</x:v>
      </x:c>
      <x:c r="F209" s="23" t="n">
        <x:v>740.5337727864583</x:v>
      </x:c>
      <x:c r="G209" s="23" t="n">
        <x:v>737.6592610677083</x:v>
      </x:c>
      <x:c r="H209" s="23" t="n">
        <x:v>711.3882649739583</x:v>
      </x:c>
      <x:c r="I209" s="23" t="n">
        <x:v>707.4788411458333</x:v>
      </x:c>
      <x:c r="J209" s="23" t="n">
        <x:v>712.3296712239583</x:v>
      </x:c>
      <x:c r="K209" s="23" t="n">
        <x:v>697.7819010416666</x:v>
      </x:c>
      <x:c r="L209" s="23" t="n">
        <x:v>684.5040690104166</x:v>
      </x:c>
      <x:c r="M209" s="23" t="n">
        <x:v>680.7124430338541</x:v>
      </x:c>
      <x:c r="N209" s="23" t="n">
        <x:v>687.5726725260416</x:v>
      </x:c>
      <x:c r="O209" s="23" t="n">
        <x:v>685.8151041666666</x:v>
      </x:c>
      <x:c r="P209" s="23" t="n">
        <x:v>693.4398600260416</x:v>
      </x:c>
      <x:c r="Q209" s="23" t="n">
        <x:v>688.3548990885416</x:v>
      </x:c>
      <x:c r="R209" s="23" t="n">
        <x:v>711.5298665364583</x:v>
      </x:c>
      <x:c r="S209" s="23" t="n">
        <x:v>713.3264973958333</x:v>
      </x:c>
      <x:c r="T209" s="23" t="n">
        <x:v>707.8496907552083</x:v>
      </x:c>
      <x:c r="U209" s="23" t="n">
        <x:v>699.29443359375</x:v>
      </x:c>
      <x:c r="V209" s="23" t="n">
        <x:v>676.5589599609375</x:v>
      </x:c>
      <x:c r="W209" s="23" t="n">
        <x:v>1510.9342041015625</x:v>
      </x:c>
      <x:c r="X209" s="23" t="n">
        <x:v>684.0769856770833</x:v>
      </x:c>
      <x:c r="Y209" s="23" t="n">
        <x:v>684.5780436197916</x:v>
      </x:c>
      <x:c r="Z209" s="23" t="n">
        <x:v>1032.5836539682864</x:v>
      </x:c>
      <x:c r="AA209" s="23" t="n">
        <x:v>1499.379150390625</x:v>
      </x:c>
      <x:c r="AB209" s="23" t="n">
        <x:v>672.9326578776041</x:v>
      </x:c>
      <x:c r="AC209" s="23" t="n">
        <x:v>681.2711181640625</x:v>
      </x:c>
      <x:c r="AD209" s="23" t="n">
        <x:v>673.5203450520833</x:v>
      </x:c>
      <x:c r="AE209" s="23" t="n">
        <x:v>653.8863932291666</x:v>
      </x:c>
      <x:c r="AF209" s="23" t="n">
        <x:v>1475.5791607426013</x:v>
      </x:c>
      <x:c r="AG209" s="23" t="n">
        <x:v>1479.6168492130973</x:v>
      </x:c>
      <x:c r="AH209" s="23" t="n">
        <x:v>670.2073088768665</x:v>
      </x:c>
      <x:c r="AI209" s="23" t="n">
        <x:v>1450.9263089011856</x:v>
      </x:c>
      <x:c r="AJ209" s="23" t="n">
        <x:v>626.3899176120922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0</x:v>
      </x:c>
      <x:c r="BQ209" s="23" t="n">
        <x:v>0</x:v>
      </x:c>
      <x:c r="BR209" s="23" t="n">
        <x:v>0</x:v>
      </x:c>
      <x:c r="BS209" s="23" t="n">
        <x:v>0</x:v>
      </x:c>
      <x:c r="BT209" s="23" t="n">
        <x:v>0</x:v>
      </x:c>
      <x:c r="BU209" s="23" t="n">
        <x:v>396.5453975014282</x:v>
      </x:c>
      <x:c r="BV209" s="23" t="n">
        <x:v>406.9397969326522</x:v>
      </x:c>
      <x:c r="BW209" s="23" t="n">
        <x:v>0</x:v>
      </x:c>
      <x:c r="BX209" s="23" t="n">
        <x:v>0</x:v>
      </x:c>
      <x:c r="BY209" s="23" t="n">
        <x:v>464.51614207711157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177.98166971960532</x:v>
      </x:c>
      <x:c r="CN209" s="23" t="n">
        <x:v>501.4885854514114</x:v>
      </x:c>
      <x:c r="CO209" s="23" t="n">
        <x:v>288.6357408457585</x:v>
      </x:c>
      <x:c r="CP209" s="23" t="n">
        <x:v>319.467460116159</x:v>
      </x:c>
      <x:c r="CQ209" s="23" t="n">
        <x:v>369.9300866034506</x:v>
      </x:c>
      <x:c r="CR209" s="23" t="n">
        <x:v>413.8907563728835</x:v>
      </x:c>
      <x:c r="CS209" s="23" t="n">
        <x:v>463.2411568871885</x:v>
      </x:c>
      <x:c r="CT209" s="23" t="n">
        <x:v>539.7812395014533</x:v>
      </x:c>
      <x:c r="CU209" s="23" t="n">
        <x:v>596.6746501633988</x:v>
      </x:c>
      <x:c r="CV209" s="23" t="n">
        <x:v>646.9847952019978</x:v>
      </x:c>
      <x:c r="CW209" s="23" t="n">
        <x:v>701.5194007757406</x:v>
      </x:c>
      <x:c r="CX209" s="23" t="n">
        <x:v>757.4371594427632</x:v>
      </x:c>
      <x:c r="CY209" s="23" t="n">
        <x:v>815.6115430647278</x:v>
      </x:c>
      <x:c r="CZ209" s="23" t="n">
        <x:v>873.7734936802459</x:v>
      </x:c>
      <x:c r="DA209" s="23" t="n">
        <x:v>902.3504154859872</x:v>
      </x:c>
      <x:c r="DB209" s="23" t="n">
        <x:v>939.8389427856993</x:v>
      </x:c>
      <x:c r="DC209" s="23" t="n">
        <x:v>1035.7450114995358</x:v>
      </x:c>
      <x:c r="DD209" s="23" t="n">
        <x:v>986.9725414224149</x:v>
      </x:c>
      <x:c r="DE209" s="23" t="n">
        <x:v>831.9897618211271</x:v>
      </x:c>
      <x:c r="DF209" s="23" t="n">
        <x:v>854.7099294499421</x:v>
      </x:c>
      <x:c r="DG209" s="23" t="n">
        <x:v>912.6410160643557</x:v>
      </x:c>
      <x:c r="DH209" s="23" t="n">
        <x:v>935.6244799547044</x:v>
      </x:c>
      <x:c r="DI209" s="23" t="n">
        <x:v>929.837887810591</x:v>
      </x:c>
      <x:c r="DJ209" s="23" t="n">
        <x:v>932.535288512671</x:v>
      </x:c>
      <x:c r="DK209" s="23" t="n">
        <x:v>125.45825396487544</x:v>
      </x:c>
      <x:c r="DL209" s="23" t="n">
        <x:v>131.79653448819636</x:v>
      </x:c>
      <x:c r="DM209" s="23" t="n">
        <x:v>137.84595154392082</x:v>
      </x:c>
      <x:c r="DN209" s="23" t="n">
        <x:v>145.61044335937504</x:v>
      </x:c>
      <x:c r="DO209" s="23" t="n">
        <x:v>452.1490598337356</x:v>
      </x:c>
      <x:c r="DP209" s="23" t="n">
        <x:v>148.09223389322915</x:v>
      </x:c>
      <x:c r="DQ209" s="23" t="n">
        <x:v>140.0354453125001</x:v>
      </x:c>
      <x:c r="DR209" s="23" t="n">
        <x:v>155.57933781249994</x:v>
      </x:c>
      <x:c r="DS209" s="23" t="n">
        <x:v>125.73042382812505</x:v>
      </x:c>
      <x:c r="DT209" s="23" t="n">
        <x:v>113.1116861979167</x:v>
      </x:c>
      <x:c r="DU209" s="23" t="n">
        <x:v>133.8868595833334</x:v>
      </x:c>
      <x:c r="DV209" s="23" t="n">
        <x:v>952.35400390625</x:v>
      </x:c>
      <x:c r="DW209" s="23" t="n">
        <x:v>949.9545084635416</x:v>
      </x:c>
      <x:c r="DX209" s="23" t="n">
        <x:v>960.0066354166663</x:v>
      </x:c>
      <x:c r="DY209" s="23" t="n">
        <x:v>961.8929036458333</x:v>
      </x:c>
      <x:c r="DZ209" s="23" t="n">
        <x:v>956.894287109375</x:v>
      </x:c>
      <x:c r="EA209" s="23" t="n">
        <x:v>950.6532133072917</x:v>
      </x:c>
      <x:c r="EB209" s="23" t="n">
        <x:v>921.1957652874228</x:v>
      </x:c>
      <x:c r="EC209" s="23" t="n">
        <x:v>765.75390625</x:v>
      </x:c>
      <x:c r="ED209" s="23" t="n">
        <x:v>1588.785888671875</x:v>
      </x:c>
      <x:c r="EE209" s="23" t="n">
        <x:v>748.603759765625</x:v>
      </x:c>
      <x:c r="EF209" s="23" t="n">
        <x:v>1563.8312174479165</x:v>
      </x:c>
      <x:c r="EG209" s="23" t="n">
        <x:v>1571.9749348958333</x:v>
      </x:c>
      <x:c r="EH209" s="23" t="n">
        <x:v>1572.4984537760415</x:v>
      </x:c>
      <x:c r="EI209" s="23" t="n">
        <x:v>747.2657063802083</x:v>
      </x:c>
      <x:c r="EJ209" s="23" t="n">
        <x:v>1038.5153177645957</x:v>
      </x:c>
      <x:c r="EK209" s="23" t="n">
        <x:v>746.7967122395833</x:v>
      </x:c>
      <x:c r="EL209" s="23" t="n">
        <x:v>752.6455891927083</x:v>
      </x:c>
      <x:c r="EM209" s="23" t="n">
        <x:v>1567.9691569010415</x:v>
      </x:c>
      <x:c r="EN209" s="23" t="n">
        <x:v>1565.4593912760415</x:v>
      </x:c>
      <x:c r="EO209" s="23" t="n">
        <x:v>746.67431640625</x:v>
      </x:c>
      <x:c r="EP209" s="23" t="n">
        <x:f>SUM(B209:EO209)</x:f>
        <x:v>70096.98720842521</x:v>
      </x:c>
      <x:c r="EQ209" s="23" t="n">
        <x:f>SUMPRODUCT(B209:EO209,{0.4756,0.4558,0.5001,0.5672,0.5613,0.5088,0.5218,0.5219,0.4884,0.4793,0.4467,0.4267,0.5019,0.5016,0.4366,0.4826,0.5,0.4618,0.4833,0.4822,0.4613,0.5024,0.4665,0.3885,0.4501,0.5084,0.4786,0.4251,0.4365,0.4825,0.4702,0.535,0.6005,0.4852,0.6388,0.9839,0.9599,0.816,0.7888,0.8607,0.8907,0.8203,0.7228,0.7425,0.7662,0.5994,0.7816,1.2198,1.2472,1.1618,1.1508,1.0942,1.0834,1.1027,1.0345,1.003,0.9939,0.8908,0.9528,1.1308,1.0983,1.0304,1.0873,1.1949,0.9487,0.5086,0.4649,0.5567,0.5567,0.5025,0.4699,0.4369,0.3375,0.3386,0.4099,0.3848,0.5547,0.8385,0.8361,0.8169,0.8891,0.9104,1.0585,1.2618,1.2419,1.216,1.2983,1.341,1.0891,0.7095,0.6566,0.7573,0.8361,0.8848,0.9216,0.9317,0.897,0.929,1.0038,0.985,0.9563,0.995,1.0896,1.1303,1.1176,1.1578,1.2429,1.3133,1.3271,1.3885,1.446,1.3652,1.4328,1.6176,1.5976,1.578,1.6531,1.6981,1.6999,1.6869,1.6827,1.6536,1.6482,1.7058,1.4661,1.0672,1.0348,1.0633,1.045,1.1353,0.9227,0.5093,0.458,0.5466,0.5548,0.4959,0.4894,0.5427,0.5538,0.5294,0.5115,0.5332,0.5649,0.557})</x:f>
        <x:v>51654.06097014691</x:v>
      </x:c>
    </x:row>
    <x:row r="210" ht="14" customHeight="1">
      <x:c r="A210" s="3">
        <x:v>45897</x:v>
      </x:c>
      <x:c r="B210" s="23" t="n">
        <x:v>743.6870930989583</x:v>
      </x:c>
      <x:c r="C210" s="23" t="n">
        <x:v>733.9480794270833</x:v>
      </x:c>
      <x:c r="D210" s="23" t="n">
        <x:v>727.8648274739583</x:v>
      </x:c>
      <x:c r="E210" s="23" t="n">
        <x:v>730.4757486979166</x:v>
      </x:c>
      <x:c r="F210" s="23" t="n">
        <x:v>735.9261881510416</x:v>
      </x:c>
      <x:c r="G210" s="23" t="n">
        <x:v>722.10595703125</x:v>
      </x:c>
      <x:c r="H210" s="23" t="n">
        <x:v>717.0900065104166</x:v>
      </x:c>
      <x:c r="I210" s="23" t="n">
        <x:v>699.7797037760416</x:v>
      </x:c>
      <x:c r="J210" s="23" t="n">
        <x:v>1538.9092610677083</x:v>
      </x:c>
      <x:c r="K210" s="23" t="n">
        <x:v>707.33154296875</x:v>
      </x:c>
      <x:c r="L210" s="23" t="n">
        <x:v>699.0525716145833</x:v>
      </x:c>
      <x:c r="M210" s="23" t="n">
        <x:v>1531.5609537760415</x:v>
      </x:c>
      <x:c r="N210" s="23" t="n">
        <x:v>1283.50988057838</x:v>
      </x:c>
      <x:c r="O210" s="23" t="n">
        <x:v>697.3531087239583</x:v>
      </x:c>
      <x:c r="P210" s="23" t="n">
        <x:v>703.8500162760416</x:v>
      </x:c>
      <x:c r="Q210" s="23" t="n">
        <x:v>702.697021484375</x:v>
      </x:c>
      <x:c r="R210" s="23" t="n">
        <x:v>694.4182942708333</x:v>
      </x:c>
      <x:c r="S210" s="23" t="n">
        <x:v>1515.610636393229</x:v>
      </x:c>
      <x:c r="T210" s="23" t="n">
        <x:v>680.4371337890625</x:v>
      </x:c>
      <x:c r="U210" s="23" t="n">
        <x:v>679.4041748046875</x:v>
      </x:c>
      <x:c r="V210" s="23" t="n">
        <x:v>681.5661214192708</x:v>
      </x:c>
      <x:c r="W210" s="23" t="n">
        <x:v>694.7605794270833</x:v>
      </x:c>
      <x:c r="X210" s="23" t="n">
        <x:v>686.1549479166666</x:v>
      </x:c>
      <x:c r="Y210" s="23" t="n">
        <x:v>681.8642578125</x:v>
      </x:c>
      <x:c r="Z210" s="23" t="n">
        <x:v>664.95654296875</x:v>
      </x:c>
      <x:c r="AA210" s="23" t="n">
        <x:v>668.6053873697916</x:v>
      </x:c>
      <x:c r="AB210" s="23" t="n">
        <x:v>666.5111083984375</x:v>
      </x:c>
      <x:c r="AC210" s="23" t="n">
        <x:v>649.4805501302083</x:v>
      </x:c>
      <x:c r="AD210" s="23" t="n">
        <x:v>654.0237630208333</x:v>
      </x:c>
      <x:c r="AE210" s="23" t="n">
        <x:v>681.2851155598958</x:v>
      </x:c>
      <x:c r="AF210" s="23" t="n">
        <x:v>654.7077530281272</x:v>
      </x:c>
      <x:c r="AG210" s="23" t="n">
        <x:v>654.2764962883766</x:v>
      </x:c>
      <x:c r="AH210" s="23" t="n">
        <x:v>657.0496251200591</x:v>
      </x:c>
      <x:c r="AI210" s="23" t="n">
        <x:v>1446.7455861575374</x:v>
      </x:c>
      <x:c r="AJ210" s="23" t="n">
        <x:v>637.4227685728757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535.8071340962197</x:v>
      </x:c>
      <x:c r="BP210" s="23" t="n">
        <x:v>528.6739383281711</x:v>
      </x:c>
      <x:c r="BQ210" s="23" t="n">
        <x:v>0</x:v>
      </x:c>
      <x:c r="BR210" s="23" t="n">
        <x:v>0</x:v>
      </x:c>
      <x:c r="BS210" s="23" t="n">
        <x:v>0</x:v>
      </x:c>
      <x:c r="BT210" s="23" t="n">
        <x:v>453.22784612783016</x:v>
      </x:c>
      <x:c r="BU210" s="23" t="n">
        <x:v>401.85240321271823</x:v>
      </x:c>
      <x:c r="BV210" s="23" t="n">
        <x:v>0</x:v>
      </x:c>
      <x:c r="BW210" s="23" t="n">
        <x:v>0</x:v>
      </x:c>
      <x:c r="BX210" s="23" t="n">
        <x:v>0</x:v>
      </x:c>
      <x:c r="BY210" s="23" t="n">
        <x:v>457.4161976693664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163.80922472055317</x:v>
      </x:c>
      <x:c r="CN210" s="23" t="n">
        <x:v>596.530463225643</x:v>
      </x:c>
      <x:c r="CO210" s="23" t="n">
        <x:v>284.9916109690087</x:v>
      </x:c>
      <x:c r="CP210" s="23" t="n">
        <x:v>330.84962473263295</x:v>
      </x:c>
      <x:c r="CQ210" s="23" t="n">
        <x:v>380.3056367757193</x:v>
      </x:c>
      <x:c r="CR210" s="23" t="n">
        <x:v>438.5725876255813</x:v>
      </x:c>
      <x:c r="CS210" s="23" t="n">
        <x:v>486.9286293915332</x:v>
      </x:c>
      <x:c r="CT210" s="23" t="n">
        <x:v>556.1545634921866</x:v>
      </x:c>
      <x:c r="CU210" s="23" t="n">
        <x:v>605.9125267324746</x:v>
      </x:c>
      <x:c r="CV210" s="23" t="n">
        <x:v>659.0876420763508</x:v>
      </x:c>
      <x:c r="CW210" s="23" t="n">
        <x:v>718.1185904355777</x:v>
      </x:c>
      <x:c r="CX210" s="23" t="n">
        <x:v>772.6491768679075</x:v>
      </x:c>
      <x:c r="CY210" s="23" t="n">
        <x:v>805.1756779922528</x:v>
      </x:c>
      <x:c r="CZ210" s="23" t="n">
        <x:v>851.5113346830194</x:v>
      </x:c>
      <x:c r="DA210" s="23" t="n">
        <x:v>887.0557830468306</x:v>
      </x:c>
      <x:c r="DB210" s="23" t="n">
        <x:v>944.3003263957881</x:v>
      </x:c>
      <x:c r="DC210" s="23" t="n">
        <x:v>1032.3111380806413</x:v>
      </x:c>
      <x:c r="DD210" s="23" t="n">
        <x:v>987.3546641084009</x:v>
      </x:c>
      <x:c r="DE210" s="23" t="n">
        <x:v>825.3992255555238</x:v>
      </x:c>
      <x:c r="DF210" s="23" t="n">
        <x:v>853.1665919532261</x:v>
      </x:c>
      <x:c r="DG210" s="23" t="n">
        <x:v>912.0717805941223</x:v>
      </x:c>
      <x:c r="DH210" s="23" t="n">
        <x:v>946.3709460860855</x:v>
      </x:c>
      <x:c r="DI210" s="23" t="n">
        <x:v>949.0473145508059</x:v>
      </x:c>
      <x:c r="DJ210" s="23" t="n">
        <x:v>948.9999738415072</x:v>
      </x:c>
      <x:c r="DK210" s="23" t="n">
        <x:v>127.310834603784</x:v>
      </x:c>
      <x:c r="DL210" s="23" t="n">
        <x:v>129.42494714656806</x:v>
      </x:c>
      <x:c r="DM210" s="23" t="n">
        <x:v>129.4014421805729</x:v>
      </x:c>
      <x:c r="DN210" s="23" t="n">
        <x:v>152.9952805989583</x:v>
      </x:c>
      <x:c r="DO210" s="23" t="n">
        <x:v>136.58262703125</x:v>
      </x:c>
      <x:c r="DP210" s="23" t="n">
        <x:v>135.52855260416663</x:v>
      </x:c>
      <x:c r="DQ210" s="23" t="n">
        <x:v>131.92301562500006</x:v>
      </x:c>
      <x:c r="DR210" s="23" t="n">
        <x:v>142.92134190104161</x:v>
      </x:c>
      <x:c r="DS210" s="23" t="n">
        <x:v>128.31343164062505</x:v>
      </x:c>
      <x:c r="DT210" s="23" t="n">
        <x:v>456.9548906003256</x:v>
      </x:c>
      <x:c r="DU210" s="23" t="n">
        <x:v>143.29905033854175</x:v>
      </x:c>
      <x:c r="DV210" s="23" t="n">
        <x:v>943.9302126822914</x:v>
      </x:c>
      <x:c r="DW210" s="23" t="n">
        <x:v>958.183649385931</x:v>
      </x:c>
      <x:c r="DX210" s="23" t="n">
        <x:v>957.7589546762474</x:v>
      </x:c>
      <x:c r="DY210" s="23" t="n">
        <x:v>952.1643880208333</x:v>
      </x:c>
      <x:c r="DZ210" s="23" t="n">
        <x:v>942.582275390625</x:v>
      </x:c>
      <x:c r="EA210" s="23" t="n">
        <x:v>945.7395577083335</x:v>
      </x:c>
      <x:c r="EB210" s="23" t="n">
        <x:v>919.1644339072145</x:v>
      </x:c>
      <x:c r="EC210" s="23" t="n">
        <x:v>1054.7881042229294</x:v>
      </x:c>
      <x:c r="ED210" s="23" t="n">
        <x:v>1589.074951171875</x:v>
      </x:c>
      <x:c r="EE210" s="23" t="n">
        <x:v>760.5667317708333</x:v>
      </x:c>
      <x:c r="EF210" s="23" t="n">
        <x:v>1568.1815592447915</x:v>
      </x:c>
      <x:c r="EG210" s="23" t="n">
        <x:v>1575.6864420572915</x:v>
      </x:c>
      <x:c r="EH210" s="23" t="n">
        <x:v>747.5445149739583</x:v>
      </x:c>
      <x:c r="EI210" s="23" t="n">
        <x:v>739.486572265625</x:v>
      </x:c>
      <x:c r="EJ210" s="23" t="n">
        <x:v>741.9012044270833</x:v>
      </x:c>
      <x:c r="EK210" s="23" t="n">
        <x:v>732.4252115885416</x:v>
      </x:c>
      <x:c r="EL210" s="23" t="n">
        <x:v>1569.4842936197915</x:v>
      </x:c>
      <x:c r="EM210" s="23" t="n">
        <x:v>749.65576171875</x:v>
      </x:c>
      <x:c r="EN210" s="23" t="n">
        <x:v>1563.99365234375</x:v>
      </x:c>
      <x:c r="EO210" s="23" t="n">
        <x:v>1500.1019694010415</x:v>
      </x:c>
      <x:c r="EP210" s="23" t="n">
        <x:f>SUM(B210:EO210)</x:f>
        <x:v>70665.145211321</x:v>
      </x:c>
      <x:c r="EQ210" s="23" t="n">
        <x:f>SUMPRODUCT(B210:EO210,{0.4869,0.4559,0.4936,0.5306,0.5144,0.4834,0.5142,0.5041,0.4629,0.497,0.4799,0.4415,0.5358,0.5569,0.4892,0.5192,0.5168,0.4651,0.4906,0.5158,0.5158,0.5436,0.5426,0.488,0.4319,0.485,0.5728,0.5053,0.4256,0.4238,0.4591,0.5138,0.4989,0.3748,0.5846,0.9914,0.9953,0.9317,0.9491,0.853,0.784,0.7872,0.761,0.7461,0.729,0.6837,0.8808,1.1979,1.2066,1.1164,1.0961,1.1012,1.0653,1.0356,1.1061,1.0995,1.0087,1.0179,1.1194,1.2308,1.2685,1.2413,1.2373,1.2981,1.0805,0.7001,0.6409,0.6468,0.5548,0.4702,0.4331,0.4588,0.5342,0.5571,0.4933,0.4338,0.593,0.8366,0.8114,0.7913,0.8782,0.9105,0.9964,1.1193,1.1327,1.1484,1.2382,1.3104,1.0703,0.7005,0.704,0.7747,0.7479,0.7685,0.8204,0.88,0.9422,0.9308,0.8863,0.9307,0.9791,1.0149,1.1018,1.1444,1.1113,1.0887,1.2012,1.3591,1.3525,1.3737,1.4353,1.3751,1.4445,1.6157,1.603,1.6194,1.683,1.5957,1.5779,1.6819,1.7227,1.674,1.6337,1.672,1.4456,1.0785,1.0632,1.0968,1.0703,1.1381,0.9393,0.5768,0.5506,0.5799,0.5161,0.5042,0.527,0.5396,0.5241,0.5011,0.4908,0.4917,0.4556,0.4101})</x:f>
        <x:v>51803.71284680901</x:v>
      </x:c>
    </x:row>
    <x:row r="211" ht="14" customHeight="1">
      <x:c r="A211" s="3">
        <x:v>45898</x:v>
      </x:c>
      <x:c r="B211" s="23" t="n">
        <x:v>572.3384602864583</x:v>
      </x:c>
      <x:c r="C211" s="23" t="n">
        <x:v>582.9747721354166</x:v>
      </x:c>
      <x:c r="D211" s="23" t="n">
        <x:v>604.1551106770833</x:v>
      </x:c>
      <x:c r="E211" s="23" t="n">
        <x:v>587.09619140625</x:v>
      </x:c>
      <x:c r="F211" s="23" t="n">
        <x:v>562.7096354166666</x:v>
      </x:c>
      <x:c r="G211" s="23" t="n">
        <x:v>566.515869140625</x:v>
      </x:c>
      <x:c r="H211" s="23" t="n">
        <x:v>582.750244140625</x:v>
      </x:c>
      <x:c r="I211" s="23" t="n">
        <x:v>583.2027587890625</x:v>
      </x:c>
      <x:c r="J211" s="23" t="n">
        <x:v>0</x:v>
      </x:c>
      <x:c r="K211" s="23" t="n">
        <x:v>0</x:v>
      </x:c>
      <x:c r="L211" s="23" t="n">
        <x:v>0</x:v>
      </x:c>
      <x:c r="M211" s="23" t="n">
        <x:v>556.4326171875</x:v>
      </x:c>
      <x:c r="N211" s="23" t="n">
        <x:v>558.4801432291666</x:v>
      </x:c>
      <x:c r="O211" s="23" t="n">
        <x:v>572.0283610026041</x:v>
      </x:c>
      <x:c r="P211" s="23" t="n">
        <x:v>582.5226643880208</x:v>
      </x:c>
      <x:c r="Q211" s="23" t="n">
        <x:v>559.3789469401041</x:v>
      </x:c>
      <x:c r="R211" s="23" t="n">
        <x:v>0</x:v>
      </x:c>
      <x:c r="S211" s="23" t="n">
        <x:v>0</x:v>
      </x:c>
      <x:c r="T211" s="23" t="n">
        <x:v>558.1366780598958</x:v>
      </x:c>
      <x:c r="U211" s="23" t="n">
        <x:v>545.7820231119791</x:v>
      </x:c>
      <x:c r="V211" s="23" t="n">
        <x:v>532.8443196614583</x:v>
      </x:c>
      <x:c r="W211" s="23" t="n">
        <x:v>525.4852294921875</x:v>
      </x:c>
      <x:c r="X211" s="23" t="n">
        <x:v>530.052001953125</x:v>
      </x:c>
      <x:c r="Y211" s="23" t="n">
        <x:v>391.250454542937</x:v>
      </x:c>
      <x:c r="Z211" s="23" t="n">
        <x:v>564.3565266927083</x:v>
      </x:c>
      <x:c r="AA211" s="23" t="n">
        <x:v>541.300537109375</x:v>
      </x:c>
      <x:c r="AB211" s="23" t="n">
        <x:v>521.1517740885416</x:v>
      </x:c>
      <x:c r="AC211" s="23" t="n">
        <x:v>525.3119303385416</x:v>
      </x:c>
      <x:c r="AD211" s="23" t="n">
        <x:v>529.0189615885416</x:v>
      </x:c>
      <x:c r="AE211" s="23" t="n">
        <x:v>489.75651041666663</x:v>
      </x:c>
      <x:c r="AF211" s="23" t="n">
        <x:v>1306.7334654323388</x:v>
      </x:c>
      <x:c r="AG211" s="23" t="n">
        <x:v>473.6813948866098</x:v>
      </x:c>
      <x:c r="AH211" s="23" t="n">
        <x:v>500.16220009288884</x:v>
      </x:c>
      <x:c r="AI211" s="23" t="n">
        <x:v>1318.3872495216633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0</x:v>
      </x:c>
      <x:c r="CS211" s="23" t="n">
        <x:v>0</x:v>
      </x:c>
      <x:c r="CT211" s="23" t="n">
        <x:v>47.20144617289634</x:v>
      </x:c>
      <x:c r="CU211" s="23" t="n">
        <x:v>143.10070040636597</x:v>
      </x:c>
      <x:c r="CV211" s="23" t="n">
        <x:v>207.7505186861919</x:v>
      </x:c>
      <x:c r="CW211" s="23" t="n">
        <x:v>257.9972393410158</x:v>
      </x:c>
      <x:c r="CX211" s="23" t="n">
        <x:v>257.89472781520413</x:v>
      </x:c>
      <x:c r="CY211" s="23" t="n">
        <x:v>261.06995644619303</x:v>
      </x:c>
      <x:c r="CZ211" s="23" t="n">
        <x:v>301.58009897457947</x:v>
      </x:c>
      <x:c r="DA211" s="23" t="n">
        <x:v>375.7142693418697</x:v>
      </x:c>
      <x:c r="DB211" s="23" t="n">
        <x:v>415.267433725669</x:v>
      </x:c>
      <x:c r="DC211" s="23" t="n">
        <x:v>458.0024786123961</x:v>
      </x:c>
      <x:c r="DD211" s="23" t="n">
        <x:v>515.7689706301427</x:v>
      </x:c>
      <x:c r="DE211" s="23" t="n">
        <x:v>568.3290772230663</x:v>
      </x:c>
      <x:c r="DF211" s="23" t="n">
        <x:v>614.8398362067024</x:v>
      </x:c>
      <x:c r="DG211" s="23" t="n">
        <x:v>640.3440728820897</x:v>
      </x:c>
      <x:c r="DH211" s="23" t="n">
        <x:v>642.8096354342473</x:v>
      </x:c>
      <x:c r="DI211" s="23" t="n">
        <x:v>646.7170003255208</x:v>
      </x:c>
      <x:c r="DJ211" s="23" t="n">
        <x:v>100.66874912061067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0</x:v>
      </x:c>
      <x:c r="DW211" s="23" t="n">
        <x:v>661.3101752025461</x:v>
      </x:c>
      <x:c r="DX211" s="23" t="n">
        <x:v>698.8182779947916</x:v>
      </x:c>
      <x:c r="DY211" s="23" t="n">
        <x:v>704.7310384114583</x:v>
      </x:c>
      <x:c r="DZ211" s="23" t="n">
        <x:v>680.6337483723958</x:v>
      </x:c>
      <x:c r="EA211" s="23" t="n">
        <x:v>689.047211640625</x:v>
      </x:c>
      <x:c r="EB211" s="23" t="n">
        <x:v>658.396732707208</x:v>
      </x:c>
      <x:c r="EC211" s="23" t="n">
        <x:v>1412.530558268229</x:v>
      </x:c>
      <x:c r="ED211" s="23" t="n">
        <x:v>1442.18212890625</x:v>
      </x:c>
      <x:c r="EE211" s="23" t="n">
        <x:v>1451.7430826822915</x:v>
      </x:c>
      <x:c r="EF211" s="23" t="n">
        <x:v>1448.9801839192708</x:v>
      </x:c>
      <x:c r="EG211" s="23" t="n">
        <x:v>1427.384521484375</x:v>
      </x:c>
      <x:c r="EH211" s="23" t="n">
        <x:v>1417.99169921875</x:v>
      </x:c>
      <x:c r="EI211" s="23" t="n">
        <x:v>592.7058919270833</x:v>
      </x:c>
      <x:c r="EJ211" s="23" t="n">
        <x:v>588.5669352213541</x:v>
      </x:c>
      <x:c r="EK211" s="23" t="n">
        <x:v>582.8336995442708</x:v>
      </x:c>
      <x:c r="EL211" s="23" t="n">
        <x:v>587.2481282552083</x:v>
      </x:c>
      <x:c r="EM211" s="23" t="n">
        <x:v>891.6896351755406</x:v>
      </x:c>
      <x:c r="EN211" s="23" t="n">
        <x:v>588.134765625</x:v>
      </x:c>
      <x:c r="EO211" s="23" t="n">
        <x:v>579.6881103515625</x:v>
      </x:c>
      <x:c r="EP211" s="23" t="n">
        <x:f>SUM(B211:EO211)</x:f>
        <x:v>40883.66976798202</x:v>
      </x:c>
      <x:c r="EQ211" s="23" t="n">
        <x:f>SUMPRODUCT(B211:EO211,{0.4278,0.4198,0.3803,0.3947,0.4186,0.4239,0.4307,0.4467,0.4447,0.3979,0.4018,0.4423,0.4112,0.3829,0.3995,0.4222,0.4113,0.3807,0.379,0.3795,0.3618,0.3408,0.3634,0.4225,0.4544,0.4206,0.3849,0.4451,0.4592,0.3889,0.3435,0.3628,0.3768,0.3209,0.4933,0.7705,0.7195,0.6987,0.7908,0.7161,0.6529,0.6794,0.6816,0.6541,0.5898,0.5141,0.6875,0.9665,0.9192,0.8005,0.7749,0.7607,0.7586,0.7644,0.7513,0.7169,0.668,0.6366,0.7338,0.8658,0.814,0.7503,0.7996,0.869,0.6092,0.2093,0.2248,0.2929,0.2374,0.245,0.2669,0.2432,0.1831,0.1616,0.1758,0.1866,0.3692,0.6202,0.6322,0.6011,0.6112,0.5761,0.6733,0.8628,0.8994,0.8619,0.885,0.9774,0.7857,0.4356,0.4311,0.5205,0.5337,0.5567,0.592,0.624,0.6507,0.6995,0.737,0.6996,0.6745,0.6928,0.7091,0.7462,0.7821,0.7915,0.9725,1.2292,1.2451,1.2134,1.2379,1.2413,1.2988,1.396,1.4292,1.4538,1.482,1.4657,1.4509,1.4853,1.5608,1.5469,1.4894,1.5154,1.2761,0.8738,0.805,0.8639,0.8929,0.9073,0.7117,0.4374,0.4428,0.4807,0.4483,0.4803,0.4705,0.414,0.4226,0.4204,0.4126,0.4748,0.4554,0.3776})</x:f>
        <x:v>22606.10015568562</x:v>
      </x:c>
    </x:row>
    <x:row r="212" ht="14" customHeight="1">
      <x:c r="A212" s="3">
        <x:v>45899</x:v>
      </x:c>
      <x:c r="B212" s="23" t="n">
        <x:v>0</x:v>
      </x:c>
      <x:c r="C212" s="23" t="n">
        <x:v>348.4804069595808</x:v>
      </x:c>
      <x:c r="D212" s="23" t="n">
        <x:v>593.1970621744791</x:v>
      </x:c>
      <x:c r="E212" s="23" t="n">
        <x:v>579.3064778645833</x:v>
      </x:c>
      <x:c r="F212" s="23" t="n">
        <x:v>555.1011149088541</x:v>
      </x:c>
      <x:c r="G212" s="23" t="n">
        <x:v>550.748046875</x:v>
      </x:c>
      <x:c r="H212" s="23" t="n">
        <x:v>0</x:v>
      </x:c>
      <x:c r="I212" s="23" t="n">
        <x:v>0</x:v>
      </x:c>
      <x:c r="J212" s="23" t="n">
        <x:v>532.2799886067708</x:v>
      </x:c>
      <x:c r="K212" s="23" t="n">
        <x:v>534.1145833333333</x:v>
      </x:c>
      <x:c r="L212" s="23" t="n">
        <x:v>562.1011149088541</x:v>
      </x:c>
      <x:c r="M212" s="23" t="n">
        <x:v>542.5238037109375</x:v>
      </x:c>
      <x:c r="N212" s="23" t="n">
        <x:v>530.9061279296875</x:v>
      </x:c>
      <x:c r="O212" s="23" t="n">
        <x:v>0</x:v>
      </x:c>
      <x:c r="P212" s="23" t="n">
        <x:v>562.2836507161458</x:v>
      </x:c>
      <x:c r="Q212" s="23" t="n">
        <x:v>547.6036376953125</x:v>
      </x:c>
      <x:c r="R212" s="23" t="n">
        <x:v>519.0469563802083</x:v>
      </x:c>
      <x:c r="S212" s="23" t="n">
        <x:v>520.2404378255208</x:v>
      </x:c>
      <x:c r="T212" s="23" t="n">
        <x:v>568.6658528645833</x:v>
      </x:c>
      <x:c r="U212" s="23" t="n">
        <x:v>546.304443359375</x:v>
      </x:c>
      <x:c r="V212" s="23" t="n">
        <x:v>484.2066650390625</x:v>
      </x:c>
      <x:c r="W212" s="23" t="n">
        <x:v>510.04484049479163</x:v>
      </x:c>
      <x:c r="X212" s="23" t="n">
        <x:v>530.6756591796875</x:v>
      </x:c>
      <x:c r="Y212" s="23" t="n">
        <x:v>514.8300374348958</x:v>
      </x:c>
      <x:c r="Z212" s="23" t="n">
        <x:v>511.4141845703125</x:v>
      </x:c>
      <x:c r="AA212" s="23" t="n">
        <x:v>525.7452392578125</x:v>
      </x:c>
      <x:c r="AB212" s="23" t="n">
        <x:v>521.3293863932291</x:v>
      </x:c>
      <x:c r="AC212" s="23" t="n">
        <x:v>505.36083984375</x:v>
      </x:c>
      <x:c r="AD212" s="23" t="n">
        <x:v>519.12109375</x:v>
      </x:c>
      <x:c r="AE212" s="23" t="n">
        <x:v>533.8099365234375</x:v>
      </x:c>
      <x:c r="AF212" s="23" t="n">
        <x:v>504.95630497415283</x:v>
      </x:c>
      <x:c r="AG212" s="23" t="n">
        <x:v>476.2742919921875</x:v>
      </x:c>
      <x:c r="AH212" s="23" t="n">
        <x:v>480.51859827361073</x:v>
      </x:c>
      <x:c r="AI212" s="23" t="n">
        <x:v>1314.6454762276653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0</x:v>
      </x:c>
      <x:c r="CS212" s="23" t="n">
        <x:v>33.40446873205565</x:v>
      </x:c>
      <x:c r="CT212" s="23" t="n">
        <x:v>75.39038562996514</x:v>
      </x:c>
      <x:c r="CU212" s="23" t="n">
        <x:v>129.2205515412276</x:v>
      </x:c>
      <x:c r="CV212" s="23" t="n">
        <x:v>192.14177564111287</x:v>
      </x:c>
      <x:c r="CW212" s="23" t="n">
        <x:v>264.35347973683946</x:v>
      </x:c>
      <x:c r="CX212" s="23" t="n">
        <x:v>265.54371873786437</x:v>
      </x:c>
      <x:c r="CY212" s="23" t="n">
        <x:v>250.77327690151756</x:v>
      </x:c>
      <x:c r="CZ212" s="23" t="n">
        <x:v>286.40025421181576</x:v>
      </x:c>
      <x:c r="DA212" s="23" t="n">
        <x:v>351.0006639681113</x:v>
      </x:c>
      <x:c r="DB212" s="23" t="n">
        <x:v>420.02942271898814</x:v>
      </x:c>
      <x:c r="DC212" s="23" t="n">
        <x:v>433.7754456708774</x:v>
      </x:c>
      <x:c r="DD212" s="23" t="n">
        <x:v>479.7180598955167</x:v>
      </x:c>
      <x:c r="DE212" s="23" t="n">
        <x:v>535.7535683750685</x:v>
      </x:c>
      <x:c r="DF212" s="23" t="n">
        <x:v>567.9752532967282</x:v>
      </x:c>
      <x:c r="DG212" s="23" t="n">
        <x:v>618.7190641640626</x:v>
      </x:c>
      <x:c r="DH212" s="23" t="n">
        <x:v>645.2517231764513</x:v>
      </x:c>
      <x:c r="DI212" s="23" t="n">
        <x:v>670.6765543619791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127.67545571123438</x:v>
      </x:c>
      <x:c r="DW212" s="23" t="n">
        <x:v>662.0631338212128</x:v>
      </x:c>
      <x:c r="DX212" s="23" t="n">
        <x:v>718.2940926006299</x:v>
      </x:c>
      <x:c r="DY212" s="23" t="n">
        <x:v>675.5843505859375</x:v>
      </x:c>
      <x:c r="DZ212" s="23" t="n">
        <x:v>674.9639485677083</x:v>
      </x:c>
      <x:c r="EA212" s="23" t="n">
        <x:v>688.8639322916666</x:v>
      </x:c>
      <x:c r="EB212" s="23" t="n">
        <x:v>659.4507649739583</x:v>
      </x:c>
      <x:c r="EC212" s="23" t="n">
        <x:v>906.2543192193931</x:v>
      </x:c>
      <x:c r="ED212" s="23" t="n">
        <x:v>1433.060302734375</x:v>
      </x:c>
      <x:c r="EE212" s="23" t="n">
        <x:v>596.3580322265625</x:v>
      </x:c>
      <x:c r="EF212" s="23" t="n">
        <x:v>597.258544921875</x:v>
      </x:c>
      <x:c r="EG212" s="23" t="n">
        <x:v>1425.0053304036458</x:v>
      </x:c>
      <x:c r="EH212" s="23" t="n">
        <x:v>1420.4379475911458</x:v>
      </x:c>
      <x:c r="EI212" s="23" t="n">
        <x:v>598.4986572265625</x:v>
      </x:c>
      <x:c r="EJ212" s="23" t="n">
        <x:v>1414.707763671875</x:v>
      </x:c>
      <x:c r="EK212" s="23" t="n">
        <x:v>1410.5128987630208</x:v>
      </x:c>
      <x:c r="EL212" s="23" t="n">
        <x:v>580.0073649088541</x:v>
      </x:c>
      <x:c r="EM212" s="23" t="n">
        <x:v>1407.3453776041665</x:v>
      </x:c>
      <x:c r="EN212" s="23" t="n">
        <x:v>1460.3929850260415</x:v>
      </x:c>
      <x:c r="EO212" s="23" t="n">
        <x:v>0</x:v>
      </x:c>
      <x:c r="EP212" s="23" t="n">
        <x:f>SUM(B212:EO212)</x:f>
        <x:v>40202.699129677865</x:v>
      </x:c>
      <x:c r="EQ212" s="23" t="n">
        <x:f>SUMPRODUCT(B212:EO212,{0.4195,0.4536,0.4295,0.4303,0.4475,0.4433,0.3973,0.3767,0.4066,0.4464,0.4514,0.4279,0.4179,0.398,0.3827,0.4176,0.4521,0.4444,0.4015,0.3915,0.4042,0.3694,0.3506,0.3597,0.3501,0.3812,0.4315,0.4115,0.3903,0.3955,0.3929,0.4255,0.437,0.351,0.4667,0.7225,0.7356,0.6544,0.626,0.6399,0.6161,0.5804,0.6286,0.6566,0.5902,0.4852,0.5758,0.7758,0.7601,0.6951,0.6802,0.6491,0.6474,0.6746,0.6753,0.6778,0.6615,0.588,0.6222,0.748,0.7772,0.7633,0.789,0.8247,0.5482,0.134,0.115,0.1928,0.1914,0.2213,0.1987,0.156,0.2207,0.2358,0.1591,0.1339,0.2844,0.5132,0.5953,0.6456,0.6734,0.5928,0.6902,0.919,0.9306,0.8779,0.9209,1.0265,0.898,0.596,0.4957,0.5427,0.599,0.5933,0.601,0.6313,0.6235,0.6456,0.6963,0.6983,0.6788,0.672,0.6898,0.7346,0.7717,0.7842,0.9492,1.1939,1.2471,1.233,1.2178,1.1654,1.2615,1.4696,1.5436,1.5162,1.4725,1.4614,1.4673,1.486,1.5187,1.4897,1.4801,1.5978,1.3863,0.9429,0.8568,0.909,0.9432,0.9912,0.7716,0.4118,0.3614,0.4101,0.4106,0.4244,0.4164,0.381,0.3693,0.4263,0.5073,0.519,0.5204,0.5397})</x:f>
        <x:v>22367.733015509653</x:v>
      </x:c>
    </x:row>
    <x:row r="213" ht="14" customHeight="1">
      <x:c r="A213" s="3">
        <x:v>45900</x:v>
      </x:c>
      <x:c r="B213" s="23" t="n">
        <x:v>743.1460774739583</x:v>
      </x:c>
      <x:c r="C213" s="23" t="n">
        <x:v>734.315673828125</x:v>
      </x:c>
      <x:c r="D213" s="23" t="n">
        <x:v>725.0291341145833</x:v>
      </x:c>
      <x:c r="E213" s="23" t="n">
        <x:v>733.8977864583333</x:v>
      </x:c>
      <x:c r="F213" s="23" t="n">
        <x:v>741.08056640625</x:v>
      </x:c>
      <x:c r="G213" s="23" t="n">
        <x:v>737.834716796875</x:v>
      </x:c>
      <x:c r="H213" s="23" t="n">
        <x:v>737.10888671875</x:v>
      </x:c>
      <x:c r="I213" s="23" t="n">
        <x:v>710.8197428385416</x:v>
      </x:c>
      <x:c r="J213" s="23" t="n">
        <x:v>691.6167805989583</x:v>
      </x:c>
      <x:c r="K213" s="23" t="n">
        <x:v>704.1490885416666</x:v>
      </x:c>
      <x:c r="L213" s="23" t="n">
        <x:v>692.2408854166666</x:v>
      </x:c>
      <x:c r="M213" s="23" t="n">
        <x:v>1515.1332194010415</x:v>
      </x:c>
      <x:c r="N213" s="23" t="n">
        <x:v>726.212890625</x:v>
      </x:c>
      <x:c r="O213" s="23" t="n">
        <x:v>734.576416015625</x:v>
      </x:c>
      <x:c r="P213" s="23" t="n">
        <x:v>706.9313151041666</x:v>
      </x:c>
      <x:c r="Q213" s="23" t="n">
        <x:v>699.6909993489583</x:v>
      </x:c>
      <x:c r="R213" s="23" t="n">
        <x:v>679.4409993489583</x:v>
      </x:c>
      <x:c r="S213" s="23" t="n">
        <x:v>671.3349609375</x:v>
      </x:c>
      <x:c r="T213" s="23" t="n">
        <x:v>696.5924479166666</x:v>
      </x:c>
      <x:c r="U213" s="23" t="n">
        <x:v>700.8677571614583</x:v>
      </x:c>
      <x:c r="V213" s="23" t="n">
        <x:v>687.1835123697916</x:v>
      </x:c>
      <x:c r="W213" s="23" t="n">
        <x:v>695.437255859375</x:v>
      </x:c>
      <x:c r="X213" s="23" t="n">
        <x:v>684.1310221354166</x:v>
      </x:c>
      <x:c r="Y213" s="23" t="n">
        <x:v>1022.0187075499135</x:v>
      </x:c>
      <x:c r="Z213" s="23" t="n">
        <x:v>1487.66943359375</x:v>
      </x:c>
      <x:c r="AA213" s="23" t="n">
        <x:v>1481.5863850911458</x:v>
      </x:c>
      <x:c r="AB213" s="23" t="n">
        <x:v>658.3384602864583</x:v>
      </x:c>
      <x:c r="AC213" s="23" t="n">
        <x:v>651.8317057291666</x:v>
      </x:c>
      <x:c r="AD213" s="23" t="n">
        <x:v>646.0394694010416</x:v>
      </x:c>
      <x:c r="AE213" s="23" t="n">
        <x:v>645.8873291015625</x:v>
      </x:c>
      <x:c r="AF213" s="23" t="n">
        <x:v>641.4424099819538</x:v>
      </x:c>
      <x:c r="AG213" s="23" t="n">
        <x:v>663.9769287109375</x:v>
      </x:c>
      <x:c r="AH213" s="23" t="n">
        <x:v>622.7988395935536</x:v>
      </x:c>
      <x:c r="AI213" s="23" t="n">
        <x:v>1438.185009542308</x:v>
      </x:c>
      <x:c r="AJ213" s="23" t="n">
        <x:v>633.06278824031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545.3556298725495</x:v>
      </x:c>
      <x:c r="BP213" s="23" t="n">
        <x:v>571.9667394671935</x:v>
      </x:c>
      <x:c r="BQ213" s="23" t="n">
        <x:v>0</x:v>
      </x:c>
      <x:c r="BR213" s="23" t="n">
        <x:v>0</x:v>
      </x:c>
      <x:c r="BS213" s="23" t="n">
        <x:v>485.9276726215709</x:v>
      </x:c>
      <x:c r="BT213" s="23" t="n">
        <x:v>476.2303608566729</x:v>
      </x:c>
      <x:c r="BU213" s="23" t="n">
        <x:v>0</x:v>
      </x:c>
      <x:c r="BV213" s="23" t="n">
        <x:v>424.5819475984693</x:v>
      </x:c>
      <x:c r="BW213" s="23" t="n">
        <x:v>438.91036289328497</x:v>
      </x:c>
      <x:c r="BX213" s="23" t="n">
        <x:v>0</x:v>
      </x:c>
      <x:c r="BY213" s="23" t="n">
        <x:v>250.53342586388436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548.5211312764561</x:v>
      </x:c>
      <x:c r="CN213" s="23" t="n">
        <x:v>245.8165718476921</x:v>
      </x:c>
      <x:c r="CO213" s="23" t="n">
        <x:v>274.6549154289056</x:v>
      </x:c>
      <x:c r="CP213" s="23" t="n">
        <x:v>297.9616133576328</x:v>
      </x:c>
      <x:c r="CQ213" s="23" t="n">
        <x:v>369.3277835793589</x:v>
      </x:c>
      <x:c r="CR213" s="23" t="n">
        <x:v>422.05917301831533</x:v>
      </x:c>
      <x:c r="CS213" s="23" t="n">
        <x:v>492.5386566996473</x:v>
      </x:c>
      <x:c r="CT213" s="23" t="n">
        <x:v>554.2623945173202</x:v>
      </x:c>
      <x:c r="CU213" s="23" t="n">
        <x:v>602.1625807217688</x:v>
      </x:c>
      <x:c r="CV213" s="23" t="n">
        <x:v>642.6513661646773</x:v>
      </x:c>
      <x:c r="CW213" s="23" t="n">
        <x:v>708.3180571236163</x:v>
      </x:c>
      <x:c r="CX213" s="23" t="n">
        <x:v>753.0156403589508</x:v>
      </x:c>
      <x:c r="CY213" s="23" t="n">
        <x:v>786.3200144026571</x:v>
      </x:c>
      <x:c r="CZ213" s="23" t="n">
        <x:v>885.8301415950759</x:v>
      </x:c>
      <x:c r="DA213" s="23" t="n">
        <x:v>938.2153392940054</x:v>
      </x:c>
      <x:c r="DB213" s="23" t="n">
        <x:v>970.3445067099074</x:v>
      </x:c>
      <x:c r="DC213" s="23" t="n">
        <x:v>1040.6163039371859</x:v>
      </x:c>
      <x:c r="DD213" s="23" t="n">
        <x:v>990.7215137416997</x:v>
      </x:c>
      <x:c r="DE213" s="23" t="n">
        <x:v>816.9373122445322</x:v>
      </x:c>
      <x:c r="DF213" s="23" t="n">
        <x:v>835.0758902717589</x:v>
      </x:c>
      <x:c r="DG213" s="23" t="n">
        <x:v>918.7284961271149</x:v>
      </x:c>
      <x:c r="DH213" s="23" t="n">
        <x:v>942.9693603403208</x:v>
      </x:c>
      <x:c r="DI213" s="23" t="n">
        <x:v>961.4608561197916</x:v>
      </x:c>
      <x:c r="DJ213" s="23" t="n">
        <x:v>927.6223894469249</x:v>
      </x:c>
      <x:c r="DK213" s="23" t="n">
        <x:v>138.9324897800978</x:v>
      </x:c>
      <x:c r="DL213" s="23" t="n">
        <x:v>124.24752299540128</x:v>
      </x:c>
      <x:c r="DM213" s="23" t="n">
        <x:v>133.00767220052072</x:v>
      </x:c>
      <x:c r="DN213" s="23" t="n">
        <x:v>154.26776367187495</x:v>
      </x:c>
      <x:c r="DO213" s="23" t="n">
        <x:v>150.820055859375</x:v>
      </x:c>
      <x:c r="DP213" s="23" t="n">
        <x:v>330.174610987521</x:v>
      </x:c>
      <x:c r="DQ213" s="23" t="n">
        <x:v>166.28043945312493</x:v>
      </x:c>
      <x:c r="DR213" s="23" t="n">
        <x:v>168.46434856770838</x:v>
      </x:c>
      <x:c r="DS213" s="23" t="n">
        <x:v>138.42977096354176</x:v>
      </x:c>
      <x:c r="DT213" s="23" t="n">
        <x:v>120.033935546875</x:v>
      </x:c>
      <x:c r="DU213" s="23" t="n">
        <x:v>140.8876404947917</x:v>
      </x:c>
      <x:c r="DV213" s="23" t="n">
        <x:v>939.2679177734371</x:v>
      </x:c>
      <x:c r="DW213" s="23" t="n">
        <x:v>938.8188711259002</x:v>
      </x:c>
      <x:c r="DX213" s="23" t="n">
        <x:v>958.2611917679397</x:v>
      </x:c>
      <x:c r="DY213" s="23" t="n">
        <x:v>949.040283203125</x:v>
      </x:c>
      <x:c r="DZ213" s="23" t="n">
        <x:v>969.5970865885416</x:v>
      </x:c>
      <x:c r="EA213" s="23" t="n">
        <x:v>985.5713704427083</x:v>
      </x:c>
      <x:c r="EB213" s="23" t="n">
        <x:v>892.3452962239583</x:v>
      </x:c>
      <x:c r="EC213" s="23" t="n">
        <x:v>753.072021484375</x:v>
      </x:c>
      <x:c r="ED213" s="23" t="n">
        <x:v>1567.9986979166665</x:v>
      </x:c>
      <x:c r="EE213" s="23" t="n">
        <x:v>1588.3201497395833</x:v>
      </x:c>
      <x:c r="EF213" s="23" t="n">
        <x:v>1591.6695963541665</x:v>
      </x:c>
      <x:c r="EG213" s="23" t="n">
        <x:v>1568.8722330729165</x:v>
      </x:c>
      <x:c r="EH213" s="23" t="n">
        <x:v>1570.4656575520833</x:v>
      </x:c>
      <x:c r="EI213" s="23" t="n">
        <x:v>740.2350260416666</x:v>
      </x:c>
      <x:c r="EJ213" s="23" t="n">
        <x:v>1052.1241170347867</x:v>
      </x:c>
      <x:c r="EK213" s="23" t="n">
        <x:v>1595.3590494791665</x:v>
      </x:c>
      <x:c r="EL213" s="23" t="n">
        <x:v>742.2857259114583</x:v>
      </x:c>
      <x:c r="EM213" s="23" t="n">
        <x:v>747.0004069010416</x:v>
      </x:c>
      <x:c r="EN213" s="23" t="n">
        <x:v>750.0292154947916</x:v>
      </x:c>
      <x:c r="EO213" s="23" t="n">
        <x:v>745.4244791666666</x:v>
      </x:c>
      <x:c r="EP213" s="23" t="n">
        <x:f>SUM(B213:EO213)</x:f>
        <x:v>71272.55239353354</x:v>
      </x:c>
      <x:c r="EQ213" s="23" t="n">
        <x:f>SUMPRODUCT(B213:EO213,{0.5409,0.5118,0.4892,0.5215,0.5373,0.5048,0.4629,0.449,0.4672,0.4885,0.4817,0.4666,0.4873,0.4839,0.4448,0.4231,0.4326,0.4788,0.545,0.5216,0.4376,0.4362,0.474,0.5014,0.5126,0.5076,0.4956,0.4889,0.4774,0.4557,0.4319,0.4283,0.4229,0.4119,0.6359,0.9696,1.0067,0.9209,0.8766,0.867,0.8381,0.8013,0.8134,0.815,0.7663,0.7176,0.8695,1.1221,1.1568,1.1199,1.0967,1.0301,1.0119,1.0308,0.9821,0.9551,0.95,0.8982,0.9948,1.1656,1.1226,1.0605,1.1092,1.1598,0.9265,0.54,0.445,0.5116,0.5382,0.4579,0.4263,0.4803,0.5102,0.5101,0.4685,0.4046,0.5758,0.8569,0.8518,0.8345,0.8815,0.8163,0.9107,1.1532,1.2219,1.1546,1.1439,1.2889,1.1051,0.7026,0.7007,0.8054,0.8162,0.8399,0.887,0.909,0.8717,0.9119,1.0072,0.9996,0.9949,1.0293,1.0375,1.0889,1.1485,1.1165,1.1827,1.3507,1.424,1.4441,1.4221,1.342,1.4363,1.651,1.6865,1.6506,1.6438,1.6521,1.6566,1.6608,1.6679,1.6021,1.5696,1.7034,1.4694,0.9882,0.9489,1.0369,1.0661,1.1276,0.8953,0.515,0.5032,0.5516,0.5114,0.5386,0.5283,0.478,0.5091,0.5539,0.5549,0.5183,0.4663,0.4286})</x:f>
        <x:v>51789.20924237463</x:v>
      </x:c>
    </x:row>
    <x:row r="214" ht="14" customHeight="1">
      <x:c r="A214" s="3">
        <x:v>45901</x:v>
      </x:c>
      <x:c r="B214" s="23" t="n">
        <x:v>724.6346028645833</x:v>
      </x:c>
      <x:c r="C214" s="23" t="n">
        <x:v>712.1591796875</x:v>
      </x:c>
      <x:c r="D214" s="23" t="n">
        <x:v>706.3194986979166</x:v>
      </x:c>
      <x:c r="E214" s="23" t="n">
        <x:v>699.8030598958333</x:v>
      </x:c>
      <x:c r="F214" s="23" t="n">
        <x:v>715.1813151041666</x:v>
      </x:c>
      <x:c r="G214" s="23" t="n">
        <x:v>714.3558756510416</x:v>
      </x:c>
      <x:c r="H214" s="23" t="n">
        <x:v>710.2857259114583</x:v>
      </x:c>
      <x:c r="I214" s="23" t="n">
        <x:v>703.1336263020833</x:v>
      </x:c>
      <x:c r="J214" s="23" t="n">
        <x:v>694.406494140625</x:v>
      </x:c>
      <x:c r="K214" s="23" t="n">
        <x:v>724.96484375</x:v>
      </x:c>
      <x:c r="L214" s="23" t="n">
        <x:v>706.1612955729166</x:v>
      </x:c>
      <x:c r="M214" s="23" t="n">
        <x:v>681.070556640625</x:v>
      </x:c>
      <x:c r="N214" s="23" t="n">
        <x:v>685.634521484375</x:v>
      </x:c>
      <x:c r="O214" s="23" t="n">
        <x:v>687.8075358072916</x:v>
      </x:c>
      <x:c r="P214" s="23" t="n">
        <x:v>683.036865234375</x:v>
      </x:c>
      <x:c r="Q214" s="23" t="n">
        <x:v>680.7660725911458</x:v>
      </x:c>
      <x:c r="R214" s="23" t="n">
        <x:v>680.8773600260416</x:v>
      </x:c>
      <x:c r="S214" s="23" t="n">
        <x:v>673.3714599609375</x:v>
      </x:c>
      <x:c r="T214" s="23" t="n">
        <x:v>672.5322265625</x:v>
      </x:c>
      <x:c r="U214" s="23" t="n">
        <x:v>667.6608072916666</x:v>
      </x:c>
      <x:c r="V214" s="23" t="n">
        <x:v>658.8977864583333</x:v>
      </x:c>
      <x:c r="W214" s="23" t="n">
        <x:v>638.8670247395833</x:v>
      </x:c>
      <x:c r="X214" s="23" t="n">
        <x:v>657.1813557942708</x:v>
      </x:c>
      <x:c r="Y214" s="23" t="n">
        <x:v>683.1734212239583</x:v>
      </x:c>
      <x:c r="Z214" s="23" t="n">
        <x:v>687.0302734375</x:v>
      </x:c>
      <x:c r="AA214" s="23" t="n">
        <x:v>1520.154052734375</x:v>
      </x:c>
      <x:c r="AB214" s="23" t="n">
        <x:v>669.2967122395833</x:v>
      </x:c>
      <x:c r="AC214" s="23" t="n">
        <x:v>1476.471720377604</x:v>
      </x:c>
      <x:c r="AD214" s="23" t="n">
        <x:v>1485.7989095052083</x:v>
      </x:c>
      <x:c r="AE214" s="23" t="n">
        <x:v>1485.040568033854</x:v>
      </x:c>
      <x:c r="AF214" s="23" t="n">
        <x:v>1149.2170595880093</x:v>
      </x:c>
      <x:c r="AG214" s="23" t="n">
        <x:v>645.0936279296875</x:v>
      </x:c>
      <x:c r="AH214" s="23" t="n">
        <x:v>650.5213527427817</x:v>
      </x:c>
      <x:c r="AI214" s="23" t="n">
        <x:v>1439.0218173852165</x:v>
      </x:c>
      <x:c r="AJ214" s="23" t="n">
        <x:v>0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539.965990959995</x:v>
      </x:c>
      <x:c r="BQ214" s="23" t="n">
        <x:v>539.4687425294571</x:v>
      </x:c>
      <x:c r="BR214" s="23" t="n">
        <x:v>532.0436612127551</x:v>
      </x:c>
      <x:c r="BS214" s="23" t="n">
        <x:v>0</x:v>
      </x:c>
      <x:c r="BT214" s="23" t="n">
        <x:v>0</x:v>
      </x:c>
      <x:c r="BU214" s="23" t="n">
        <x:v>443.95122763530736</x:v>
      </x:c>
      <x:c r="BV214" s="23" t="n">
        <x:v>0</x:v>
      </x:c>
      <x:c r="BW214" s="23" t="n">
        <x:v>0</x:v>
      </x:c>
      <x:c r="BX214" s="23" t="n">
        <x:v>0</x:v>
      </x:c>
      <x:c r="BY214" s="23" t="n">
        <x:v>436.77613175935767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178.05861188571407</x:v>
      </x:c>
      <x:c r="CN214" s="23" t="n">
        <x:v>441.2037461416715</x:v>
      </x:c>
      <x:c r="CO214" s="23" t="n">
        <x:v>271.50787146372323</x:v>
      </x:c>
      <x:c r="CP214" s="23" t="n">
        <x:v>324.4890187053185</x:v>
      </x:c>
      <x:c r="CQ214" s="23" t="n">
        <x:v>380.5639389306175</x:v>
      </x:c>
      <x:c r="CR214" s="23" t="n">
        <x:v>436.6816250862242</x:v>
      </x:c>
      <x:c r="CS214" s="23" t="n">
        <x:v>490.219808247693</x:v>
      </x:c>
      <x:c r="CT214" s="23" t="n">
        <x:v>537.4985259396218</x:v>
      </x:c>
      <x:c r="CU214" s="23" t="n">
        <x:v>594.3953899671128</x:v>
      </x:c>
      <x:c r="CV214" s="23" t="n">
        <x:v>653.5353816315206</x:v>
      </x:c>
      <x:c r="CW214" s="23" t="n">
        <x:v>700.5291400052527</x:v>
      </x:c>
      <x:c r="CX214" s="23" t="n">
        <x:v>750.1000994570674</x:v>
      </x:c>
      <x:c r="CY214" s="23" t="n">
        <x:v>802.9802102825452</x:v>
      </x:c>
      <x:c r="CZ214" s="23" t="n">
        <x:v>850.9438155551112</x:v>
      </x:c>
      <x:c r="DA214" s="23" t="n">
        <x:v>902.0460626571485</x:v>
      </x:c>
      <x:c r="DB214" s="23" t="n">
        <x:v>945.533453977667</x:v>
      </x:c>
      <x:c r="DC214" s="23" t="n">
        <x:v>1028.4838030804615</x:v>
      </x:c>
      <x:c r="DD214" s="23" t="n">
        <x:v>965.0434447156678</x:v>
      </x:c>
      <x:c r="DE214" s="23" t="n">
        <x:v>818.674342126954</x:v>
      </x:c>
      <x:c r="DF214" s="23" t="n">
        <x:v>854.9621929921107</x:v>
      </x:c>
      <x:c r="DG214" s="23" t="n">
        <x:v>917.5099498047548</x:v>
      </x:c>
      <x:c r="DH214" s="23" t="n">
        <x:v>925.5880832473586</x:v>
      </x:c>
      <x:c r="DI214" s="23" t="n">
        <x:v>918.7799479166666</x:v>
      </x:c>
      <x:c r="DJ214" s="23" t="n">
        <x:v>920.4128273627408</x:v>
      </x:c>
      <x:c r="DK214" s="23" t="n">
        <x:v>465.51494025678244</x:v>
      </x:c>
      <x:c r="DL214" s="23" t="n">
        <x:v>125.1468907442974</x:v>
      </x:c>
      <x:c r="DM214" s="23" t="n">
        <x:v>126.0443344025651</x:v>
      </x:c>
      <x:c r="DN214" s="23" t="n">
        <x:v>131.04768880208331</x:v>
      </x:c>
      <x:c r="DO214" s="23" t="n">
        <x:v>123.30722549479165</x:v>
      </x:c>
      <x:c r="DP214" s="23" t="n">
        <x:v>124.60704682291664</x:v>
      </x:c>
      <x:c r="DQ214" s="23" t="n">
        <x:v>117.12960221354174</x:v>
      </x:c>
      <x:c r="DR214" s="23" t="n">
        <x:v>131.15742588541661</x:v>
      </x:c>
      <x:c r="DS214" s="23" t="n">
        <x:v>133.83784570312505</x:v>
      </x:c>
      <x:c r="DT214" s="23" t="n">
        <x:v>116.71757910156248</x:v>
      </x:c>
      <x:c r="DU214" s="23" t="n">
        <x:v>129.2402557682291</x:v>
      </x:c>
      <x:c r="DV214" s="23" t="n">
        <x:v>941.4845840755208</x:v>
      </x:c>
      <x:c r="DW214" s="23" t="n">
        <x:v>932.5911217046038</x:v>
      </x:c>
      <x:c r="DX214" s="23" t="n">
        <x:v>913.2828776041666</x:v>
      </x:c>
      <x:c r="DY214" s="23" t="n">
        <x:v>914.3611653645833</x:v>
      </x:c>
      <x:c r="DZ214" s="23" t="n">
        <x:v>924.570556640625</x:v>
      </x:c>
      <x:c r="EA214" s="23" t="n">
        <x:v>933.9646491406248</x:v>
      </x:c>
      <x:c r="EB214" s="23" t="n">
        <x:v>900.0541810860339</x:v>
      </x:c>
      <x:c r="EC214" s="23" t="n">
        <x:v>1599.602294921875</x:v>
      </x:c>
      <x:c r="ED214" s="23" t="n">
        <x:v>1557.0836588541665</x:v>
      </x:c>
      <x:c r="EE214" s="23" t="n">
        <x:v>717.9097493489583</x:v>
      </x:c>
      <x:c r="EF214" s="23" t="n">
        <x:v>1560.8444010416665</x:v>
      </x:c>
      <x:c r="EG214" s="23" t="n">
        <x:v>1577.4837239583333</x:v>
      </x:c>
      <x:c r="EH214" s="23" t="n">
        <x:v>1573.4901529947915</x:v>
      </x:c>
      <x:c r="EI214" s="23" t="n">
        <x:v>762.413330078125</x:v>
      </x:c>
      <x:c r="EJ214" s="23" t="n">
        <x:v>755.4964192708333</x:v>
      </x:c>
      <x:c r="EK214" s="23" t="n">
        <x:v>745.3207194010416</x:v>
      </x:c>
      <x:c r="EL214" s="23" t="n">
        <x:v>1563.8971354166665</x:v>
      </x:c>
      <x:c r="EM214" s="23" t="n">
        <x:v>1025.6518825954856</x:v>
      </x:c>
      <x:c r="EN214" s="23" t="n">
        <x:v>720.04638671875</x:v>
      </x:c>
      <x:c r="EO214" s="23" t="n">
        <x:v>718.8075358072916</x:v>
      </x:c>
      <x:c r="EP214" s="23" t="n">
        <x:f>SUM(B214:EO214)</x:f>
        <x:v>69933.9830118641</x:v>
      </x:c>
      <x:c r="EQ214" s="23" t="n">
        <x:f>SUMPRODUCT(B214:EO214,{0.4298,0.4584,0.4849,0.4795,0.4458,0.4251,0.4557,0.4519,0.4113,0.4164,0.4363,0.4564,0.4895,0.479,0.4488,0.4764,0.4672,0.4157,0.4127,0.4051,0.3967,0.4475,0.4732,0.4376,0.3971,0.4298,0.492,0.4623,0.4113,0.4004,0.4238,0.4404,0.4089,0.3616,0.5758,0.9181,0.9524,0.9029,0.9055,0.8678,0.8199,0.7865,0.757,0.7348,0.6812,0.5948,0.7854,1.1258,1.1479,1.0671,1.0506,1.0418,0.994,0.9383,0.9427,0.933,0.9079,0.9379,0.95,0.9189,0.8954,0.8933,0.9055,0.8903,0.7226,0.5024,0.477,0.5044,0.4902,0.4766,0.4646,0.4421,0.4106,0.4243,0.4467,0.4113,0.5353,0.7803,0.865,0.8465,0.8232,0.8245,0.8004,0.785,0.8546,0.8532,0.8234,0.9364,0.8625,0.6294,0.6147,0.6654,0.6924,0.7691,0.8144,0.7914,0.7562,0.7926,0.8774,0.9089,0.9228,0.951,0.9856,1.0153,1.0256,1.0247,1.1139,1.2654,1.3332,1.3115,1.2683,1.2818,1.3238,1.3576,1.366,1.3358,1.2925,1.285,1.2999,1.2985,1.2608,1.273,1.344,1.367,1.2026,0.9629,0.9195,0.9561,0.9847,0.9911,0.7584,0.4429,0.4515,0.5051,0.4549,0.4258,0.413,0.4215,0.474,0.4878,0.4553,0.4423,0.4048,0.3663})</x:f>
        <x:v>45538.39472782374</x:v>
      </x:c>
    </x:row>
    <x:row r="215" ht="14" customHeight="1">
      <x:c r="A215" s="3">
        <x:v>45902</x:v>
      </x:c>
      <x:c r="B215" s="23" t="n">
        <x:v>706.9551595052083</x:v>
      </x:c>
      <x:c r="C215" s="23" t="n">
        <x:v>692.72265625</x:v>
      </x:c>
      <x:c r="D215" s="23" t="n">
        <x:v>684.3865559895833</x:v>
      </x:c>
      <x:c r="E215" s="23" t="n">
        <x:v>681.1149495442708</x:v>
      </x:c>
      <x:c r="F215" s="23" t="n">
        <x:v>689.083984375</x:v>
      </x:c>
      <x:c r="G215" s="23" t="n">
        <x:v>687.7451171875</x:v>
      </x:c>
      <x:c r="H215" s="23" t="n">
        <x:v>689.123291015625</x:v>
      </x:c>
      <x:c r="I215" s="23" t="n">
        <x:v>687.1349283854166</x:v>
      </x:c>
      <x:c r="J215" s="23" t="n">
        <x:v>659.3260904947916</x:v>
      </x:c>
      <x:c r="K215" s="23" t="n">
        <x:v>657.6124267578125</x:v>
      </x:c>
      <x:c r="L215" s="23" t="n">
        <x:v>653.9963785807291</x:v>
      </x:c>
      <x:c r="M215" s="23" t="n">
        <x:v>650.2204996744791</x:v>
      </x:c>
      <x:c r="N215" s="23" t="n">
        <x:v>1475.558349609375</x:v>
      </x:c>
      <x:c r="O215" s="23" t="n">
        <x:v>661.2256673177083</x:v>
      </x:c>
      <x:c r="P215" s="23" t="n">
        <x:v>675.7412516276041</x:v>
      </x:c>
      <x:c r="Q215" s="23" t="n">
        <x:v>0</x:v>
      </x:c>
      <x:c r="R215" s="23" t="n">
        <x:v>680.5389404296875</x:v>
      </x:c>
      <x:c r="S215" s="23" t="n">
        <x:v>664.571044921875</x:v>
      </x:c>
      <x:c r="T215" s="23" t="n">
        <x:v>651.3571370442708</x:v>
      </x:c>
      <x:c r="U215" s="23" t="n">
        <x:v>653.3997395833333</x:v>
      </x:c>
      <x:c r="V215" s="23" t="n">
        <x:v>672.7976888020833</x:v>
      </x:c>
      <x:c r="W215" s="23" t="n">
        <x:v>679.82421875</x:v>
      </x:c>
      <x:c r="X215" s="23" t="n">
        <x:v>665.8689778645833</x:v>
      </x:c>
      <x:c r="Y215" s="23" t="n">
        <x:v>648.7585856119791</x:v>
      </x:c>
      <x:c r="Z215" s="23" t="n">
        <x:v>648.9591064453125</x:v>
      </x:c>
      <x:c r="AA215" s="23" t="n">
        <x:v>1475.3913669734247</x:v>
      </x:c>
      <x:c r="AB215" s="23" t="n">
        <x:v>668.6889241536458</x:v>
      </x:c>
      <x:c r="AC215" s="23" t="n">
        <x:v>652.8144124348958</x:v>
      </x:c>
      <x:c r="AD215" s="23" t="n">
        <x:v>627.1796061197916</x:v>
      </x:c>
      <x:c r="AE215" s="23" t="n">
        <x:v>624.945068359375</x:v>
      </x:c>
      <x:c r="AF215" s="23" t="n">
        <x:v>616.4521547983562</x:v>
      </x:c>
      <x:c r="AG215" s="23" t="n">
        <x:v>643.7642822265625</x:v>
      </x:c>
      <x:c r="AH215" s="23" t="n">
        <x:v>641.3351711448538</x:v>
      </x:c>
      <x:c r="AI215" s="23" t="n">
        <x:v>598.0651824706454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533.3950282507927</x:v>
      </x:c>
      <x:c r="BQ215" s="23" t="n">
        <x:v>0</x:v>
      </x:c>
      <x:c r="BR215" s="23" t="n">
        <x:v>0</x:v>
      </x:c>
      <x:c r="BS215" s="23" t="n">
        <x:v>0</x:v>
      </x:c>
      <x:c r="BT215" s="23" t="n">
        <x:v>485.00186693329243</x:v>
      </x:c>
      <x:c r="BU215" s="23" t="n">
        <x:v>467.14312809761424</x:v>
      </x:c>
      <x:c r="BV215" s="23" t="n">
        <x:v>0</x:v>
      </x:c>
      <x:c r="BW215" s="23" t="n">
        <x:v>0</x:v>
      </x:c>
      <x:c r="BX215" s="23" t="n">
        <x:v>0</x:v>
      </x:c>
      <x:c r="BY215" s="23" t="n">
        <x:v>423.35125185413926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105.04729644818508</x:v>
      </x:c>
      <x:c r="CN215" s="23" t="n">
        <x:v>222.19620486025806</x:v>
      </x:c>
      <x:c r="CO215" s="23" t="n">
        <x:v>200.07802866666572</x:v>
      </x:c>
      <x:c r="CP215" s="23" t="n">
        <x:v>242.6284507194414</x:v>
      </x:c>
      <x:c r="CQ215" s="23" t="n">
        <x:v>294.9514159948176</x:v>
      </x:c>
      <x:c r="CR215" s="23" t="n">
        <x:v>346.32614180256644</x:v>
      </x:c>
      <x:c r="CS215" s="23" t="n">
        <x:v>390.87196955672454</x:v>
      </x:c>
      <x:c r="CT215" s="23" t="n">
        <x:v>447.81489002219985</x:v>
      </x:c>
      <x:c r="CU215" s="23" t="n">
        <x:v>511.3128631539483</x:v>
      </x:c>
      <x:c r="CV215" s="23" t="n">
        <x:v>580.9314703487104</x:v>
      </x:c>
      <x:c r="CW215" s="23" t="n">
        <x:v>633.4102432600216</x:v>
      </x:c>
      <x:c r="CX215" s="23" t="n">
        <x:v>682.7905455816914</x:v>
      </x:c>
      <x:c r="CY215" s="23" t="n">
        <x:v>736.684390340554</x:v>
      </x:c>
      <x:c r="CZ215" s="23" t="n">
        <x:v>793.748953834177</x:v>
      </x:c>
      <x:c r="DA215" s="23" t="n">
        <x:v>833.1720278767671</x:v>
      </x:c>
      <x:c r="DB215" s="23" t="n">
        <x:v>888.2589591514895</x:v>
      </x:c>
      <x:c r="DC215" s="23" t="n">
        <x:v>968.3523816309113</x:v>
      </x:c>
      <x:c r="DD215" s="23" t="n">
        <x:v>913.0006843312914</x:v>
      </x:c>
      <x:c r="DE215" s="23" t="n">
        <x:v>805.29687878798</x:v>
      </x:c>
      <x:c r="DF215" s="23" t="n">
        <x:v>838.7929368508658</x:v>
      </x:c>
      <x:c r="DG215" s="23" t="n">
        <x:v>882.405297268645</x:v>
      </x:c>
      <x:c r="DH215" s="23" t="n">
        <x:v>885.8808000656918</x:v>
      </x:c>
      <x:c r="DI215" s="23" t="n">
        <x:v>891.97509765625</x:v>
      </x:c>
      <x:c r="DJ215" s="23" t="n">
        <x:v>884.9208482858496</x:v>
      </x:c>
      <x:c r="DK215" s="23" t="n">
        <x:v>451.22628350718253</x:v>
      </x:c>
      <x:c r="DL215" s="23" t="n">
        <x:v>96.68117989125297</x:v>
      </x:c>
      <x:c r="DM215" s="23" t="n">
        <x:v>81.83214260416662</x:v>
      </x:c>
      <x:c r="DN215" s="23" t="n">
        <x:v>96.70987955729166</x:v>
      </x:c>
      <x:c r="DO215" s="23" t="n">
        <x:v>88.21485895833332</x:v>
      </x:c>
      <x:c r="DP215" s="23" t="n">
        <x:v>92.8644635677083</x:v>
      </x:c>
      <x:c r="DQ215" s="23" t="n">
        <x:v>96.09887825520839</x:v>
      </x:c>
      <x:c r="DR215" s="23" t="n">
        <x:v>102.95435955729165</x:v>
      </x:c>
      <x:c r="DS215" s="23" t="n">
        <x:v>83.3567259114584</x:v>
      </x:c>
      <x:c r="DT215" s="23" t="n">
        <x:v>64.2451474609376</x:v>
      </x:c>
      <x:c r="DU215" s="23" t="n">
        <x:v>95.24741722656245</x:v>
      </x:c>
      <x:c r="DV215" s="23" t="n">
        <x:v>908.6671198828126</x:v>
      </x:c>
      <x:c r="DW215" s="23" t="n">
        <x:v>903.6132571212704</x:v>
      </x:c>
      <x:c r="DX215" s="23" t="n">
        <x:v>896.5736490885416</x:v>
      </x:c>
      <x:c r="DY215" s="23" t="n">
        <x:v>905.8826497395833</x:v>
      </x:c>
      <x:c r="DZ215" s="23" t="n">
        <x:v>908.6695149739583</x:v>
      </x:c>
      <x:c r="EA215" s="23" t="n">
        <x:v>925.0717308072917</x:v>
      </x:c>
      <x:c r="EB215" s="23" t="n">
        <x:v>876.326171875</x:v>
      </x:c>
      <x:c r="EC215" s="23" t="n">
        <x:v>715.4192708333333</x:v>
      </x:c>
      <x:c r="ED215" s="23" t="n">
        <x:v>1033.9196124292694</x:v>
      </x:c>
      <x:c r="EE215" s="23" t="n">
        <x:v>719.10400390625</x:v>
      </x:c>
      <x:c r="EF215" s="23" t="n">
        <x:v>1505.6132405598958</x:v>
      </x:c>
      <x:c r="EG215" s="23" t="n">
        <x:v>1538.7145182291665</x:v>
      </x:c>
      <x:c r="EH215" s="23" t="n">
        <x:v>1556.2613932291665</x:v>
      </x:c>
      <x:c r="EI215" s="23" t="n">
        <x:v>1525.2137044270833</x:v>
      </x:c>
      <x:c r="EJ215" s="23" t="n">
        <x:v>1507.9809163411458</x:v>
      </x:c>
      <x:c r="EK215" s="23" t="n">
        <x:v>698.080810546875</x:v>
      </x:c>
      <x:c r="EL215" s="23" t="n">
        <x:v>1546.2403971354165</x:v>
      </x:c>
      <x:c r="EM215" s="23" t="n">
        <x:v>694.475341796875</x:v>
      </x:c>
      <x:c r="EN215" s="23" t="n">
        <x:v>679.885986328125</x:v>
      </x:c>
      <x:c r="EO215" s="23" t="n">
        <x:v>683.2020670572916</x:v>
      </x:c>
      <x:c r="EP215" s="23" t="n">
        <x:f>SUM(B215:EO215)</x:f>
        <x:v>62434.74565888708</x:v>
      </x:c>
      <x:c r="EQ215" s="23" t="n">
        <x:f>SUMPRODUCT(B215:EO215,{0.4078,0.455,0.4641,0.46,0.4578,0.4481,0.4193,0.434,0.4854,0.5019,0.4988,0.4831,0.4428,0.4183,0.4215,0.4287,0.438,0.4454,0.4396,0.4151,0.4013,0.4347,0.4518,0.44,0.4433,0.4306,0.4147,0.4418,0.4421,0.4242,0.4656,0.4892,0.4387,0.3771,0.5795,0.9216,0.9731,0.8816,0.8391,0.887,0.8916,0.8158,0.754,0.7656,0.7562,0.6265,0.8037,1.1748,1.1743,1.1032,1.1268,1.1018,1.0865,1.0743,0.9859,0.9215,0.9291,0.9562,0.9448,0.8988,0.8703,0.8581,0.8621,0.8633,0.7153,0.4832,0.3995,0.3959,0.4009,0.4095,0.3906,0.3523,0.3413,0.3703,0.3759,0.3185,0.4999,0.8032,0.7882,0.7281,0.7786,0.8218,0.8504,0.8867,0.9387,0.9615,0.942,0.8975,0.7961,0.7064,0.7399,0.7352,0.6822,0.7303,0.7887,0.7883,0.7567,0.7686,0.8152,0.8305,0.8876,0.9841,1.0311,1.039,1.0184,0.9897,1.1062,1.299,1.3286,1.2921,1.2872,1.314,1.3272,1.3354,1.3791,1.3776,1.3352,1.3383,1.3398,1.3352,1.3604,1.3125,1.2525,1.3244,1.2256,0.9976,0.9925,0.9847,0.9279,0.9748,0.7848,0.4374,0.3938,0.4638,0.4683,0.4208,0.3842,0.3911,0.4274,0.4575,0.4698,0.4698,0.4223,0.4115})</x:f>
        <x:v>41070.36553366676</x:v>
      </x:c>
    </x:row>
    <x:row r="216" ht="14" customHeight="1">
      <x:c r="A216" s="3">
        <x:v>45903</x:v>
      </x:c>
      <x:c r="B216" s="23" t="n">
        <x:v>690.3417154947916</x:v>
      </x:c>
      <x:c r="C216" s="23" t="n">
        <x:v>690.3433430989583</x:v>
      </x:c>
      <x:c r="D216" s="23" t="n">
        <x:v>705.7398274739583</x:v>
      </x:c>
      <x:c r="E216" s="23" t="n">
        <x:v>700.2646484375</x:v>
      </x:c>
      <x:c r="F216" s="23" t="n">
        <x:v>673.3079427083333</x:v>
      </x:c>
      <x:c r="G216" s="23" t="n">
        <x:v>653.5996907552083</x:v>
      </x:c>
      <x:c r="H216" s="23" t="n">
        <x:v>675.108154296875</x:v>
      </x:c>
      <x:c r="I216" s="23" t="n">
        <x:v>681.3593343098958</x:v>
      </x:c>
      <x:c r="J216" s="23" t="n">
        <x:v>673.1383870442708</x:v>
      </x:c>
      <x:c r="K216" s="23" t="n">
        <x:v>674.4502360026041</x:v>
      </x:c>
      <x:c r="L216" s="23" t="n">
        <x:v>654.3664957682291</x:v>
      </x:c>
      <x:c r="M216" s="23" t="n">
        <x:v>1470.1327311197915</x:v>
      </x:c>
      <x:c r="N216" s="23" t="n">
        <x:v>664.1050211588541</x:v>
      </x:c>
      <x:c r="O216" s="23" t="n">
        <x:v>678.6846923828125</x:v>
      </x:c>
      <x:c r="P216" s="23" t="n">
        <x:v>1496.8578694661458</x:v>
      </x:c>
      <x:c r="Q216" s="23" t="n">
        <x:v>647.46533203125</x:v>
      </x:c>
      <x:c r="R216" s="23" t="n">
        <x:v>648.2404378255208</x:v>
      </x:c>
      <x:c r="S216" s="23" t="n">
        <x:v>655.0168863932291</x:v>
      </x:c>
      <x:c r="T216" s="23" t="n">
        <x:v>648.0094401041666</x:v>
      </x:c>
      <x:c r="U216" s="23" t="n">
        <x:v>647.5570475260416</x:v>
      </x:c>
      <x:c r="V216" s="23" t="n">
        <x:v>650.2535807291666</x:v>
      </x:c>
      <x:c r="W216" s="23" t="n">
        <x:v>653.348388671875</x:v>
      </x:c>
      <x:c r="X216" s="23" t="n">
        <x:v>646.5302327473958</x:v>
      </x:c>
      <x:c r="Y216" s="23" t="n">
        <x:v>643.6332194010416</x:v>
      </x:c>
      <x:c r="Z216" s="23" t="n">
        <x:v>645.6246744791666</x:v>
      </x:c>
      <x:c r="AA216" s="23" t="n">
        <x:v>635.9961751302083</x:v>
      </x:c>
      <x:c r="AB216" s="23" t="n">
        <x:v>636.13427734375</x:v>
      </x:c>
      <x:c r="AC216" s="23" t="n">
        <x:v>648.1323649088541</x:v>
      </x:c>
      <x:c r="AD216" s="23" t="n">
        <x:v>627.406982421875</x:v>
      </x:c>
      <x:c r="AE216" s="23" t="n">
        <x:v>608.0772298177083</x:v>
      </x:c>
      <x:c r="AF216" s="23" t="n">
        <x:v>610.162201317654</x:v>
      </x:c>
      <x:c r="AG216" s="23" t="n">
        <x:v>646.5702522841962</x:v>
      </x:c>
      <x:c r="AH216" s="23" t="n">
        <x:v>670.1500244140625</x:v>
      </x:c>
      <x:c r="AI216" s="23" t="n">
        <x:v>612.3857106789709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0</x:v>
      </x:c>
      <x:c r="BU216" s="23" t="n">
        <x:v>0</x:v>
      </x:c>
      <x:c r="BV216" s="23" t="n">
        <x:v>406.9920321427453</x:v>
      </x:c>
      <x:c r="BW216" s="23" t="n">
        <x:v>343.573324623814</x:v>
      </x:c>
      <x:c r="BX216" s="23" t="n">
        <x:v>394.29129975890555</x:v>
      </x:c>
      <x:c r="BY216" s="23" t="n">
        <x:v>398.706854875924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98.3092552454547</x:v>
      </x:c>
      <x:c r="CN216" s="23" t="n">
        <x:v>189.00831736834687</x:v>
      </x:c>
      <x:c r="CO216" s="23" t="n">
        <x:v>197.46460490570462</x:v>
      </x:c>
      <x:c r="CP216" s="23" t="n">
        <x:v>237.1155136523151</x:v>
      </x:c>
      <x:c r="CQ216" s="23" t="n">
        <x:v>284.6969865289475</x:v>
      </x:c>
      <x:c r="CR216" s="23" t="n">
        <x:v>336.18539988583416</x:v>
      </x:c>
      <x:c r="CS216" s="23" t="n">
        <x:v>382.04578932957</x:v>
      </x:c>
      <x:c r="CT216" s="23" t="n">
        <x:v>409.2136183108578</x:v>
      </x:c>
      <x:c r="CU216" s="23" t="n">
        <x:v>469.6941086957186</x:v>
      </x:c>
      <x:c r="CV216" s="23" t="n">
        <x:v>563.7947060616837</x:v>
      </x:c>
      <x:c r="CW216" s="23" t="n">
        <x:v>592.7827721037356</x:v>
      </x:c>
      <x:c r="CX216" s="23" t="n">
        <x:v>639.4090130938536</x:v>
      </x:c>
      <x:c r="CY216" s="23" t="n">
        <x:v>714.0689071064476</x:v>
      </x:c>
      <x:c r="CZ216" s="23" t="n">
        <x:v>778.7324512505274</x:v>
      </x:c>
      <x:c r="DA216" s="23" t="n">
        <x:v>832.5263266616463</x:v>
      </x:c>
      <x:c r="DB216" s="23" t="n">
        <x:v>887.2744655933672</x:v>
      </x:c>
      <x:c r="DC216" s="23" t="n">
        <x:v>953.1686081755148</x:v>
      </x:c>
      <x:c r="DD216" s="23" t="n">
        <x:v>916.5676867883769</x:v>
      </x:c>
      <x:c r="DE216" s="23" t="n">
        <x:v>805.7910544794892</x:v>
      </x:c>
      <x:c r="DF216" s="23" t="n">
        <x:v>822.6554613360081</x:v>
      </x:c>
      <x:c r="DG216" s="23" t="n">
        <x:v>862.2950025743787</x:v>
      </x:c>
      <x:c r="DH216" s="23" t="n">
        <x:v>888.3526204427083</x:v>
      </x:c>
      <x:c r="DI216" s="23" t="n">
        <x:v>888.523338241569</x:v>
      </x:c>
      <x:c r="DJ216" s="23" t="n">
        <x:v>886.8549131179027</x:v>
      </x:c>
      <x:c r="DK216" s="23" t="n">
        <x:v>451.18063799937045</x:v>
      </x:c>
      <x:c r="DL216" s="23" t="n">
        <x:v>88.59817207875297</x:v>
      </x:c>
      <x:c r="DM216" s="23" t="n">
        <x:v>69.81366929687495</x:v>
      </x:c>
      <x:c r="DN216" s="23" t="n">
        <x:v>85.341064453125</x:v>
      </x:c>
      <x:c r="DO216" s="23" t="n">
        <x:v>74.386652578125</x:v>
      </x:c>
      <x:c r="DP216" s="23" t="n">
        <x:v>72.00354234374996</x:v>
      </x:c>
      <x:c r="DQ216" s="23" t="n">
        <x:v>75.01131315104172</x:v>
      </x:c>
      <x:c r="DR216" s="23" t="n">
        <x:v>83.26930096354165</x:v>
      </x:c>
      <x:c r="DS216" s="23" t="n">
        <x:v>66.9148313802084</x:v>
      </x:c>
      <x:c r="DT216" s="23" t="n">
        <x:v>51.7304088541667</x:v>
      </x:c>
      <x:c r="DU216" s="23" t="n">
        <x:v>79.29258324218745</x:v>
      </x:c>
      <x:c r="DV216" s="23" t="n">
        <x:v>894.7436986588542</x:v>
      </x:c>
      <x:c r="DW216" s="23" t="n">
        <x:v>890.1255455327288</x:v>
      </x:c>
      <x:c r="DX216" s="23" t="n">
        <x:v>885.8986002604166</x:v>
      </x:c>
      <x:c r="DY216" s="23" t="n">
        <x:v>880.2067057291666</x:v>
      </x:c>
      <x:c r="DZ216" s="23" t="n">
        <x:v>880.951416015625</x:v>
      </x:c>
      <x:c r="EA216" s="23" t="n">
        <x:v>888.0569627083333</x:v>
      </x:c>
      <x:c r="EB216" s="23" t="n">
        <x:v>866.9127080118312</x:v>
      </x:c>
      <x:c r="EC216" s="23" t="n">
        <x:v>1552.0714518229165</x:v>
      </x:c>
      <x:c r="ED216" s="23" t="n">
        <x:v>1548.694091796875</x:v>
      </x:c>
      <x:c r="EE216" s="23" t="n">
        <x:v>1567.5013834635415</x:v>
      </x:c>
      <x:c r="EF216" s="23" t="n">
        <x:v>1534.3324381510415</x:v>
      </x:c>
      <x:c r="EG216" s="23" t="n">
        <x:v>1529.79052734375</x:v>
      </x:c>
      <x:c r="EH216" s="23" t="n">
        <x:v>1529.2591959635415</x:v>
      </x:c>
      <x:c r="EI216" s="23" t="n">
        <x:v>702.7662760416666</x:v>
      </x:c>
      <x:c r="EJ216" s="23" t="n">
        <x:v>708.477783203125</x:v>
      </x:c>
      <x:c r="EK216" s="23" t="n">
        <x:v>1023.5739115145964</x:v>
      </x:c>
      <x:c r="EL216" s="23" t="n">
        <x:v>707.5404459635416</x:v>
      </x:c>
      <x:c r="EM216" s="23" t="n">
        <x:v>691.561279296875</x:v>
      </x:c>
      <x:c r="EN216" s="23" t="n">
        <x:v>699.7588704427083</x:v>
      </x:c>
      <x:c r="EO216" s="23" t="n">
        <x:v>712.365478515625</x:v>
      </x:c>
      <x:c r="EP216" s="23" t="n">
        <x:f>SUM(B216:EO216)</x:f>
        <x:v>62034.719926873586</x:v>
      </x:c>
      <x:c r="EQ216" s="23" t="n">
        <x:f>SUMPRODUCT(B216:EO216,{0.5529,0.5825,0.4591,0.4057,0.4239,0.453,0.4471,0.4288,0.412,0.3913,0.3851,0.4058,0.4419,0.4415,0.4099,0.4067,0.4382,0.4768,0.4811,0.4365,0.3948,0.4242,0.426,0.3939,0.4199,0.4549,0.4599,0.4507,0.4689,0.4831,0.4313,0.4406,0.4649,0.3744,0.5597,0.9419,1.0082,0.9106,0.8441,0.8392,0.7936,0.7293,0.7576,0.7348,0.6262,0.5833,0.7898,1.0958,1.1374,1.0502,1.0011,1.019,0.9783,0.8936,0.901,0.9169,0.9259,0.9888,0.9778,0.8801,0.8202,0.818,0.8559,0.8792,0.7314,0.5096,0.4818,0.4925,0.4533,0.4308,0.4093,0.3875,0.3908,0.4047,0.4053,0.4048,0.546,0.7501,0.7818,0.7855,0.8491,0.9026,0.8694,0.8185,0.8895,0.9333,0.9396,1.0168,0.9135,0.7021,0.7206,0.7233,0.6839,0.8238,0.8907,0.8256,0.8299,0.8839,0.9249,0.9257,0.935,0.9577,0.9608,1.0042,1.0824,1.1295,1.1937,1.2806,1.3335,1.3369,1.3229,1.3412,1.3638,1.3579,1.3218,1.3148,1.3299,1.3024,1.2636,1.2588,1.3034,1.3427,1.3657,1.3826,1.2555,1.0487,0.9876,0.9849,0.9991,1.0351,0.799,0.4414,0.4379,0.4955,0.4617,0.4769,0.5006,0.4951,0.4784,0.4823,0.488,0.4487,0.4151,0.4092})</x:f>
        <x:v>41810.006037539744</x:v>
      </x:c>
    </x:row>
    <x:row r="217" ht="14" customHeight="1">
      <x:c r="A217" s="3">
        <x:v>45904</x:v>
      </x:c>
      <x:c r="B217" s="23" t="n">
        <x:v>700.2662760416666</x:v>
      </x:c>
      <x:c r="C217" s="23" t="n">
        <x:v>674.4868570963541</x:v>
      </x:c>
      <x:c r="D217" s="23" t="n">
        <x:v>662.8263346354166</x:v>
      </x:c>
      <x:c r="E217" s="23" t="n">
        <x:v>666.374267578125</x:v>
      </x:c>
      <x:c r="F217" s="23" t="n">
        <x:v>683.7391764322916</x:v>
      </x:c>
      <x:c r="G217" s="23" t="n">
        <x:v>698.2376302083333</x:v>
      </x:c>
      <x:c r="H217" s="23" t="n">
        <x:v>694.1595865885416</x:v>
      </x:c>
      <x:c r="I217" s="23" t="n">
        <x:v>678.9404703776041</x:v>
      </x:c>
      <x:c r="J217" s="23" t="n">
        <x:v>648.9038492838541</x:v>
      </x:c>
      <x:c r="K217" s="23" t="n">
        <x:v>668.5423177083333</x:v>
      </x:c>
      <x:c r="L217" s="23" t="n">
        <x:v>667.068115234375</x:v>
      </x:c>
      <x:c r="M217" s="23" t="n">
        <x:v>1479.7303059895833</x:v>
      </x:c>
      <x:c r="N217" s="23" t="n">
        <x:v>678.7269287109375</x:v>
      </x:c>
      <x:c r="O217" s="23" t="n">
        <x:v>683.7267252604166</x:v>
      </x:c>
      <x:c r="P217" s="23" t="n">
        <x:v>651.1292317708333</x:v>
      </x:c>
      <x:c r="Q217" s="23" t="n">
        <x:v>665.8656005859375</x:v>
      </x:c>
      <x:c r="R217" s="23" t="n">
        <x:v>675.9263916015625</x:v>
      </x:c>
      <x:c r="S217" s="23" t="n">
        <x:v>660.6410725911458</x:v>
      </x:c>
      <x:c r="T217" s="23" t="n">
        <x:v>669.0139973958333</x:v>
      </x:c>
      <x:c r="U217" s="23" t="n">
        <x:v>668.4481608072916</x:v>
      </x:c>
      <x:c r="V217" s="23" t="n">
        <x:v>657.7756754557291</x:v>
      </x:c>
      <x:c r="W217" s="23" t="n">
        <x:v>642.5423177083333</x:v>
      </x:c>
      <x:c r="X217" s="23" t="n">
        <x:v>645.1048990885416</x:v>
      </x:c>
      <x:c r="Y217" s="23" t="n">
        <x:v>645.6249593098958</x:v>
      </x:c>
      <x:c r="Z217" s="23" t="n">
        <x:v>1456.680216471354</x:v>
      </x:c>
      <x:c r="AA217" s="23" t="n">
        <x:v>637.1188151041666</x:v>
      </x:c>
      <x:c r="AB217" s="23" t="n">
        <x:v>664.1577962239583</x:v>
      </x:c>
      <x:c r="AC217" s="23" t="n">
        <x:v>639.997314453125</x:v>
      </x:c>
      <x:c r="AD217" s="23" t="n">
        <x:v>617.7789713541666</x:v>
      </x:c>
      <x:c r="AE217" s="23" t="n">
        <x:v>626.1844075520833</x:v>
      </x:c>
      <x:c r="AF217" s="23" t="n">
        <x:v>1350.532656402203</x:v>
      </x:c>
      <x:c r="AG217" s="23" t="n">
        <x:v>634.0465614985737</x:v>
      </x:c>
      <x:c r="AH217" s="23" t="n">
        <x:v>622.3963216145833</x:v>
      </x:c>
      <x:c r="AI217" s="23" t="n">
        <x:v>1426.7359795090688</x:v>
      </x:c>
      <x:c r="AJ217" s="23" t="n">
        <x:v>218.3823166132027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0</x:v>
      </x:c>
      <x:c r="BV217" s="23" t="n">
        <x:v>0</x:v>
      </x:c>
      <x:c r="BW217" s="23" t="n">
        <x:v>0</x:v>
      </x:c>
      <x:c r="BX217" s="23" t="n">
        <x:v>0</x:v>
      </x:c>
      <x:c r="BY217" s="23" t="n">
        <x:v>0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100.49989746808447</x:v>
      </x:c>
      <x:c r="CN217" s="23" t="n">
        <x:v>206.75092825311242</x:v>
      </x:c>
      <x:c r="CO217" s="23" t="n">
        <x:v>191.28585453088547</x:v>
      </x:c>
      <x:c r="CP217" s="23" t="n">
        <x:v>221.93898073847066</x:v>
      </x:c>
      <x:c r="CQ217" s="23" t="n">
        <x:v>307.7182357308259</x:v>
      </x:c>
      <x:c r="CR217" s="23" t="n">
        <x:v>368.8070305417159</x:v>
      </x:c>
      <x:c r="CS217" s="23" t="n">
        <x:v>408.60056944327727</x:v>
      </x:c>
      <x:c r="CT217" s="23" t="n">
        <x:v>451.7508153939872</x:v>
      </x:c>
      <x:c r="CU217" s="23" t="n">
        <x:v>511.8735729143553</x:v>
      </x:c>
      <x:c r="CV217" s="23" t="n">
        <x:v>574.4146762773508</x:v>
      </x:c>
      <x:c r="CW217" s="23" t="n">
        <x:v>618.9553083607204</x:v>
      </x:c>
      <x:c r="CX217" s="23" t="n">
        <x:v>665.0793191794792</x:v>
      </x:c>
      <x:c r="CY217" s="23" t="n">
        <x:v>723.4876576177253</x:v>
      </x:c>
      <x:c r="CZ217" s="23" t="n">
        <x:v>786.164165341054</x:v>
      </x:c>
      <x:c r="DA217" s="23" t="n">
        <x:v>839.6698238383788</x:v>
      </x:c>
      <x:c r="DB217" s="23" t="n">
        <x:v>897.1834639448491</x:v>
      </x:c>
      <x:c r="DC217" s="23" t="n">
        <x:v>977.9326931792049</x:v>
      </x:c>
      <x:c r="DD217" s="23" t="n">
        <x:v>904.5997547601879</x:v>
      </x:c>
      <x:c r="DE217" s="23" t="n">
        <x:v>785.6053654702428</x:v>
      </x:c>
      <x:c r="DF217" s="23" t="n">
        <x:v>839.6056520803941</x:v>
      </x:c>
      <x:c r="DG217" s="23" t="n">
        <x:v>871.8256413455483</x:v>
      </x:c>
      <x:c r="DH217" s="23" t="n">
        <x:v>881.6768391927083</x:v>
      </x:c>
      <x:c r="DI217" s="23" t="n">
        <x:v>886.631997356703</x:v>
      </x:c>
      <x:c r="DJ217" s="23" t="n">
        <x:v>891.4154116625148</x:v>
      </x:c>
      <x:c r="DK217" s="23" t="n">
        <x:v>449.3509563587455</x:v>
      </x:c>
      <x:c r="DL217" s="23" t="n">
        <x:v>80.79560046416964</x:v>
      </x:c>
      <x:c r="DM217" s="23" t="n">
        <x:v>67.51891018229162</x:v>
      </x:c>
      <x:c r="DN217" s="23" t="n">
        <x:v>72.4255475260417</x:v>
      </x:c>
      <x:c r="DO217" s="23" t="n">
        <x:v>58.60654190104166</x:v>
      </x:c>
      <x:c r="DP217" s="23" t="n">
        <x:v>61.8852155208333</x:v>
      </x:c>
      <x:c r="DQ217" s="23" t="n">
        <x:v>76.30835091145839</x:v>
      </x:c>
      <x:c r="DR217" s="23" t="n">
        <x:v>88.31015382812498</x:v>
      </x:c>
      <x:c r="DS217" s="23" t="n">
        <x:v>65.37951236979173</x:v>
      </x:c>
      <x:c r="DT217" s="23" t="n">
        <x:v>47.4760143229167</x:v>
      </x:c>
      <x:c r="DU217" s="23" t="n">
        <x:v>82.00872907552078</x:v>
      </x:c>
      <x:c r="DV217" s="23" t="n">
        <x:v>892.7705677994791</x:v>
      </x:c>
      <x:c r="DW217" s="23" t="n">
        <x:v>895.6567595646861</x:v>
      </x:c>
      <x:c r="DX217" s="23" t="n">
        <x:v>892.0089518229166</x:v>
      </x:c>
      <x:c r="DY217" s="23" t="n">
        <x:v>887.98779296875</x:v>
      </x:c>
      <x:c r="DZ217" s="23" t="n">
        <x:v>889.8392740885416</x:v>
      </x:c>
      <x:c r="EA217" s="23" t="n">
        <x:v>900.5291858854167</x:v>
      </x:c>
      <x:c r="EB217" s="23" t="n">
        <x:v>859.3601888020833</x:v>
      </x:c>
      <x:c r="EC217" s="23" t="n">
        <x:v>741.366455078125</x:v>
      </x:c>
      <x:c r="ED217" s="23" t="n">
        <x:v>741.1907109535751</x:v>
      </x:c>
      <x:c r="EE217" s="23" t="n">
        <x:v>717.1263834635416</x:v>
      </x:c>
      <x:c r="EF217" s="23" t="n">
        <x:v>997.8263157953959</x:v>
      </x:c>
      <x:c r="EG217" s="23" t="n">
        <x:v>1500.401611328125</x:v>
      </x:c>
      <x:c r="EH217" s="23" t="n">
        <x:v>1527.3082682291665</x:v>
      </x:c>
      <x:c r="EI217" s="23" t="n">
        <x:v>725.2848307291666</x:v>
      </x:c>
      <x:c r="EJ217" s="23" t="n">
        <x:v>1544.7776692708333</x:v>
      </x:c>
      <x:c r="EK217" s="23" t="n">
        <x:v>1519.5485026041665</x:v>
      </x:c>
      <x:c r="EL217" s="23" t="n">
        <x:v>1526.7613118489583</x:v>
      </x:c>
      <x:c r="EM217" s="23" t="n">
        <x:v>712.756103515625</x:v>
      </x:c>
      <x:c r="EN217" s="23" t="n">
        <x:v>649.8749593098958</x:v>
      </x:c>
      <x:c r="EO217" s="23" t="n">
        <x:v>1418.557373046875</x:v>
      </x:c>
      <x:c r="EP217" s="23" t="n">
        <x:f>SUM(B217:EO217)</x:f>
        <x:v>62366.28490744546</x:v>
      </x:c>
      <x:c r="EQ217" s="23" t="n">
        <x:f>SUMPRODUCT(B217:EO217,{0.4033,0.389,0.3955,0.447,0.4254,0.3556,0.3807,0.4055,0.4002,0.4307,0.4428,0.4095,0.3712,0.3977,0.4632,0.4707,0.4469,0.437,0.4514,0.421,0.3844,0.4441,0.4568,0.42,0.4744,0.5266,0.4895,0.3823,0.3717,0.4477,0.4497,0.4575,0.4702,0.4354,0.6435,0.9789,0.9988,0.9146,0.8916,0.8806,0.8401,0.7832,0.7587,0.7561,0.7234,0.6613,0.8639,1.1937,1.1895,1.1054,1.0957,1.0578,0.9972,0.946,0.9223,0.901,0.8725,0.8446,0.7953,0.7817,0.8716,0.8417,0.7243,0.7561,0.6883,0.4984,0.4386,0.4598,0.4783,0.4629,0.4193,0.3743,0.3639,0.4077,0.4322,0.37,0.5145,0.8037,0.8551,0.7845,0.7527,0.8081,0.8874,0.9152,0.8712,0.888,0.9987,1.0721,0.89,0.6252,0.6795,0.7425,0.7018,0.7506,0.7912,0.8052,0.8802,0.9066,0.8875,0.9405,0.9909,1.0026,1.0193,1.0499,1.0721,1.0758,1.1735,1.316,1.3292,1.3064,1.3241,1.3619,1.3552,1.3322,1.3716,1.3524,1.2978,1.3544,1.3884,1.35,1.3234,1.3087,1.3313,1.3949,1.2424,0.9608,0.9112,0.9184,0.9282,1.0208,0.8067,0.4149,0.397,0.4529,0.4142,0.4246,0.4685,0.4869,0.4501,0.443,0.4803,0.4892,0.4454,0.3788})</x:f>
        <x:v>41331.33031794655</x:v>
      </x:c>
    </x:row>
    <x:row r="218" ht="14" customHeight="1">
      <x:c r="A218" s="3">
        <x:v>45905</x:v>
      </x:c>
      <x:c r="B218" s="23" t="n">
        <x:v>0</x:v>
      </x:c>
      <x:c r="C218" s="23" t="n">
        <x:v>0</x:v>
      </x:c>
      <x:c r="D218" s="23" t="n">
        <x:v>554.1971842447916</x:v>
      </x:c>
      <x:c r="E218" s="23" t="n">
        <x:v>543.6466878255208</x:v>
      </x:c>
      <x:c r="F218" s="23" t="n">
        <x:v>537.2676188151041</x:v>
      </x:c>
      <x:c r="G218" s="23" t="n">
        <x:v>540.3153483072916</x:v>
      </x:c>
      <x:c r="H218" s="23" t="n">
        <x:v>436.1134476365819</x:v>
      </x:c>
      <x:c r="I218" s="23" t="n">
        <x:v>0</x:v>
      </x:c>
      <x:c r="J218" s="23" t="n">
        <x:v>0</x:v>
      </x:c>
      <x:c r="K218" s="23" t="n">
        <x:v>0</x:v>
      </x:c>
      <x:c r="L218" s="23" t="n">
        <x:v>0</x:v>
      </x:c>
      <x:c r="M218" s="23" t="n">
        <x:v>508.06315104166663</x:v>
      </x:c>
      <x:c r="N218" s="23" t="n">
        <x:v>528.2690022786458</x:v>
      </x:c>
      <x:c r="O218" s="23" t="n">
        <x:v>528.7449137369791</x:v>
      </x:c>
      <x:c r="P218" s="23" t="n">
        <x:v>504.0005696614583</x:v>
      </x:c>
      <x:c r="Q218" s="23" t="n">
        <x:v>0</x:v>
      </x:c>
      <x:c r="R218" s="23" t="n">
        <x:v>0</x:v>
      </x:c>
      <x:c r="S218" s="23" t="n">
        <x:v>520.9053548177083</x:v>
      </x:c>
      <x:c r="T218" s="23" t="n">
        <x:v>507.1205647786458</x:v>
      </x:c>
      <x:c r="U218" s="23" t="n">
        <x:v>501.4896240234375</x:v>
      </x:c>
      <x:c r="V218" s="23" t="n">
        <x:v>483.03165690104163</x:v>
      </x:c>
      <x:c r="W218" s="23" t="n">
        <x:v>480.02237955729163</x:v>
      </x:c>
      <x:c r="X218" s="23" t="n">
        <x:v>527.5797932942708</x:v>
      </x:c>
      <x:c r="Y218" s="23" t="n">
        <x:v>0</x:v>
      </x:c>
      <x:c r="Z218" s="23" t="n">
        <x:v>533.5959065755208</x:v>
      </x:c>
      <x:c r="AA218" s="23" t="n">
        <x:v>515.4267985026041</x:v>
      </x:c>
      <x:c r="AB218" s="23" t="n">
        <x:v>508.2419026692708</x:v>
      </x:c>
      <x:c r="AC218" s="23" t="n">
        <x:v>522.6762288411458</x:v>
      </x:c>
      <x:c r="AD218" s="23" t="n">
        <x:v>515.5171305338541</x:v>
      </x:c>
      <x:c r="AE218" s="23" t="n">
        <x:v>460.357666015625</x:v>
      </x:c>
      <x:c r="AF218" s="23" t="n">
        <x:v>1282.0403865526123</x:v>
      </x:c>
      <x:c r="AG218" s="23" t="n">
        <x:v>468.84872117029227</x:v>
      </x:c>
      <x:c r="AH218" s="23" t="n">
        <x:v>508.06278483072913</x:v>
      </x:c>
      <x:c r="AI218" s="23" t="n">
        <x:v>1300.545126162928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7.771396628488522</x:v>
      </x:c>
      <x:c r="CT218" s="23" t="n">
        <x:v>50.752458436772784</x:v>
      </x:c>
      <x:c r="CU218" s="23" t="n">
        <x:v>136.77147611413525</x:v>
      </x:c>
      <x:c r="CV218" s="23" t="n">
        <x:v>217.09050750099914</x:v>
      </x:c>
      <x:c r="CW218" s="23" t="n">
        <x:v>239.0123302940141</x:v>
      </x:c>
      <x:c r="CX218" s="23" t="n">
        <x:v>243.30634242700353</x:v>
      </x:c>
      <x:c r="CY218" s="23" t="n">
        <x:v>265.8786365099486</x:v>
      </x:c>
      <x:c r="CZ218" s="23" t="n">
        <x:v>313.1707741960015</x:v>
      </x:c>
      <x:c r="DA218" s="23" t="n">
        <x:v>367.03882026866995</x:v>
      </x:c>
      <x:c r="DB218" s="23" t="n">
        <x:v>411.2674236114998</x:v>
      </x:c>
      <x:c r="DC218" s="23" t="n">
        <x:v>488.9481439134603</x:v>
      </x:c>
      <x:c r="DD218" s="23" t="n">
        <x:v>535.4810741913773</x:v>
      </x:c>
      <x:c r="DE218" s="23" t="n">
        <x:v>551.430723349128</x:v>
      </x:c>
      <x:c r="DF218" s="23" t="n">
        <x:v>597.3690169621053</x:v>
      </x:c>
      <x:c r="DG218" s="23" t="n">
        <x:v>622.9962080141424</x:v>
      </x:c>
      <x:c r="DH218" s="23" t="n">
        <x:v>363.28937386040917</x:v>
      </x:c>
      <x:c r="DI218" s="23" t="n">
        <x:v>637.9354005043731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0</x:v>
      </x:c>
      <x:c r="DW218" s="23" t="n">
        <x:v>651.6245074829602</x:v>
      </x:c>
      <x:c r="DX218" s="23" t="n">
        <x:v>642.6613362630208</x:v>
      </x:c>
      <x:c r="DY218" s="23" t="n">
        <x:v>641.6043701171875</x:v>
      </x:c>
      <x:c r="DZ218" s="23" t="n">
        <x:v>642.8706868489583</x:v>
      </x:c>
      <x:c r="EA218" s="23" t="n">
        <x:v>641.230221171875</x:v>
      </x:c>
      <x:c r="EB218" s="23" t="n">
        <x:v>624.7217893397956</x:v>
      </x:c>
      <x:c r="EC218" s="23" t="n">
        <x:v>568.3024495442708</x:v>
      </x:c>
      <x:c r="ED218" s="23" t="n">
        <x:v>1417.8651936848958</x:v>
      </x:c>
      <x:c r="EE218" s="23" t="n">
        <x:v>603.6966959635416</x:v>
      </x:c>
      <x:c r="EF218" s="23" t="n">
        <x:v>1425.905069986979</x:v>
      </x:c>
      <x:c r="EG218" s="23" t="n">
        <x:v>565.3832194010416</x:v>
      </x:c>
      <x:c r="EH218" s="23" t="n">
        <x:v>1393.8607584635415</x:v>
      </x:c>
      <x:c r="EI218" s="23" t="n">
        <x:v>554.7007242838541</x:v>
      </x:c>
      <x:c r="EJ218" s="23" t="n">
        <x:v>1390.1956787109375</x:v>
      </x:c>
      <x:c r="EK218" s="23" t="n">
        <x:v>1393.8477376302083</x:v>
      </x:c>
      <x:c r="EL218" s="23" t="n">
        <x:v>1383.7576904296875</x:v>
      </x:c>
      <x:c r="EM218" s="23" t="n">
        <x:v>555.6286214192708</x:v>
      </x:c>
      <x:c r="EN218" s="23" t="n">
        <x:v>548.1932373046875</x:v>
      </x:c>
      <x:c r="EO218" s="23" t="n">
        <x:v>853.3558539496528</x:v>
      </x:c>
      <x:c r="EP218" s="23" t="n">
        <x:f>SUM(B218:EO218)</x:f>
        <x:v>36864.99589755391</x:v>
      </x:c>
      <x:c r="EQ218" s="23" t="n">
        <x:f>SUMPRODUCT(B218:EO218,{0.3455,0.3394,0.3357,0.3183,0.3149,0.3255,0.3238,0.33,0.3455,0.3462,0.3343,0.3388,0.3804,0.3718,0.3392,0.3888,0.3911,0.3408,0.3655,0.3892,0.3659,0.3361,0.3502,0.3671,0.3111,0.3283,0.3931,0.3354,0.3119,0.3532,0.3311,0.3179,0.3204,0.2987,0.4815,0.7578,0.7633,0.7369,0.7568,0.6648,0.6098,0.615,0.5548,0.5282,0.5204,0.4408,0.5612,0.8005,0.781,0.7096,0.7139,0.7116,0.7005,0.6827,0.6478,0.6085,0.5949,0.6237,0.6174,0.5776,0.5747,0.546,0.5131,0.538,0.3879,0.1454,0.1488,0.2051,0.1955,0.191,0.1776,0.161,0.1742,0.1865,0.183,0.2021,0.357,0.5391,0.5143,0.495,0.5579,0.5679,0.54,0.5327,0.5782,0.593,0.6022,0.6813,0.5776,0.3546,0.348,0.3946,0.3919,0.4124,0.4679,0.5378,0.5892,0.6025,0.6054,0.6427,0.6579,0.6376,0.629,0.6432,0.6578,0.671,0.8466,1.1115,1.1942,1.14,1.0638,1.0511,1.1216,1.2039,1.1953,1.1617,1.1545,1.1629,1.162,1.1692,1.2118,1.1838,1.1434,1.2232,1.0868,0.8001,0.7829,0.7969,0.78,0.8797,0.7191,0.3773,0.3455,0.41,0.3857,0.3139,0.2943,0.3429,0.3859,0.3779,0.3576,0.3968,0.4015,0.3532})</x:f>
        <x:v>17765.279301747825</x:v>
      </x:c>
    </x:row>
    <x:row r="219" ht="14" customHeight="1">
      <x:c r="A219" s="3">
        <x:v>45906</x:v>
      </x:c>
      <x:c r="B219" s="23" t="n">
        <x:v>584.5059407552083</x:v>
      </x:c>
      <x:c r="C219" s="23" t="n">
        <x:v>0</x:v>
      </x:c>
      <x:c r="D219" s="23" t="n">
        <x:v>568.25927734375</x:v>
      </x:c>
      <x:c r="E219" s="23" t="n">
        <x:v>0</x:v>
      </x:c>
      <x:c r="F219" s="23" t="n">
        <x:v>0</x:v>
      </x:c>
      <x:c r="G219" s="23" t="n">
        <x:v>563.5327555338541</x:v>
      </x:c>
      <x:c r="H219" s="23" t="n">
        <x:v>50.411587148026754</x:v>
      </x:c>
      <x:c r="I219" s="23" t="n">
        <x:v>526.9794921875</x:v>
      </x:c>
      <x:c r="J219" s="23" t="n">
        <x:v>523.6088053385416</x:v>
      </x:c>
      <x:c r="K219" s="23" t="n">
        <x:v>0</x:v>
      </x:c>
      <x:c r="L219" s="23" t="n">
        <x:v>0</x:v>
      </x:c>
      <x:c r="M219" s="23" t="n">
        <x:v>540.1349283854166</x:v>
      </x:c>
      <x:c r="N219" s="23" t="n">
        <x:v>546.0190836588541</x:v>
      </x:c>
      <x:c r="O219" s="23" t="n">
        <x:v>542.763427734375</x:v>
      </x:c>
      <x:c r="P219" s="23" t="n">
        <x:v>548.9129231770833</x:v>
      </x:c>
      <x:c r="Q219" s="23" t="n">
        <x:v>521.599609375</x:v>
      </x:c>
      <x:c r="R219" s="23" t="n">
        <x:v>0</x:v>
      </x:c>
      <x:c r="S219" s="23" t="n">
        <x:v>510.3858642578125</x:v>
      </x:c>
      <x:c r="T219" s="23" t="n">
        <x:v>524.74365234375</x:v>
      </x:c>
      <x:c r="U219" s="23" t="n">
        <x:v>491.450439453125</x:v>
      </x:c>
      <x:c r="V219" s="23" t="n">
        <x:v>452.94315592447913</x:v>
      </x:c>
      <x:c r="W219" s="23" t="n">
        <x:v>452.0330403645833</x:v>
      </x:c>
      <x:c r="X219" s="23" t="n">
        <x:v>460.74951171875</x:v>
      </x:c>
      <x:c r="Y219" s="23" t="n">
        <x:v>503.90738932291663</x:v>
      </x:c>
      <x:c r="Z219" s="23" t="n">
        <x:v>510.371337890625</x:v>
      </x:c>
      <x:c r="AA219" s="23" t="n">
        <x:v>516.8095296223958</x:v>
      </x:c>
      <x:c r="AB219" s="23" t="n">
        <x:v>0</x:v>
      </x:c>
      <x:c r="AC219" s="23" t="n">
        <x:v>509.092529296875</x:v>
      </x:c>
      <x:c r="AD219" s="23" t="n">
        <x:v>499.65470377604163</x:v>
      </x:c>
      <x:c r="AE219" s="23" t="n">
        <x:v>468.4544270833333</x:v>
      </x:c>
      <x:c r="AF219" s="23" t="n">
        <x:v>463.34266213611795</x:v>
      </x:c>
      <x:c r="AG219" s="23" t="n">
        <x:v>497.60033616659376</x:v>
      </x:c>
      <x:c r="AH219" s="23" t="n">
        <x:v>510.63248697916663</x:v>
      </x:c>
      <x:c r="AI219" s="23" t="n">
        <x:v>481.438507164262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35.15728659642264</x:v>
      </x:c>
      <x:c r="CT219" s="23" t="n">
        <x:v>74.5037569936137</x:v>
      </x:c>
      <x:c r="CU219" s="23" t="n">
        <x:v>136.03189181972516</x:v>
      </x:c>
      <x:c r="CV219" s="23" t="n">
        <x:v>203.08188864093563</x:v>
      </x:c>
      <x:c r="CW219" s="23" t="n">
        <x:v>253.11224824367883</x:v>
      </x:c>
      <x:c r="CX219" s="23" t="n">
        <x:v>250.76797962908455</x:v>
      </x:c>
      <x:c r="CY219" s="23" t="n">
        <x:v>209.90080110171985</x:v>
      </x:c>
      <x:c r="CZ219" s="23" t="n">
        <x:v>263.8831337919227</x:v>
      </x:c>
      <x:c r="DA219" s="23" t="n">
        <x:v>363.0153706697656</x:v>
      </x:c>
      <x:c r="DB219" s="23" t="n">
        <x:v>421.21471405005906</x:v>
      </x:c>
      <x:c r="DC219" s="23" t="n">
        <x:v>459.2187464343201</x:v>
      </x:c>
      <x:c r="DD219" s="23" t="n">
        <x:v>509.3413891362799</x:v>
      </x:c>
      <x:c r="DE219" s="23" t="n">
        <x:v>546.3876256606959</x:v>
      </x:c>
      <x:c r="DF219" s="23" t="n">
        <x:v>599.4525511261065</x:v>
      </x:c>
      <x:c r="DG219" s="23" t="n">
        <x:v>634.71419916624</x:v>
      </x:c>
      <x:c r="DH219" s="23" t="n">
        <x:v>427.2456980580433</x:v>
      </x:c>
      <x:c r="DI219" s="23" t="n">
        <x:v>604.3584058523074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626.6656494140625</x:v>
      </x:c>
      <x:c r="DX219" s="23" t="n">
        <x:v>650.7308730790254</x:v>
      </x:c>
      <x:c r="DY219" s="23" t="n">
        <x:v>644.3635660807291</x:v>
      </x:c>
      <x:c r="DZ219" s="23" t="n">
        <x:v>653.8307698567708</x:v>
      </x:c>
      <x:c r="EA219" s="23" t="n">
        <x:v>680.534912109375</x:v>
      </x:c>
      <x:c r="EB219" s="23" t="n">
        <x:v>661.7457682291666</x:v>
      </x:c>
      <x:c r="EC219" s="23" t="n">
        <x:v>1405.0240478515625</x:v>
      </x:c>
      <x:c r="ED219" s="23" t="n">
        <x:v>1359.000732421875</x:v>
      </x:c>
      <x:c r="EE219" s="23" t="n">
        <x:v>1379.7791748046875</x:v>
      </x:c>
      <x:c r="EF219" s="23" t="n">
        <x:v>1427.1676839192708</x:v>
      </x:c>
      <x:c r="EG219" s="23" t="n">
        <x:v>597.2377522786458</x:v>
      </x:c>
      <x:c r="EH219" s="23" t="n">
        <x:v>1414.962890625</x:v>
      </x:c>
      <x:c r="EI219" s="23" t="n">
        <x:v>894.2135829193991</x:v>
      </x:c>
      <x:c r="EJ219" s="23" t="n">
        <x:v>1383.2342122395833</x:v>
      </x:c>
      <x:c r="EK219" s="23" t="n">
        <x:v>1402.7135009765625</x:v>
      </x:c>
      <x:c r="EL219" s="23" t="n">
        <x:v>599.0483805338541</x:v>
      </x:c>
      <x:c r="EM219" s="23" t="n">
        <x:v>576.33935546875</x:v>
      </x:c>
      <x:c r="EN219" s="23" t="n">
        <x:v>619.8624267578125</x:v>
      </x:c>
      <x:c r="EO219" s="23" t="n">
        <x:v>0</x:v>
      </x:c>
      <x:c r="EP219" s="23" t="n">
        <x:f>SUM(B219:EO219)</x:f>
        <x:v>36338.18037067549</x:v>
      </x:c>
      <x:c r="EQ219" s="23" t="n">
        <x:f>SUMPRODUCT(B219:EO219,{0.331,0.331,0.3388,0.3494,0.3513,0.3566,0.3818,0.3615,0.3142,0.3282,0.3559,0.3442,0.2923,0.2839,0.33,0.3601,0.3513,0.3226,0.315,0.3427,0.3863,0.4033,0.3682,0.3205,0.3304,0.3506,0.3538,0.3595,0.3698,0.3871,0.4072,0.384,0.3241,0.3127,0.482,0.7035,0.7003,0.6769,0.6948,0.6198,0.5934,0.654,0.6862,0.6577,0.5712,0.4856,0.6215,0.8705,0.8829,0.8155,0.7821,0.7444,0.7458,0.7636,0.7304,0.7453,0.7759,0.6943,0.6763,0.7174,0.6342,0.555,0.5719,0.6161,0.4616,0.2054,0.1776,0.2064,0.1874,0.1832,0.1412,0.0886,0.1187,0.1472,0.1143,0.07,0.207,0.4371,0.4672,0.4443,0.4637,0.4764,0.5136,0.5449,0.5074,0.5381,0.6573,0.7129,0.5445,0.297,0.2979,0.3901,0.4396,0.4703,0.5401,0.6015,0.5529,0.5194,0.5656,0.6309,0.6349,0.605,0.6447,0.716,0.745,0.7198,0.856,1.1092,1.2017,1.1865,1.1636,1.173,1.1729,1.1525,1.147,1.1726,1.2079,1.2141,1.2139,1.2147,1.1975,1.158,1.1365,1.1581,1.0401,0.8484,0.8401,0.8415,0.8197,0.8792,0.69,0.3428,0.2951,0.3517,0.3468,0.3152,0.2979,0.313,0.3495,0.3708,0.3493,0.3,0.3415,0.4396})</x:f>
        <x:v>17662.430539557197</x:v>
      </x:c>
    </x:row>
    <x:row r="220" ht="14" customHeight="1">
      <x:c r="A220" s="3">
        <x:v>45907</x:v>
      </x:c>
      <x:c r="B220" s="23" t="n">
        <x:v>684.6215006510416</x:v>
      </x:c>
      <x:c r="C220" s="23" t="n">
        <x:v>662.4175618489583</x:v>
      </x:c>
      <x:c r="D220" s="23" t="n">
        <x:v>666.6610514322916</x:v>
      </x:c>
      <x:c r="E220" s="23" t="n">
        <x:v>682.6632893880208</x:v>
      </x:c>
      <x:c r="F220" s="23" t="n">
        <x:v>684.21630859375</x:v>
      </x:c>
      <x:c r="G220" s="23" t="n">
        <x:v>669.5428873697916</x:v>
      </x:c>
      <x:c r="H220" s="23" t="n">
        <x:v>667.92236328125</x:v>
      </x:c>
      <x:c r="I220" s="23" t="n">
        <x:v>658.9315592447916</x:v>
      </x:c>
      <x:c r="J220" s="23" t="n">
        <x:v>657.3627522786458</x:v>
      </x:c>
      <x:c r="K220" s="23" t="n">
        <x:v>664.6660563151041</x:v>
      </x:c>
      <x:c r="L220" s="23" t="n">
        <x:v>661.1513264973958</x:v>
      </x:c>
      <x:c r="M220" s="23" t="n">
        <x:v>659.5482991536458</x:v>
      </x:c>
      <x:c r="N220" s="23" t="n">
        <x:v>665.7788492838541</x:v>
      </x:c>
      <x:c r="O220" s="23" t="n">
        <x:v>674.6736653645833</x:v>
      </x:c>
      <x:c r="P220" s="23" t="n">
        <x:v>664.8983154296875</x:v>
      </x:c>
      <x:c r="Q220" s="23" t="n">
        <x:v>641.938232421875</x:v>
      </x:c>
      <x:c r="R220" s="23" t="n">
        <x:v>638.986083984375</x:v>
      </x:c>
      <x:c r="S220" s="23" t="n">
        <x:v>648.7985026041666</x:v>
      </x:c>
      <x:c r="T220" s="23" t="n">
        <x:v>660.5399983723958</x:v>
      </x:c>
      <x:c r="U220" s="23" t="n">
        <x:v>641.1571044921875</x:v>
      </x:c>
      <x:c r="V220" s="23" t="n">
        <x:v>635.2279459635416</x:v>
      </x:c>
      <x:c r="W220" s="23" t="n">
        <x:v>650.96484375</x:v>
      </x:c>
      <x:c r="X220" s="23" t="n">
        <x:v>650.1332194010416</x:v>
      </x:c>
      <x:c r="Y220" s="23" t="n">
        <x:v>638.9984130859375</x:v>
      </x:c>
      <x:c r="Z220" s="23" t="n">
        <x:v>641.565185546875</x:v>
      </x:c>
      <x:c r="AA220" s="23" t="n">
        <x:v>654.7770589192708</x:v>
      </x:c>
      <x:c r="AB220" s="23" t="n">
        <x:v>651.0753173828125</x:v>
      </x:c>
      <x:c r="AC220" s="23" t="n">
        <x:v>622.3599853515625</x:v>
      </x:c>
      <x:c r="AD220" s="23" t="n">
        <x:v>622.3511555989583</x:v>
      </x:c>
      <x:c r="AE220" s="23" t="n">
        <x:v>618.5345865885416</x:v>
      </x:c>
      <x:c r="AF220" s="23" t="n">
        <x:v>1455.6834889814293</x:v>
      </x:c>
      <x:c r="AG220" s="23" t="n">
        <x:v>609.2294089580712</x:v>
      </x:c>
      <x:c r="AH220" s="23" t="n">
        <x:v>615.6261393229166</x:v>
      </x:c>
      <x:c r="AI220" s="23" t="n">
        <x:v>749.078767400086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244.77472763387178</x:v>
      </x:c>
      <x:c r="BU220" s="23" t="n">
        <x:v>0</x:v>
      </x:c>
      <x:c r="BV220" s="23" t="n">
        <x:v>0</x:v>
      </x:c>
      <x:c r="BW220" s="23" t="n">
        <x:v>0</x:v>
      </x:c>
      <x:c r="BX220" s="23" t="n">
        <x:v>375.46677381708014</x:v>
      </x:c>
      <x:c r="BY220" s="23" t="n">
        <x:v>390.9773098099895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8.690177378469494</x:v>
      </x:c>
      <x:c r="CN220" s="23" t="n">
        <x:v>74.43583476173686</x:v>
      </x:c>
      <x:c r="CO220" s="23" t="n">
        <x:v>130.85543872167028</x:v>
      </x:c>
      <x:c r="CP220" s="23" t="n">
        <x:v>181.89375993008707</x:v>
      </x:c>
      <x:c r="CQ220" s="23" t="n">
        <x:v>259.3107068245972</x:v>
      </x:c>
      <x:c r="CR220" s="23" t="n">
        <x:v>332.20337170814275</x:v>
      </x:c>
      <x:c r="CS220" s="23" t="n">
        <x:v>401.9788966338365</x:v>
      </x:c>
      <x:c r="CT220" s="23" t="n">
        <x:v>431.43232663360095</x:v>
      </x:c>
      <x:c r="CU220" s="23" t="n">
        <x:v>481.0132529172031</x:v>
      </x:c>
      <x:c r="CV220" s="23" t="n">
        <x:v>529.4736880035686</x:v>
      </x:c>
      <x:c r="CW220" s="23" t="n">
        <x:v>585.8180783329885</x:v>
      </x:c>
      <x:c r="CX220" s="23" t="n">
        <x:v>648.0937267001283</x:v>
      </x:c>
      <x:c r="CY220" s="23" t="n">
        <x:v>715.7156642597313</x:v>
      </x:c>
      <x:c r="CZ220" s="23" t="n">
        <x:v>780.8452558728363</x:v>
      </x:c>
      <x:c r="DA220" s="23" t="n">
        <x:v>819.6940680496357</x:v>
      </x:c>
      <x:c r="DB220" s="23" t="n">
        <x:v>877.2809991675376</x:v>
      </x:c>
      <x:c r="DC220" s="23" t="n">
        <x:v>945.0493527611352</x:v>
      </x:c>
      <x:c r="DD220" s="23" t="n">
        <x:v>930.9397480734575</x:v>
      </x:c>
      <x:c r="DE220" s="23" t="n">
        <x:v>776.5695508506635</x:v>
      </x:c>
      <x:c r="DF220" s="23" t="n">
        <x:v>823.2071208565906</x:v>
      </x:c>
      <x:c r="DG220" s="23" t="n">
        <x:v>856.2361386036812</x:v>
      </x:c>
      <x:c r="DH220" s="23" t="n">
        <x:v>835.901123046875</x:v>
      </x:c>
      <x:c r="DI220" s="23" t="n">
        <x:v>834.2188347643171</x:v>
      </x:c>
      <x:c r="DJ220" s="23" t="n">
        <x:v>852.1587172473294</x:v>
      </x:c>
      <x:c r="DK220" s="23" t="n">
        <x:v>368.72651510613593</x:v>
      </x:c>
      <x:c r="DL220" s="23" t="n">
        <x:v>43.52015156052978</x:v>
      </x:c>
      <x:c r="DM220" s="23" t="n">
        <x:v>36.303913736979055</x:v>
      </x:c>
      <x:c r="DN220" s="23" t="n">
        <x:v>42.43170572916672</x:v>
      </x:c>
      <x:c r="DO220" s="23" t="n">
        <x:v>55.126733138020725</x:v>
      </x:c>
      <x:c r="DP220" s="23" t="n">
        <x:v>40.016650260416704</x:v>
      </x:c>
      <x:c r="DQ220" s="23" t="n">
        <x:v>42.18445312500004</x:v>
      </x:c>
      <x:c r="DR220" s="23" t="n">
        <x:v>36.67136093749998</x:v>
      </x:c>
      <x:c r="DS220" s="23" t="n">
        <x:v>37.349151171874986</x:v>
      </x:c>
      <x:c r="DT220" s="23" t="n">
        <x:v>20.987317708333343</x:v>
      </x:c>
      <x:c r="DU220" s="23" t="n">
        <x:v>69.30666718750004</x:v>
      </x:c>
      <x:c r="DV220" s="23" t="n">
        <x:v>878.2856847005207</x:v>
      </x:c>
      <x:c r="DW220" s="23" t="n">
        <x:v>845.3866373697916</x:v>
      </x:c>
      <x:c r="DX220" s="23" t="n">
        <x:v>849.1160316197271</x:v>
      </x:c>
      <x:c r="DY220" s="23" t="n">
        <x:v>834.2679850260416</x:v>
      </x:c>
      <x:c r="DZ220" s="23" t="n">
        <x:v>865.244384765625</x:v>
      </x:c>
      <x:c r="EA220" s="23" t="n">
        <x:v>878.6924479166667</x:v>
      </x:c>
      <x:c r="EB220" s="23" t="n">
        <x:v>816.9180016927082</x:v>
      </x:c>
      <x:c r="EC220" s="23" t="n">
        <x:v>1507.0869954427083</x:v>
      </x:c>
      <x:c r="ED220" s="23" t="n">
        <x:v>1508.6046549479165</x:v>
      </x:c>
      <x:c r="EE220" s="23" t="n">
        <x:v>715.5631510416666</x:v>
      </x:c>
      <x:c r="EF220" s="23" t="n">
        <x:v>1534.8174641927083</x:v>
      </x:c>
      <x:c r="EG220" s="23" t="n">
        <x:v>1512.3224690755208</x:v>
      </x:c>
      <x:c r="EH220" s="23" t="n">
        <x:v>684.3378092447916</x:v>
      </x:c>
      <x:c r="EI220" s="23" t="n">
        <x:v>1554.793701171875</x:v>
      </x:c>
      <x:c r="EJ220" s="23" t="n">
        <x:v>1013.8827944155096</x:v>
      </x:c>
      <x:c r="EK220" s="23" t="n">
        <x:v>710.1295572916666</x:v>
      </x:c>
      <x:c r="EL220" s="23" t="n">
        <x:v>724.4981282552083</x:v>
      </x:c>
      <x:c r="EM220" s="23" t="n">
        <x:v>698.8148600260416</x:v>
      </x:c>
      <x:c r="EN220" s="23" t="n">
        <x:v>662.9801025390625</x:v>
      </x:c>
      <x:c r="EO220" s="23" t="n">
        <x:v>1467.5826416015625</x:v>
      </x:c>
      <x:c r="EP220" s="23" t="n">
        <x:f>SUM(B220:EO220)</x:f>
        <x:v>59252.265989618405</x:v>
      </x:c>
      <x:c r="EQ220" s="23" t="n">
        <x:f>SUMPRODUCT(B220:EO220,{0.4387,0.4059,0.3855,0.3572,0.3664,0.4082,0.4285,0.4431,0.4546,0.443,0.4261,0.4179,0.4162,0.4085,0.416,0.4641,0.4566,0.4009,0.4018,0.4171,0.429,0.4569,0.4215,0.3668,0.4222,0.4728,0.4442,0.3809,0.3842,0.449,0.481,0.5022,0.474,0.3739,0.5792,0.9552,0.9635,0.888,0.9028,0.8882,0.8397,0.7905,0.7715,0.7803,0.7342,0.6011,0.8084,1.2261,1.2577,1.1236,1.0576,1.0685,1.0606,1.015,0.9945,0.9837,0.9677,0.948,0.9095,0.8899,0.9354,0.9073,0.8203,0.803,0.6515,0.4278,0.4307,0.5047,0.5032,0.4353,0.4214,0.4438,0.3916,0.427,0.5203,0.4891,0.574,0.7802,0.8491,0.8424,0.8349,0.8331,0.8552,0.8777,0.8587,0.8617,0.9211,0.9814,0.8641,0.6446,0.5961,0.6469,0.6938,0.7144,0.7763,0.8656,0.8912,0.8662,0.8367,0.8457,0.8948,0.9651,1.0275,1.0559,1.0504,1.0525,1.1617,1.3135,1.3247,1.2514,1.2213,1.3095,1.3485,1.3037,1.3025,1.3441,1.3781,1.3635,1.3571,1.3704,1.3553,1.3109,1.3079,1.3878,1.2581,1.008,1.0263,1.0488,0.9944,1.0079,0.7587,0.3751,0.3684,0.4664,0.4684,0.444,0.4438,0.4542,0.4326,0.4453,0.4766,0.4409,0.4083,0.4135})</x:f>
        <x:v>38740.99269554469</x:v>
      </x:c>
    </x:row>
    <x:row r="221" ht="14" customHeight="1">
      <x:c r="A221" s="3">
        <x:v>45908</x:v>
      </x:c>
      <x:c r="B221" s="23" t="n">
        <x:v>614.9049479166666</x:v>
      </x:c>
      <x:c r="C221" s="23" t="n">
        <x:v>614.769287109375</x:v>
      </x:c>
      <x:c r="D221" s="23" t="n">
        <x:v>612.3184000651041</x:v>
      </x:c>
      <x:c r="E221" s="23" t="n">
        <x:v>617.3523763020833</x:v>
      </x:c>
      <x:c r="F221" s="23" t="n">
        <x:v>605.3781331380208</x:v>
      </x:c>
      <x:c r="G221" s="23" t="n">
        <x:v>613.4733479817708</x:v>
      </x:c>
      <x:c r="H221" s="23" t="n">
        <x:v>615.8758951822916</x:v>
      </x:c>
      <x:c r="I221" s="23" t="n">
        <x:v>616.8739013671875</x:v>
      </x:c>
      <x:c r="J221" s="23" t="n">
        <x:v>610.9211832682291</x:v>
      </x:c>
      <x:c r="K221" s="23" t="n">
        <x:v>611.7256673177083</x:v>
      </x:c>
      <x:c r="L221" s="23" t="n">
        <x:v>605.7920735677083</x:v>
      </x:c>
      <x:c r="M221" s="23" t="n">
        <x:v>608.1983642578125</x:v>
      </x:c>
      <x:c r="N221" s="23" t="n">
        <x:v>608.1277669270833</x:v>
      </x:c>
      <x:c r="O221" s="23" t="n">
        <x:v>610.5043538411458</x:v>
      </x:c>
      <x:c r="P221" s="23" t="n">
        <x:v>608.5628255208333</x:v>
      </x:c>
      <x:c r="Q221" s="23" t="n">
        <x:v>610.1107991536458</x:v>
      </x:c>
      <x:c r="R221" s="23" t="n">
        <x:v>611.1529134114583</x:v>
      </x:c>
      <x:c r="S221" s="23" t="n">
        <x:v>609.891845703125</x:v>
      </x:c>
      <x:c r="T221" s="23" t="n">
        <x:v>609.8561197916666</x:v>
      </x:c>
      <x:c r="U221" s="23" t="n">
        <x:v>611.3922932942708</x:v>
      </x:c>
      <x:c r="V221" s="23" t="n">
        <x:v>612.6898600260416</x:v>
      </x:c>
      <x:c r="W221" s="23" t="n">
        <x:v>601.3885498046875</x:v>
      </x:c>
      <x:c r="X221" s="23" t="n">
        <x:v>608.6131184895833</x:v>
      </x:c>
      <x:c r="Y221" s="23" t="n">
        <x:v>610.1262613932291</x:v>
      </x:c>
      <x:c r="Z221" s="23" t="n">
        <x:v>609.2025146484375</x:v>
      </x:c>
      <x:c r="AA221" s="23" t="n">
        <x:v>613.0441080729166</x:v>
      </x:c>
      <x:c r="AB221" s="23" t="n">
        <x:v>614.0920817057291</x:v>
      </x:c>
      <x:c r="AC221" s="23" t="n">
        <x:v>781.4341343609327</x:v>
      </x:c>
      <x:c r="AD221" s="23" t="n">
        <x:v>1442.6087239583333</x:v>
      </x:c>
      <x:c r="AE221" s="23" t="n">
        <x:v>1449.4686686197915</x:v>
      </x:c>
      <x:c r="AF221" s="23" t="n">
        <x:v>1447.1994933728943</x:v>
      </x:c>
      <x:c r="AG221" s="23" t="n">
        <x:v>610.6461452810473</x:v>
      </x:c>
      <x:c r="AH221" s="23" t="n">
        <x:v>618.1580403645833</x:v>
      </x:c>
      <x:c r="AI221" s="23" t="n">
        <x:v>1429.519501988353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0</x:v>
      </x:c>
      <x:c r="BV221" s="23" t="n">
        <x:v>0</x:v>
      </x:c>
      <x:c r="BW221" s="23" t="n">
        <x:v>0</x:v>
      </x:c>
      <x:c r="BX221" s="23" t="n">
        <x:v>0</x:v>
      </x:c>
      <x:c r="BY221" s="23" t="n">
        <x:v>0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10.657390938007968</x:v>
      </x:c>
      <x:c r="CN221" s="23" t="n">
        <x:v>57.514864186749335</x:v>
      </x:c>
      <x:c r="CO221" s="23" t="n">
        <x:v>95.84798534499683</x:v>
      </x:c>
      <x:c r="CP221" s="23" t="n">
        <x:v>136.09775572318145</x:v>
      </x:c>
      <x:c r="CQ221" s="23" t="n">
        <x:v>216.9734618999758</x:v>
      </x:c>
      <x:c r="CR221" s="23" t="n">
        <x:v>298.2645077990854</x:v>
      </x:c>
      <x:c r="CS221" s="23" t="n">
        <x:v>362.16644150172215</x:v>
      </x:c>
      <x:c r="CT221" s="23" t="n">
        <x:v>409.5964005404787</x:v>
      </x:c>
      <x:c r="CU221" s="23" t="n">
        <x:v>454.02269594865265</x:v>
      </x:c>
      <x:c r="CV221" s="23" t="n">
        <x:v>520.6730234792344</x:v>
      </x:c>
      <x:c r="CW221" s="23" t="n">
        <x:v>573.594238277246</x:v>
      </x:c>
      <x:c r="CX221" s="23" t="n">
        <x:v>617.2058638906518</x:v>
      </x:c>
      <x:c r="CY221" s="23" t="n">
        <x:v>676.4753295942461</x:v>
      </x:c>
      <x:c r="CZ221" s="23" t="n">
        <x:v>739.8769717928392</x:v>
      </x:c>
      <x:c r="DA221" s="23" t="n">
        <x:v>802.821716298431</x:v>
      </x:c>
      <x:c r="DB221" s="23" t="n">
        <x:v>856.215671294437</x:v>
      </x:c>
      <x:c r="DC221" s="23" t="n">
        <x:v>955.4794688742278</x:v>
      </x:c>
      <x:c r="DD221" s="23" t="n">
        <x:v>888.7553810737847</x:v>
      </x:c>
      <x:c r="DE221" s="23" t="n">
        <x:v>729.0816535214904</x:v>
      </x:c>
      <x:c r="DF221" s="23" t="n">
        <x:v>778.795709860523</x:v>
      </x:c>
      <x:c r="DG221" s="23" t="n">
        <x:v>808.0096073236518</x:v>
      </x:c>
      <x:c r="DH221" s="23" t="n">
        <x:v>805.6595052083333</x:v>
      </x:c>
      <x:c r="DI221" s="23" t="n">
        <x:v>821.6138916453713</x:v>
      </x:c>
      <x:c r="DJ221" s="23" t="n">
        <x:v>850.7911207972489</x:v>
      </x:c>
      <x:c r="DK221" s="23" t="n">
        <x:v>413.25575855744074</x:v>
      </x:c>
      <x:c r="DL221" s="23" t="n">
        <x:v>20.0934725016106</x:v>
      </x:c>
      <x:c r="DM221" s="23" t="n">
        <x:v>3.668793302927194</x:v>
      </x:c>
      <x:c r="DN221" s="23" t="n">
        <x:v>6.812769856770956</x:v>
      </x:c>
      <x:c r="DO221" s="23" t="n">
        <x:v>3.9474898697917524</x:v>
      </x:c>
      <x:c r="DP221" s="23" t="n">
        <x:v>12.491288645833265</x:v>
      </x:c>
      <x:c r="DQ221" s="23" t="n">
        <x:v>2.28774999999996</x:v>
      </x:c>
      <x:c r="DR221" s="23" t="n">
        <x:v>14.987562682291657</x:v>
      </x:c>
      <x:c r="DS221" s="23" t="n">
        <x:v>5.919632812500064</x:v>
      </x:c>
      <x:c r="DT221" s="23" t="n">
        <x:v>0</x:v>
      </x:c>
      <x:c r="DU221" s="23" t="n">
        <x:v>3.1385446874999916</x:v>
      </x:c>
      <x:c r="DV221" s="23" t="n">
        <x:v>821.9334043489584</x:v>
      </x:c>
      <x:c r="DW221" s="23" t="n">
        <x:v>836.899203253601</x:v>
      </x:c>
      <x:c r="DX221" s="23" t="n">
        <x:v>830.5426432291666</x:v>
      </x:c>
      <x:c r="DY221" s="23" t="n">
        <x:v>827.9447428385416</x:v>
      </x:c>
      <x:c r="DZ221" s="23" t="n">
        <x:v>817.6924641927083</x:v>
      </x:c>
      <x:c r="EA221" s="23" t="n">
        <x:v>810.0969220442707</x:v>
      </x:c>
      <x:c r="EB221" s="23" t="n">
        <x:v>778.9153099681712</x:v>
      </x:c>
      <x:c r="EC221" s="23" t="n">
        <x:v>966.6141969280479</x:v>
      </x:c>
      <x:c r="ED221" s="23" t="n">
        <x:v>654.9584554036458</x:v>
      </x:c>
      <x:c r="EE221" s="23" t="n">
        <x:v>651.446044921875</x:v>
      </x:c>
      <x:c r="EF221" s="23" t="n">
        <x:v>1460.309855143229</x:v>
      </x:c>
      <x:c r="EG221" s="23" t="n">
        <x:v>1461.036376953125</x:v>
      </x:c>
      <x:c r="EH221" s="23" t="n">
        <x:v>1458.3582356770833</x:v>
      </x:c>
      <x:c r="EI221" s="23" t="n">
        <x:v>1452.2313639322915</x:v>
      </x:c>
      <x:c r="EJ221" s="23" t="n">
        <x:v>644.7511800130208</x:v>
      </x:c>
      <x:c r="EK221" s="23" t="n">
        <x:v>643.5690104166666</x:v>
      </x:c>
      <x:c r="EL221" s="23" t="n">
        <x:v>618.3708902994791</x:v>
      </x:c>
      <x:c r="EM221" s="23" t="n">
        <x:v>620.9460042317708</x:v>
      </x:c>
      <x:c r="EN221" s="23" t="n">
        <x:v>1452.2759602864583</x:v>
      </x:c>
      <x:c r="EO221" s="23" t="n">
        <x:v>1446.5694986979165</x:v>
      </x:c>
      <x:c r="EP221" s="23" t="n">
        <x:f>SUM(B221:EO221)</x:f>
        <x:v>57483.62917971503</x:v>
      </x:c>
      <x:c r="EQ221" s="23" t="n">
        <x:f>SUMPRODUCT(B221:EO221,{0.424,0.4392,0.4386,0.402,0.4187,0.4713,0.4547,0.4499,0.4547,0.3921,0.3998,0.4605,0.4217,0.423,0.4707,0.4272,0.4067,0.4568,0.4958,0.458,0.3886,0.3973,0.4326,0.4529,0.463,0.4457,0.4335,0.4731,0.4547,0.3897,0.4038,0.4375,0.432,0.428,0.6497,0.9629,0.9835,0.9309,0.9181,0.8449,0.8037,0.8233,0.8296,0.7937,0.7001,0.6016,0.8031,1.173,1.2365,1.1376,1.051,1.0096,0.9976,0.9949,0.9883,0.97,0.9466,0.9407,0.9817,1.0117,0.9382,0.8811,0.9082,0.9339,0.7021,0.3897,0.4436,0.5109,0.4331,0.4062,0.4478,0.4767,0.4196,0.4253,0.457,0.3635,0.4777,0.7698,0.8573,0.8835,0.9254,0.9021,0.9075,0.9625,0.9906,1.0008,1.0197,1.0392,0.9423,0.785,0.7572,0.7863,0.8003,0.8008,0.8064,0.8246,0.8501,0.8837,0.9217,0.9577,1.0015,1.0408,1.0486,1.0463,1.0527,1.0819,1.182,1.2986,1.3175,1.3278,1.358,1.345,1.312,1.2982,1.3193,1.3284,1.3169,1.3192,1.3241,1.3135,1.2828,1.2642,1.2826,1.3117,1.1959,0.9944,0.9392,0.9679,1.0147,1.0381,0.8204,0.4892,0.4184,0.4178,0.389,0.4221,0.4213,0.4192,0.5317,0.5127,0.3736,0.3871,0.4757,0.5142})</x:f>
        <x:v>37874.98978777154</x:v>
      </x:c>
    </x:row>
    <x:row r="222" ht="14" customHeight="1">
      <x:c r="A222" s="3">
        <x:v>45909</x:v>
      </x:c>
      <x:c r="B222" s="23" t="n">
        <x:v>640.1288248697916</x:v>
      </x:c>
      <x:c r="C222" s="23" t="n">
        <x:v>641.6343180338541</x:v>
      </x:c>
      <x:c r="D222" s="23" t="n">
        <x:v>610.4981282552083</x:v>
      </x:c>
      <x:c r="E222" s="23" t="n">
        <x:v>613.1977132161458</x:v>
      </x:c>
      <x:c r="F222" s="23" t="n">
        <x:v>616.430419921875</x:v>
      </x:c>
      <x:c r="G222" s="23" t="n">
        <x:v>612.1289469401041</x:v>
      </x:c>
      <x:c r="H222" s="23" t="n">
        <x:v>613.4436848958333</x:v>
      </x:c>
      <x:c r="I222" s="23" t="n">
        <x:v>609.5749104817708</x:v>
      </x:c>
      <x:c r="J222" s="23" t="n">
        <x:v>613.3861897786458</x:v>
      </x:c>
      <x:c r="K222" s="23" t="n">
        <x:v>612.1266276041666</x:v>
      </x:c>
      <x:c r="L222" s="23" t="n">
        <x:v>608.0198974609375</x:v>
      </x:c>
      <x:c r="M222" s="23" t="n">
        <x:v>603.8228352864583</x:v>
      </x:c>
      <x:c r="N222" s="23" t="n">
        <x:v>1432.3494466145833</x:v>
      </x:c>
      <x:c r="O222" s="23" t="n">
        <x:v>1439.1774088541665</x:v>
      </x:c>
      <x:c r="P222" s="23" t="n">
        <x:v>610.8389892578125</x:v>
      </x:c>
      <x:c r="Q222" s="23" t="n">
        <x:v>611.1843668619791</x:v>
      </x:c>
      <x:c r="R222" s="23" t="n">
        <x:v>611.6791178385416</x:v>
      </x:c>
      <x:c r="S222" s="23" t="n">
        <x:v>612.0854899088541</x:v>
      </x:c>
      <x:c r="T222" s="23" t="n">
        <x:v>1358.2150304366526</x:v>
      </x:c>
      <x:c r="U222" s="23" t="n">
        <x:v>1443.7534993489583</x:v>
      </x:c>
      <x:c r="V222" s="23" t="n">
        <x:v>612.3765869140625</x:v>
      </x:c>
      <x:c r="W222" s="23" t="n">
        <x:v>610.4221598307291</x:v>
      </x:c>
      <x:c r="X222" s="23" t="n">
        <x:v>611.4407145182291</x:v>
      </x:c>
      <x:c r="Y222" s="23" t="n">
        <x:v>611.0526123046875</x:v>
      </x:c>
      <x:c r="Z222" s="23" t="n">
        <x:v>609.6145833333333</x:v>
      </x:c>
      <x:c r="AA222" s="23" t="n">
        <x:v>616.2668863932291</x:v>
      </x:c>
      <x:c r="AB222" s="23" t="n">
        <x:v>623.5569661458333</x:v>
      </x:c>
      <x:c r="AC222" s="23" t="n">
        <x:v>628.9335123697916</x:v>
      </x:c>
      <x:c r="AD222" s="23" t="n">
        <x:v>614.2776692708333</x:v>
      </x:c>
      <x:c r="AE222" s="23" t="n">
        <x:v>615.6078694661458</x:v>
      </x:c>
      <x:c r="AF222" s="23" t="n">
        <x:v>606.3592891004041</x:v>
      </x:c>
      <x:c r="AG222" s="23" t="n">
        <x:v>615.2311621581166</x:v>
      </x:c>
      <x:c r="AH222" s="23" t="n">
        <x:v>619.8545328776041</x:v>
      </x:c>
      <x:c r="AI222" s="23" t="n">
        <x:v>1419.7640893118835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109.19035586371827</x:v>
      </x:c>
      <x:c r="BS222" s="23" t="n">
        <x:v>0</x:v>
      </x:c>
      <x:c r="BT222" s="23" t="n">
        <x:v>418.799130714177</x:v>
      </x:c>
      <x:c r="BU222" s="23" t="n">
        <x:v>353.15808712477485</x:v>
      </x:c>
      <x:c r="BV222" s="23" t="n">
        <x:v>365.0144919190085</x:v>
      </x:c>
      <x:c r="BW222" s="23" t="n">
        <x:v>0</x:v>
      </x:c>
      <x:c r="BX222" s="23" t="n">
        <x:v>387.42466759885826</x:v>
      </x:c>
      <x:c r="BY222" s="23" t="n">
        <x:v>411.85049919274115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123.55813291829936</x:v>
      </x:c>
      <x:c r="CN222" s="23" t="n">
        <x:v>127.17722785065719</x:v>
      </x:c>
      <x:c r="CO222" s="23" t="n">
        <x:v>174.6054805665996</x:v>
      </x:c>
      <x:c r="CP222" s="23" t="n">
        <x:v>219.43591578401325</x:v>
      </x:c>
      <x:c r="CQ222" s="23" t="n">
        <x:v>269.53136457637476</x:v>
      </x:c>
      <x:c r="CR222" s="23" t="n">
        <x:v>334.8986972751372</x:v>
      </x:c>
      <x:c r="CS222" s="23" t="n">
        <x:v>397.93437579161974</x:v>
      </x:c>
      <x:c r="CT222" s="23" t="n">
        <x:v>432.204555401613</x:v>
      </x:c>
      <x:c r="CU222" s="23" t="n">
        <x:v>484.21358450716673</x:v>
      </x:c>
      <x:c r="CV222" s="23" t="n">
        <x:v>559.8090530771292</x:v>
      </x:c>
      <x:c r="CW222" s="23" t="n">
        <x:v>618.5402659850997</x:v>
      </x:c>
      <x:c r="CX222" s="23" t="n">
        <x:v>670.6728732723554</x:v>
      </x:c>
      <x:c r="CY222" s="23" t="n">
        <x:v>717.4353326718043</x:v>
      </x:c>
      <x:c r="CZ222" s="23" t="n">
        <x:v>783.6359748147675</x:v>
      </x:c>
      <x:c r="DA222" s="23" t="n">
        <x:v>831.177492749106</x:v>
      </x:c>
      <x:c r="DB222" s="23" t="n">
        <x:v>876.6739786450901</x:v>
      </x:c>
      <x:c r="DC222" s="23" t="n">
        <x:v>986.4153722862613</x:v>
      </x:c>
      <x:c r="DD222" s="23" t="n">
        <x:v>902.1992531089264</x:v>
      </x:c>
      <x:c r="DE222" s="23" t="n">
        <x:v>770.1697494503793</x:v>
      </x:c>
      <x:c r="DF222" s="23" t="n">
        <x:v>799.3905100413386</x:v>
      </x:c>
      <x:c r="DG222" s="23" t="n">
        <x:v>819.7401079457475</x:v>
      </x:c>
      <x:c r="DH222" s="23" t="n">
        <x:v>826.6943359375</x:v>
      </x:c>
      <x:c r="DI222" s="23" t="n">
        <x:v>822.9926334829379</x:v>
      </x:c>
      <x:c r="DJ222" s="23" t="n">
        <x:v>824.2257690008764</x:v>
      </x:c>
      <x:c r="DK222" s="23" t="n">
        <x:v>381.3745433491067</x:v>
      </x:c>
      <x:c r="DL222" s="23" t="n">
        <x:v>13.6510896891106</x:v>
      </x:c>
      <x:c r="DM222" s="23" t="n">
        <x:v>3.243500334177194</x:v>
      </x:c>
      <x:c r="DN222" s="23" t="n">
        <x:v>9.577662434895956</x:v>
      </x:c>
      <x:c r="DO222" s="23" t="n">
        <x:v>0</x:v>
      </x:c>
      <x:c r="DP222" s="23" t="n">
        <x:v>5.511064036458265</x:v>
      </x:c>
      <x:c r="DQ222" s="23" t="n">
        <x:v>0</x:v>
      </x:c>
      <x:c r="DR222" s="23" t="n">
        <x:v>17.406426614583324</x:v>
      </x:c>
      <x:c r="DS222" s="23" t="n">
        <x:v>6.223425130208398</x:v>
      </x:c>
      <x:c r="DT222" s="23" t="n">
        <x:v>0</x:v>
      </x:c>
      <x:c r="DU222" s="23" t="n">
        <x:v>4.664342213541659</x:v>
      </x:c>
      <x:c r="DV222" s="23" t="n">
        <x:v>822.9143613802084</x:v>
      </x:c>
      <x:c r="DW222" s="23" t="n">
        <x:v>838.293734503601</x:v>
      </x:c>
      <x:c r="DX222" s="23" t="n">
        <x:v>833.5220540364583</x:v>
      </x:c>
      <x:c r="DY222" s="23" t="n">
        <x:v>824.609375</x:v>
      </x:c>
      <x:c r="DZ222" s="23" t="n">
        <x:v>806.7806803385416</x:v>
      </x:c>
      <x:c r="EA222" s="23" t="n">
        <x:v>839.2630180338542</x:v>
      </x:c>
      <x:c r="EB222" s="23" t="n">
        <x:v>784.44727953125</x:v>
      </x:c>
      <x:c r="EC222" s="23" t="n">
        <x:v>955.0746439364711</x:v>
      </x:c>
      <x:c r="ED222" s="23" t="n">
        <x:v>1474.574503580729</x:v>
      </x:c>
      <x:c r="EE222" s="23" t="n">
        <x:v>636.265869140625</x:v>
      </x:c>
      <x:c r="EF222" s="23" t="n">
        <x:v>1455.6675618489583</x:v>
      </x:c>
      <x:c r="EG222" s="23" t="n">
        <x:v>1468.7921956380208</x:v>
      </x:c>
      <x:c r="EH222" s="23" t="n">
        <x:v>1464.564737955729</x:v>
      </x:c>
      <x:c r="EI222" s="23" t="n">
        <x:v>1456.226114908854</x:v>
      </x:c>
      <x:c r="EJ222" s="23" t="n">
        <x:v>1456.1651204427083</x:v>
      </x:c>
      <x:c r="EK222" s="23" t="n">
        <x:v>622.5461832682291</x:v>
      </x:c>
      <x:c r="EL222" s="23" t="n">
        <x:v>630.7657877604166</x:v>
      </x:c>
      <x:c r="EM222" s="23" t="n">
        <x:v>633.0892740885416</x:v>
      </x:c>
      <x:c r="EN222" s="23" t="n">
        <x:v>619.1703694661458</x:v>
      </x:c>
      <x:c r="EO222" s="23" t="n">
        <x:v>624.4037272135416</x:v>
      </x:c>
      <x:c r="EP222" s="23" t="n">
        <x:f>SUM(B222:EO222)</x:f>
        <x:v>61035.99239529026</x:v>
      </x:c>
      <x:c r="EQ222" s="23" t="n">
        <x:f>SUMPRODUCT(B222:EO222,{0.4592,0.416,0.4204,0.4197,0.4312,0.4359,0.3926,0.3885,0.4343,0.4569,0.4795,0.4771,0.3998,0.3831,0.4305,0.4192,0.4316,0.4689,0.4431,0.4442,0.4805,0.4625,0.421,0.418,0.4757,0.4661,0.402,0.4208,0.4478,0.4273,0.3935,0.4367,0.4847,0.4135,0.573,0.9107,0.9897,0.9247,0.8657,0.8373,0.8002,0.7586,0.764,0.8213,0.8168,0.6702,0.828,1.1872,1.1747,1.0582,1.0338,1.0224,0.9983,0.9567,0.9104,0.9176,0.9306,0.8458,0.7995,0.8275,0.8293,0.8057,0.788,0.7758,0.6382,0.4475,0.4226,0.4353,0.4303,0.4713,0.4521,0.361,0.3025,0.2911,0.2815,0.2568,0.4426,0.7306,0.7632,0.755,0.819,0.852,0.8787,0.9092,0.9154,0.9156,0.9558,1.0295,0.8796,0.6307,0.6805,0.7535,0.74,0.801,0.8316,0.8275,0.8941,0.9019,0.8665,0.9404,1.0065,1.0089,1.0097,1.0191,1.0414,1.0947,1.2113,1.3344,1.3604,1.3669,1.377,1.3377,1.2931,1.2851,1.3134,1.3235,1.3164,1.3314,1.2915,1.2397,1.3049,1.3632,1.368,1.3602,1.1781,0.9395,0.9533,0.9776,0.9492,1.0007,0.793,0.4456,0.4478,0.4689,0.3948,0.4482,0.4929,0.4816,0.5009,0.4512,0.3706,0.4131,0.4554,0.4428})</x:f>
        <x:v>39547.276828167865</x:v>
      </x:c>
    </x:row>
    <x:row r="223" ht="14" customHeight="1">
      <x:c r="A223" s="3">
        <x:v>45910</x:v>
      </x:c>
      <x:c r="B223" s="23" t="n">
        <x:v>625.9901123046875</x:v>
      </x:c>
      <x:c r="C223" s="23" t="n">
        <x:v>649.8520100911458</x:v>
      </x:c>
      <x:c r="D223" s="23" t="n">
        <x:v>638.5069986979166</x:v>
      </x:c>
      <x:c r="E223" s="23" t="n">
        <x:v>612.1387125651041</x:v>
      </x:c>
      <x:c r="F223" s="23" t="n">
        <x:v>610.0345865885416</x:v>
      </x:c>
      <x:c r="G223" s="23" t="n">
        <x:v>609.0685628255208</x:v>
      </x:c>
      <x:c r="H223" s="23" t="n">
        <x:v>613.3857014973958</x:v>
      </x:c>
      <x:c r="I223" s="23" t="n">
        <x:v>610.463623046875</x:v>
      </x:c>
      <x:c r="J223" s="23" t="n">
        <x:v>608.2473551432291</x:v>
      </x:c>
      <x:c r="K223" s="23" t="n">
        <x:v>603.6306559244791</x:v>
      </x:c>
      <x:c r="L223" s="23" t="n">
        <x:v>1437.1114095052083</x:v>
      </x:c>
      <x:c r="M223" s="23" t="n">
        <x:v>1437.0951334635415</x:v>
      </x:c>
      <x:c r="N223" s="23" t="n">
        <x:v>609.5154622395833</x:v>
      </x:c>
      <x:c r="O223" s="23" t="n">
        <x:v>611.7727864583333</x:v>
      </x:c>
      <x:c r="P223" s="23" t="n">
        <x:v>1446.052734375</x:v>
      </x:c>
      <x:c r="Q223" s="23" t="n">
        <x:v>611.8573404947916</x:v>
      </x:c>
      <x:c r="R223" s="23" t="n">
        <x:v>611.2062174479166</x:v>
      </x:c>
      <x:c r="S223" s="23" t="n">
        <x:v>612.9656982421875</x:v>
      </x:c>
      <x:c r="T223" s="23" t="n">
        <x:v>612.8682047526041</x:v>
      </x:c>
      <x:c r="U223" s="23" t="n">
        <x:v>609.3862711588541</x:v>
      </x:c>
      <x:c r="V223" s="23" t="n">
        <x:v>671.5390855884341</x:v>
      </x:c>
      <x:c r="W223" s="23" t="n">
        <x:v>606.4798177083333</x:v>
      </x:c>
      <x:c r="X223" s="23" t="n">
        <x:v>1440.6583658854165</x:v>
      </x:c>
      <x:c r="Y223" s="23" t="n">
        <x:v>1443.7914632161458</x:v>
      </x:c>
      <x:c r="Z223" s="23" t="n">
        <x:v>612.5743815104166</x:v>
      </x:c>
      <x:c r="AA223" s="23" t="n">
        <x:v>610.5235595703125</x:v>
      </x:c>
      <x:c r="AB223" s="23" t="n">
        <x:v>611.6989339192708</x:v>
      </x:c>
      <x:c r="AC223" s="23" t="n">
        <x:v>618.7826741536458</x:v>
      </x:c>
      <x:c r="AD223" s="23" t="n">
        <x:v>611.8683268229166</x:v>
      </x:c>
      <x:c r="AE223" s="23" t="n">
        <x:v>613.0231526692708</x:v>
      </x:c>
      <x:c r="AF223" s="23" t="n">
        <x:v>614.4301906453246</x:v>
      </x:c>
      <x:c r="AG223" s="23" t="n">
        <x:v>613.6767047027249</x:v>
      </x:c>
      <x:c r="AH223" s="23" t="n">
        <x:v>0</x:v>
      </x:c>
      <x:c r="AI223" s="23" t="n">
        <x:v>599.280012180968</x:v>
      </x:c>
      <x:c r="AJ223" s="23" t="n">
        <x:v>0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0</x:v>
      </x:c>
      <x:c r="BV223" s="23" t="n">
        <x:v>267.09321902812735</x:v>
      </x:c>
      <x:c r="BW223" s="23" t="n">
        <x:v>347.26288895941616</x:v>
      </x:c>
      <x:c r="BX223" s="23" t="n">
        <x:v>0</x:v>
      </x:c>
      <x:c r="BY223" s="23" t="n">
        <x:v>372.68751078919524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74.30346831131206</x:v>
      </x:c>
      <x:c r="CN223" s="23" t="n">
        <x:v>178.44587120066788</x:v>
      </x:c>
      <x:c r="CO223" s="23" t="n">
        <x:v>168.15935540036585</x:v>
      </x:c>
      <x:c r="CP223" s="23" t="n">
        <x:v>223.0561776713942</x:v>
      </x:c>
      <x:c r="CQ223" s="23" t="n">
        <x:v>282.4988937245008</x:v>
      </x:c>
      <x:c r="CR223" s="23" t="n">
        <x:v>346.43295762880854</x:v>
      </x:c>
      <x:c r="CS223" s="23" t="n">
        <x:v>391.41984626650446</x:v>
      </x:c>
      <x:c r="CT223" s="23" t="n">
        <x:v>451.5431003675435</x:v>
      </x:c>
      <x:c r="CU223" s="23" t="n">
        <x:v>507.160582994128</x:v>
      </x:c>
      <x:c r="CV223" s="23" t="n">
        <x:v>562.8230357742184</x:v>
      </x:c>
      <x:c r="CW223" s="23" t="n">
        <x:v>620.7355926631529</x:v>
      </x:c>
      <x:c r="CX223" s="23" t="n">
        <x:v>672.5297325161773</x:v>
      </x:c>
      <x:c r="CY223" s="23" t="n">
        <x:v>713.2324111455134</x:v>
      </x:c>
      <x:c r="CZ223" s="23" t="n">
        <x:v>758.9130315576564</x:v>
      </x:c>
      <x:c r="DA223" s="23" t="n">
        <x:v>807.2623621766609</x:v>
      </x:c>
      <x:c r="DB223" s="23" t="n">
        <x:v>873.8251824750047</x:v>
      </x:c>
      <x:c r="DC223" s="23" t="n">
        <x:v>973.6107148692238</x:v>
      </x:c>
      <x:c r="DD223" s="23" t="n">
        <x:v>901.2902630249448</x:v>
      </x:c>
      <x:c r="DE223" s="23" t="n">
        <x:v>764.4257456021115</x:v>
      </x:c>
      <x:c r="DF223" s="23" t="n">
        <x:v>804.2772941341879</x:v>
      </x:c>
      <x:c r="DG223" s="23" t="n">
        <x:v>843.0056244495147</x:v>
      </x:c>
      <x:c r="DH223" s="23" t="n">
        <x:v>827.6983235677083</x:v>
      </x:c>
      <x:c r="DI223" s="23" t="n">
        <x:v>823.1353014405746</x:v>
      </x:c>
      <x:c r="DJ223" s="23" t="n">
        <x:v>829.7341283974125</x:v>
      </x:c>
      <x:c r="DK223" s="23" t="n">
        <x:v>359.7673759532762</x:v>
      </x:c>
      <x:c r="DL223" s="23" t="n">
        <x:v>4.714891772443934</x:v>
      </x:c>
      <x:c r="DM223" s="23" t="n">
        <x:v>0.6267197352188607</x:v>
      </x:c>
      <x:c r="DN223" s="23" t="n">
        <x:v>11.653590169270956</x:v>
      </x:c>
      <x:c r="DO223" s="23" t="n">
        <x:v>0</x:v>
      </x:c>
      <x:c r="DP223" s="23" t="n">
        <x:v>0</x:v>
      </x:c>
      <x:c r="DQ223" s="23" t="n">
        <x:v>0</x:v>
      </x:c>
      <x:c r="DR223" s="23" t="n">
        <x:v>25.356133645833324</x:v>
      </x:c>
      <x:c r="DS223" s="23" t="n">
        <x:v>29.0316335416666</x:v>
      </x:c>
      <x:c r="DT223" s="23" t="n">
        <x:v>0</x:v>
      </x:c>
      <x:c r="DU223" s="23" t="n">
        <x:v>0</x:v>
      </x:c>
      <x:c r="DV223" s="23" t="n">
        <x:v>839.758762421875</x:v>
      </x:c>
      <x:c r="DW223" s="23" t="n">
        <x:v>832.8729988265177</x:v>
      </x:c>
      <x:c r="DX223" s="23" t="n">
        <x:v>833.0674641927083</x:v>
      </x:c>
      <x:c r="DY223" s="23" t="n">
        <x:v>821.144287109375</x:v>
      </x:c>
      <x:c r="DZ223" s="23" t="n">
        <x:v>819.6888020833333</x:v>
      </x:c>
      <x:c r="EA223" s="23" t="n">
        <x:v>815.3867973307292</x:v>
      </x:c>
      <x:c r="EB223" s="23" t="n">
        <x:v>775.1151669010419</x:v>
      </x:c>
      <x:c r="EC223" s="23" t="n">
        <x:v>1460.6328125</x:v>
      </x:c>
      <x:c r="ED223" s="23" t="n">
        <x:v>1469.3717447916665</x:v>
      </x:c>
      <x:c r="EE223" s="23" t="n">
        <x:v>976.4335713453249</x:v>
      </x:c>
      <x:c r="EF223" s="23" t="n">
        <x:v>1452.4295654296875</x:v>
      </x:c>
      <x:c r="EG223" s="23" t="n">
        <x:v>1454.1923014322915</x:v>
      </x:c>
      <x:c r="EH223" s="23" t="n">
        <x:v>647.1754964192708</x:v>
      </x:c>
      <x:c r="EI223" s="23" t="n">
        <x:v>659.1723225911458</x:v>
      </x:c>
      <x:c r="EJ223" s="23" t="n">
        <x:v>646.771728515625</x:v>
      </x:c>
      <x:c r="EK223" s="23" t="n">
        <x:v>1455.41357421875</x:v>
      </x:c>
      <x:c r="EL223" s="23" t="n">
        <x:v>616.49853515625</x:v>
      </x:c>
      <x:c r="EM223" s="23" t="n">
        <x:v>1444.96337890625</x:v>
      </x:c>
      <x:c r="EN223" s="23" t="n">
        <x:v>614.2970784505208</x:v>
      </x:c>
      <x:c r="EO223" s="23" t="n">
        <x:v>624.6658121744791</x:v>
      </x:c>
      <x:c r="EP223" s="23" t="n">
        <x:f>SUM(B223:EO223)</x:f>
        <x:v>59526.24140714668</x:v>
      </x:c>
      <x:c r="EQ223" s="23" t="n">
        <x:f>SUMPRODUCT(B223:EO223,{0.4366,0.4073,0.3985,0.4895,0.521,0.4646,0.4467,0.4493,0.4595,0.4897,0.4843,0.4448,0.4309,0.4361,0.4269,0.3861,0.3952,0.4565,0.487,0.478,0.446,0.4163,0.4235,0.45,0.449,0.471,0.5042,0.4784,0.4355,0.4182,0.4281,0.4186,0.3718,0.3604,0.6356,1.0052,0.9882,0.8876,0.8784,0.8478,0.8462,0.8592,0.807,0.7767,0.7448,0.6442,0.8247,1.1761,1.2107,1.1832,1.2034,1.1188,1.067,1.0757,1.0378,1.0429,1.0714,0.9998,0.9275,0.9143,0.9213,0.9072,0.8697,0.8223,0.696,0.541,0.4937,0.4806,0.4591,0.4566,0.4405,0.4168,0.4253,0.4254,0.4194,0.4732,0.6451,0.8542,0.9353,0.9317,0.9149,0.9235,0.9656,1.006,0.993,0.9533,0.9559,1.0194,0.8902,0.6602,0.688,0.7575,0.7526,0.7754,0.8041,0.8206,0.8435,0.891,0.9358,0.9361,0.9651,1.0132,1.0074,1.0608,1.1401,1.1089,1.185,1.3483,1.3451,1.2929,1.295,1.3316,1.339,1.3073,1.2889,1.3283,1.3717,1.3211,1.2821,1.302,1.3239,1.3159,1.3188,1.3708,1.252,1.025,0.9844,0.9735,0.967,1.0566,0.8355,0.4322,0.4106,0.4409,0.3758,0.4101,0.4611,0.4726,0.4758,0.4523,0.4196,0.4214,0.4097,0.4086})</x:f>
        <x:v>39314.22117948175</x:v>
      </x:c>
    </x:row>
    <x:row r="224" ht="14" customHeight="1">
      <x:c r="A224" s="3">
        <x:v>45911</x:v>
      </x:c>
      <x:c r="B224" s="23" t="n">
        <x:v>609.5274251302083</x:v>
      </x:c>
      <x:c r="C224" s="23" t="n">
        <x:v>1438.1115315755208</x:v>
      </x:c>
      <x:c r="D224" s="23" t="n">
        <x:v>1446.3240559895833</x:v>
      </x:c>
      <x:c r="E224" s="23" t="n">
        <x:v>618.4366861979166</x:v>
      </x:c>
      <x:c r="F224" s="23" t="n">
        <x:v>611.6942952473958</x:v>
      </x:c>
      <x:c r="G224" s="23" t="n">
        <x:v>1453.9855143229165</x:v>
      </x:c>
      <x:c r="H224" s="23" t="n">
        <x:v>622.7893880208333</x:v>
      </x:c>
      <x:c r="I224" s="23" t="n">
        <x:v>614.900146484375</x:v>
      </x:c>
      <x:c r="J224" s="23" t="n">
        <x:v>1445.4315592447915</x:v>
      </x:c>
      <x:c r="K224" s="23" t="n">
        <x:v>610.8275146484375</x:v>
      </x:c>
      <x:c r="L224" s="23" t="n">
        <x:v>610.7236328125</x:v>
      </x:c>
      <x:c r="M224" s="23" t="n">
        <x:v>1443.9246826171875</x:v>
      </x:c>
      <x:c r="N224" s="23" t="n">
        <x:v>601.53076171875</x:v>
      </x:c>
      <x:c r="O224" s="23" t="n">
        <x:v>609.3178304036458</x:v>
      </x:c>
      <x:c r="P224" s="23" t="n">
        <x:v>614.197265625</x:v>
      </x:c>
      <x:c r="Q224" s="23" t="n">
        <x:v>612.7942301432291</x:v>
      </x:c>
      <x:c r="R224" s="23" t="n">
        <x:v>611.1219482421875</x:v>
      </x:c>
      <x:c r="S224" s="23" t="n">
        <x:v>611.2087809244791</x:v>
      </x:c>
      <x:c r="T224" s="23" t="n">
        <x:v>612.4788411458333</x:v>
      </x:c>
      <x:c r="U224" s="23" t="n">
        <x:v>611.9424235026041</x:v>
      </x:c>
      <x:c r="V224" s="23" t="n">
        <x:v>611.5806477864583</x:v>
      </x:c>
      <x:c r="W224" s="23" t="n">
        <x:v>610.8561604817708</x:v>
      </x:c>
      <x:c r="X224" s="23" t="n">
        <x:v>609.2438557942708</x:v>
      </x:c>
      <x:c r="Y224" s="23" t="n">
        <x:v>610.3638916015625</x:v>
      </x:c>
      <x:c r="Z224" s="23" t="n">
        <x:v>604.6103515625</x:v>
      </x:c>
      <x:c r="AA224" s="23" t="n">
        <x:v>610.8273518880208</x:v>
      </x:c>
      <x:c r="AB224" s="23" t="n">
        <x:v>611.9513753255208</x:v>
      </x:c>
      <x:c r="AC224" s="23" t="n">
        <x:v>610.7548828125</x:v>
      </x:c>
      <x:c r="AD224" s="23" t="n">
        <x:v>1434.723185221354</x:v>
      </x:c>
      <x:c r="AE224" s="23" t="n">
        <x:v>603.613525390625</x:v>
      </x:c>
      <x:c r="AF224" s="23" t="n">
        <x:v>612.025279523205</x:v>
      </x:c>
      <x:c r="AG224" s="23" t="n">
        <x:v>616.3828614911895</x:v>
      </x:c>
      <x:c r="AH224" s="23" t="n">
        <x:v>610.1447347005208</x:v>
      </x:c>
      <x:c r="AI224" s="23" t="n">
        <x:v>746.6220242400414</x:v>
      </x:c>
      <x:c r="AJ224" s="23" t="n">
        <x:v>0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418.5706323101952</x:v>
      </x:c>
      <x:c r="BT224" s="23" t="n">
        <x:v>413.39424646462794</x:v>
      </x:c>
      <x:c r="BU224" s="23" t="n">
        <x:v>359.95579557800767</x:v>
      </x:c>
      <x:c r="BV224" s="23" t="n">
        <x:v>0</x:v>
      </x:c>
      <x:c r="BW224" s="23" t="n">
        <x:v>0</x:v>
      </x:c>
      <x:c r="BX224" s="23" t="n">
        <x:v>0</x:v>
      </x:c>
      <x:c r="BY224" s="23" t="n">
        <x:v>398.5861003373881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221.78122226337078</x:v>
      </x:c>
      <x:c r="CN224" s="23" t="n">
        <x:v>150.13066101504532</x:v>
      </x:c>
      <x:c r="CO224" s="23" t="n">
        <x:v>200.66529191785105</x:v>
      </x:c>
      <x:c r="CP224" s="23" t="n">
        <x:v>233.72616586317147</x:v>
      </x:c>
      <x:c r="CQ224" s="23" t="n">
        <x:v>281.071719739527</x:v>
      </x:c>
      <x:c r="CR224" s="23" t="n">
        <x:v>339.5907074666546</x:v>
      </x:c>
      <x:c r="CS224" s="23" t="n">
        <x:v>405.5223110059943</x:v>
      </x:c>
      <x:c r="CT224" s="23" t="n">
        <x:v>454.68676185670745</x:v>
      </x:c>
      <x:c r="CU224" s="23" t="n">
        <x:v>512.5516221164686</x:v>
      </x:c>
      <x:c r="CV224" s="23" t="n">
        <x:v>561.66213099094</x:v>
      </x:c>
      <x:c r="CW224" s="23" t="n">
        <x:v>611.0478655881409</x:v>
      </x:c>
      <x:c r="CX224" s="23" t="n">
        <x:v>662.7343008489718</x:v>
      </x:c>
      <x:c r="CY224" s="23" t="n">
        <x:v>702.7521292038809</x:v>
      </x:c>
      <x:c r="CZ224" s="23" t="n">
        <x:v>767.0481904507852</x:v>
      </x:c>
      <x:c r="DA224" s="23" t="n">
        <x:v>819.3644426173971</x:v>
      </x:c>
      <x:c r="DB224" s="23" t="n">
        <x:v>870.4487051308024</x:v>
      </x:c>
      <x:c r="DC224" s="23" t="n">
        <x:v>954.9630244093187</x:v>
      </x:c>
      <x:c r="DD224" s="23" t="n">
        <x:v>895.8930028919572</x:v>
      </x:c>
      <x:c r="DE224" s="23" t="n">
        <x:v>772.6507851117545</x:v>
      </x:c>
      <x:c r="DF224" s="23" t="n">
        <x:v>794.4598569384618</x:v>
      </x:c>
      <x:c r="DG224" s="23" t="n">
        <x:v>805.5619927863484</x:v>
      </x:c>
      <x:c r="DH224" s="23" t="n">
        <x:v>803.30322265625</x:v>
      </x:c>
      <x:c r="DI224" s="23" t="n">
        <x:v>818.7226485930238</x:v>
      </x:c>
      <x:c r="DJ224" s="23" t="n">
        <x:v>842.7153168327715</x:v>
      </x:c>
      <x:c r="DK224" s="23" t="n">
        <x:v>400.6619858187019</x:v>
      </x:c>
      <x:c r="DL224" s="23" t="n">
        <x:v>4.767951668277267</x:v>
      </x:c>
      <x:c r="DM224" s="23" t="n">
        <x:v>0</x:v>
      </x:c>
      <x:c r="DN224" s="23" t="n">
        <x:v>7.129908528645956</x:v>
      </x:c>
      <x:c r="DO224" s="23" t="n">
        <x:v>2.4893192968750855</x:v>
      </x:c>
      <x:c r="DP224" s="23" t="n">
        <x:v>12.765377187499931</x:v>
      </x:c>
      <x:c r="DQ224" s="23" t="n">
        <x:v>3.91836523437496</x:v>
      </x:c>
      <x:c r="DR224" s="23" t="n">
        <x:v>28.2174952604167</x:v>
      </x:c>
      <x:c r="DS224" s="23" t="n">
        <x:v>24.97545963541673</x:v>
      </x:c>
      <x:c r="DT224" s="23" t="n">
        <x:v>0</x:v>
      </x:c>
      <x:c r="DU224" s="23" t="n">
        <x:v>0.21243791666665857</x:v>
      </x:c>
      <x:c r="DV224" s="23" t="n">
        <x:v>822.6180002343751</x:v>
      </x:c>
      <x:c r="DW224" s="23" t="n">
        <x:v>835.0579916891718</x:v>
      </x:c>
      <x:c r="DX224" s="23" t="n">
        <x:v>822.0430641316229</x:v>
      </x:c>
      <x:c r="DY224" s="23" t="n">
        <x:v>811.7763671875</x:v>
      </x:c>
      <x:c r="DZ224" s="23" t="n">
        <x:v>801.9595540364583</x:v>
      </x:c>
      <x:c r="EA224" s="23" t="n">
        <x:v>850.7240397135416</x:v>
      </x:c>
      <x:c r="EB224" s="23" t="n">
        <x:v>772.0269333593751</x:v>
      </x:c>
      <x:c r="EC224" s="23" t="n">
        <x:v>641.6485188802083</x:v>
      </x:c>
      <x:c r="ED224" s="23" t="n">
        <x:v>1483.2867431640625</x:v>
      </x:c>
      <x:c r="EE224" s="23" t="n">
        <x:v>661.891845703125</x:v>
      </x:c>
      <x:c r="EF224" s="23" t="n">
        <x:v>1446.652872721354</x:v>
      </x:c>
      <x:c r="EG224" s="23" t="n">
        <x:v>1447.884765625</x:v>
      </x:c>
      <x:c r="EH224" s="23" t="n">
        <x:v>624.6534423828125</x:v>
      </x:c>
      <x:c r="EI224" s="23" t="n">
        <x:v>657.5320638020833</x:v>
      </x:c>
      <x:c r="EJ224" s="23" t="n">
        <x:v>980.6668582617988</x:v>
      </x:c>
      <x:c r="EK224" s="23" t="n">
        <x:v>1464.694091796875</x:v>
      </x:c>
      <x:c r="EL224" s="23" t="n">
        <x:v>627.7068277994791</x:v>
      </x:c>
      <x:c r="EM224" s="23" t="n">
        <x:v>635.5382893880208</x:v>
      </x:c>
      <x:c r="EN224" s="23" t="n">
        <x:v>1444.910400390625</x:v>
      </x:c>
      <x:c r="EO224" s="23" t="n">
        <x:v>1364.920166015625</x:v>
      </x:c>
      <x:c r="EP224" s="23" t="n">
        <x:f>SUM(B224:EO224)</x:f>
        <x:v>61671.86063163274</x:v>
      </x:c>
      <x:c r="EQ224" s="23" t="n">
        <x:f>SUMPRODUCT(B224:EO224,{0.4845,0.4967,0.4177,0.3662,0.3811,0.4335,0.4635,0.4665,0.4555,0.4452,0.4434,0.4423,0.4314,0.4439,0.4692,0.4612,0.4504,0.4471,0.4308,0.4178,0.4255,0.4536,0.4658,0.4402,0.398,0.4311,0.4835,0.4105,0.3662,0.399,0.4113,0.4461,0.479,0.4621,0.6509,0.9529,0.9869,0.9092,0.8668,0.855,0.8548,0.8272,0.749,0.7232,0.7231,0.6616,0.8366,1.1559,1.1949,1.1467,1.1511,1.1379,1.0486,0.954,0.9801,0.988,0.9451,0.9445,0.8951,0.8271,0.8714,0.8917,0.867,0.8794,0.7036,0.4286,0.4004,0.4303,0.4245,0.4663,0.4235,0.3124,0.301,0.346,0.3531,0.3017,0.4342,0.6796,0.7137,0.7094,0.7746,0.8325,0.8442,0.8356,0.8558,0.8401,0.8468,0.9741,0.8941,0.6562,0.6529,0.7138,0.7237,0.7522,0.8054,0.8433,0.8281,0.8363,0.8884,0.9339,0.9773,1,0.9746,0.9868,1.0358,1.0532,1.152,1.2981,1.324,1.3004,1.3037,1.3371,1.3385,1.3262,1.368,1.3545,1.2886,1.2904,1.3189,1.3357,1.3391,1.2996,1.2745,1.3271,1.1892,0.9474,0.9701,1.0107,0.9891,1.0337,0.8289,0.4809,0.4494,0.4797,0.4449,0.4738,0.476,0.4174,0.3794,0.4403,0.5137,0.4345,0.3637,0.3585})</x:f>
        <x:v>39604.485566023446</x:v>
      </x:c>
    </x:row>
    <x:row r="225" ht="14" customHeight="1">
      <x:c r="A225" s="3">
        <x:v>45912</x:v>
      </x:c>
      <x:c r="B225" s="23" t="n">
        <x:v>491.7896728515625</x:v>
      </x:c>
      <x:c r="C225" s="23" t="n">
        <x:v>492.5384114583333</x:v>
      </x:c>
      <x:c r="D225" s="23" t="n">
        <x:v>469.78519694010413</x:v>
      </x:c>
      <x:c r="E225" s="23" t="n">
        <x:v>479.812255859375</x:v>
      </x:c>
      <x:c r="F225" s="23" t="n">
        <x:v>495.86865234375</x:v>
      </x:c>
      <x:c r="G225" s="23" t="n">
        <x:v>499.1908772786458</x:v>
      </x:c>
      <x:c r="H225" s="23" t="n">
        <x:v>481.1188557942708</x:v>
      </x:c>
      <x:c r="I225" s="23" t="n">
        <x:v>468.7860107421875</x:v>
      </x:c>
      <x:c r="J225" s="23" t="n">
        <x:v>493.1983642578125</x:v>
      </x:c>
      <x:c r="K225" s="23" t="n">
        <x:v>489.2963460286458</x:v>
      </x:c>
      <x:c r="L225" s="23" t="n">
        <x:v>459.3098958333333</x:v>
      </x:c>
      <x:c r="M225" s="23" t="n">
        <x:v>458.51713053385413</x:v>
      </x:c>
      <x:c r="N225" s="23" t="n">
        <x:v>475.8445638020833</x:v>
      </x:c>
      <x:c r="O225" s="23" t="n">
        <x:v>475.23392740885413</x:v>
      </x:c>
      <x:c r="P225" s="23" t="n">
        <x:v>459.1531982421875</x:v>
      </x:c>
      <x:c r="Q225" s="23" t="n">
        <x:v>0</x:v>
      </x:c>
      <x:c r="R225" s="23" t="n">
        <x:v>0</x:v>
      </x:c>
      <x:c r="S225" s="23" t="n">
        <x:v>459.5020345052083</x:v>
      </x:c>
      <x:c r="T225" s="23" t="n">
        <x:v>161.47328787502843</x:v>
      </x:c>
      <x:c r="U225" s="23" t="n">
        <x:v>445.61271158854163</x:v>
      </x:c>
      <x:c r="V225" s="23" t="n">
        <x:v>452.0684814453125</x:v>
      </x:c>
      <x:c r="W225" s="23" t="n">
        <x:v>452.0684814453125</x:v>
      </x:c>
      <x:c r="X225" s="23" t="n">
        <x:v>460.7913818359375</x:v>
      </x:c>
      <x:c r="Y225" s="23" t="n">
        <x:v>0</x:v>
      </x:c>
      <x:c r="Z225" s="23" t="n">
        <x:v>490.8939208984375</x:v>
      </x:c>
      <x:c r="AA225" s="23" t="n">
        <x:v>467.4236653645833</x:v>
      </x:c>
      <x:c r="AB225" s="23" t="n">
        <x:v>458.5950520833333</x:v>
      </x:c>
      <x:c r="AC225" s="23" t="n">
        <x:v>0</x:v>
      </x:c>
      <x:c r="AD225" s="23" t="n">
        <x:v>467.1603597005208</x:v>
      </x:c>
      <x:c r="AE225" s="23" t="n">
        <x:v>443.95865885416663</x:v>
      </x:c>
      <x:c r="AF225" s="23" t="n">
        <x:v>444.8673669566525</x:v>
      </x:c>
      <x:c r="AG225" s="23" t="n">
        <x:v>448.88388856065563</x:v>
      </x:c>
      <x:c r="AH225" s="23" t="n">
        <x:v>460.1933186848958</x:v>
      </x:c>
      <x:c r="AI225" s="23" t="n">
        <x:v>435.09110562223566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11.005202804044377</x:v>
      </x:c>
      <x:c r="CU225" s="23" t="n">
        <x:v>64.79363789115041</x:v>
      </x:c>
      <x:c r="CV225" s="23" t="n">
        <x:v>121.64763842264809</x:v>
      </x:c>
      <x:c r="CW225" s="23" t="n">
        <x:v>164.58167709314745</x:v>
      </x:c>
      <x:c r="CX225" s="23" t="n">
        <x:v>210.05623476702522</x:v>
      </x:c>
      <x:c r="CY225" s="23" t="n">
        <x:v>255.55568933930832</x:v>
      </x:c>
      <x:c r="CZ225" s="23" t="n">
        <x:v>251.3116124038914</x:v>
      </x:c>
      <x:c r="DA225" s="23" t="n">
        <x:v>288.56821586206456</x:v>
      </x:c>
      <x:c r="DB225" s="23" t="n">
        <x:v>340.3080019612223</x:v>
      </x:c>
      <x:c r="DC225" s="23" t="n">
        <x:v>433.1900554340168</x:v>
      </x:c>
      <x:c r="DD225" s="23" t="n">
        <x:v>496.46742485178765</x:v>
      </x:c>
      <x:c r="DE225" s="23" t="n">
        <x:v>0</x:v>
      </x:c>
      <x:c r="DF225" s="23" t="n">
        <x:v>0</x:v>
      </x:c>
      <x:c r="DG225" s="23" t="n">
        <x:v>588.6498018169893</x:v>
      </x:c>
      <x:c r="DH225" s="23" t="n">
        <x:v>566.0498046875</x:v>
      </x:c>
      <x:c r="DI225" s="23" t="n">
        <x:v>564.4513390285264</x:v>
      </x:c>
      <x:c r="DJ225" s="23" t="n">
        <x:v>297.9857915205222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0</x:v>
      </x:c>
      <x:c r="DW225" s="23" t="n">
        <x:v>611.5915472808964</x:v>
      </x:c>
      <x:c r="DX225" s="23" t="n">
        <x:v>614.6043164826067</x:v>
      </x:c>
      <x:c r="DY225" s="23" t="n">
        <x:v>607.00439453125</x:v>
      </x:c>
      <x:c r="DZ225" s="23" t="n">
        <x:v>609.4739583333333</x:v>
      </x:c>
      <x:c r="EA225" s="23" t="n">
        <x:v>605.4558512369791</x:v>
      </x:c>
      <x:c r="EB225" s="23" t="n">
        <x:v>556.4287074479167</x:v>
      </x:c>
      <x:c r="EC225" s="23" t="n">
        <x:v>506.76346842447913</x:v>
      </x:c>
      <x:c r="ED225" s="23" t="n">
        <x:v>1348.9874267578125</x:v>
      </x:c>
      <x:c r="EE225" s="23" t="n">
        <x:v>525.9212646484375</x:v>
      </x:c>
      <x:c r="EF225" s="23" t="n">
        <x:v>509.216064453125</x:v>
      </x:c>
      <x:c r="EG225" s="23" t="n">
        <x:v>1328.851114908854</x:v>
      </x:c>
      <x:c r="EH225" s="23" t="n">
        <x:v>1330.6133626302083</x:v>
      </x:c>
      <x:c r="EI225" s="23" t="n">
        <x:v>1336.0419514973958</x:v>
      </x:c>
      <x:c r="EJ225" s="23" t="n">
        <x:v>831.4749230404448</x:v>
      </x:c>
      <x:c r="EK225" s="23" t="n">
        <x:v>1332.1110026041665</x:v>
      </x:c>
      <x:c r="EL225" s="23" t="n">
        <x:v>491.40714518229163</x:v>
      </x:c>
      <x:c r="EM225" s="23" t="n">
        <x:v>494.13541666666663</x:v>
      </x:c>
      <x:c r="EN225" s="23" t="n">
        <x:v>500.5331624348958</x:v>
      </x:c>
      <x:c r="EO225" s="23" t="n">
        <x:v>1337.49462890625</x:v>
      </x:c>
      <x:c r="EP225" s="23" t="n">
        <x:f>SUM(B225:EO225)</x:f>
        <x:v>33870.75891014768</x:v>
      </x:c>
      <x:c r="EQ225" s="23" t="n">
        <x:f>SUMPRODUCT(B225:EO225,{0.3276,0.3293,0.3668,0.3678,0.3375,0.3123,0.325,0.3537,0.358,0.3169,0.3021,0.3213,0.3205,0.3468,0.3906,0.3879,0.3838,0.3838,0.3452,0.301,0.282,0.292,0.3132,0.3329,0.3509,0.3765,0.3819,0.336,0.3458,0.3792,0.3093,0.3148,0.3627,0.2801,0.4657,0.7921,0.713,0.6696,0.7701,0.6786,0.6176,0.6609,0.6434,0.619,0.5997,0.5573,0.6866,0.8912,0.8586,0.7919,0.7711,0.6868,0.6826,0.7476,0.7203,0.7106,0.7236,0.6498,0.6144,0.6424,0.6291,0.5947,0.5996,0.6436,0.477,0.2084,0.2046,0.1938,0.112,0.1684,0.1904,0.144,0.1761,0.2075,0.1715,0.1189,0.2694,0.5265,0.5638,0.5552,0.5958,0.5958,0.5589,0.5323,0.559,0.5944,0.6272,0.6659,0.5835,0.4401,0.4369,0.4626,0.4685,0.5203,0.569,0.5845,0.5852,0.5887,0.6236,0.6977,0.6925,0.624,0.6301,0.6742,0.6943,0.7028,0.9109,1.1933,1.1938,1.1623,1.1988,1.1548,1.1094,1.1161,1.1476,1.1935,1.219,1.1814,1.1227,1.095,1.1177,1.1311,1.1519,1.2133,1.0497,0.7937,0.8581,0.8977,0.8354,0.8976,0.6976,0.3259,0.3072,0.3749,0.3701,0.3986,0.3859,0.3535,0.4095,0.4341,0.3738,0.2984,0.2702,0.3058})</x:f>
        <x:v>16127.41222070178</x:v>
      </x:c>
    </x:row>
    <x:row r="226" ht="14" customHeight="1">
      <x:c r="A226" s="3">
        <x:v>45913</x:v>
      </x:c>
      <x:c r="B226" s="23" t="n">
        <x:v>477.94901529947913</x:v>
      </x:c>
      <x:c r="C226" s="23" t="n">
        <x:v>472.30021158854163</x:v>
      </x:c>
      <x:c r="D226" s="23" t="n">
        <x:v>479.70263671875</x:v>
      </x:c>
      <x:c r="E226" s="23" t="n">
        <x:v>476.2703857421875</x:v>
      </x:c>
      <x:c r="F226" s="23" t="n">
        <x:v>482.00431315104163</x:v>
      </x:c>
      <x:c r="G226" s="23" t="n">
        <x:v>482.4807942708333</x:v>
      </x:c>
      <x:c r="H226" s="23" t="n">
        <x:v>474.3065999348958</x:v>
      </x:c>
      <x:c r="I226" s="23" t="n">
        <x:v>459.0706380208333</x:v>
      </x:c>
      <x:c r="J226" s="23" t="n">
        <x:v>467.83500162760413</x:v>
      </x:c>
      <x:c r="K226" s="23" t="n">
        <x:v>0</x:v>
      </x:c>
      <x:c r="L226" s="23" t="n">
        <x:v>0</x:v>
      </x:c>
      <x:c r="M226" s="23" t="n">
        <x:v>468.45707194010413</x:v>
      </x:c>
      <x:c r="N226" s="23" t="n">
        <x:v>465.82425944010413</x:v>
      </x:c>
      <x:c r="O226" s="23" t="n">
        <x:v>473.03165690104163</x:v>
      </x:c>
      <x:c r="P226" s="23" t="n">
        <x:v>480.66605631510413</x:v>
      </x:c>
      <x:c r="Q226" s="23" t="n">
        <x:v>464.7216796875</x:v>
      </x:c>
      <x:c r="R226" s="23" t="n">
        <x:v>0</x:v>
      </x:c>
      <x:c r="S226" s="23" t="n">
        <x:v>454.59525553385413</x:v>
      </x:c>
      <x:c r="T226" s="23" t="n">
        <x:v>454.2396240234375</x:v>
      </x:c>
      <x:c r="U226" s="23" t="n">
        <x:v>452.0291748046875</x:v>
      </x:c>
      <x:c r="V226" s="23" t="n">
        <x:v>0</x:v>
      </x:c>
      <x:c r="W226" s="23" t="n">
        <x:v>439.27490234375</x:v>
      </x:c>
      <x:c r="X226" s="23" t="n">
        <x:v>442.05631510416663</x:v>
      </x:c>
      <x:c r="Y226" s="23" t="n">
        <x:v>461.5844319661458</x:v>
      </x:c>
      <x:c r="Z226" s="23" t="n">
        <x:v>467.3068440755208</x:v>
      </x:c>
      <x:c r="AA226" s="23" t="n">
        <x:v>468.2427978515625</x:v>
      </x:c>
      <x:c r="AB226" s="23" t="n">
        <x:v>13.98661143721559</x:v>
      </x:c>
      <x:c r="AC226" s="23" t="n">
        <x:v>468.8000081380208</x:v>
      </x:c>
      <x:c r="AD226" s="23" t="n">
        <x:v>462.0206298828125</x:v>
      </x:c>
      <x:c r="AE226" s="23" t="n">
        <x:v>461.4843343098958</x:v>
      </x:c>
      <x:c r="AF226" s="23" t="n">
        <x:v>462.3922119140625</x:v>
      </x:c>
      <x:c r="AG226" s="23" t="n">
        <x:v>0</x:v>
      </x:c>
      <x:c r="AH226" s="23" t="n">
        <x:v>0</x:v>
      </x:c>
      <x:c r="AI226" s="23" t="n">
        <x:v>440.4778874816359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20.920759306264998</x:v>
      </x:c>
      <x:c r="CU226" s="23" t="n">
        <x:v>75.16122635983325</x:v>
      </x:c>
      <x:c r="CV226" s="23" t="n">
        <x:v>152.60042528922426</x:v>
      </x:c>
      <x:c r="CW226" s="23" t="n">
        <x:v>188.0938818065115</x:v>
      </x:c>
      <x:c r="CX226" s="23" t="n">
        <x:v>195.01642733638587</x:v>
      </x:c>
      <x:c r="CY226" s="23" t="n">
        <x:v>208.24945902427226</x:v>
      </x:c>
      <x:c r="CZ226" s="23" t="n">
        <x:v>217.28653526207086</x:v>
      </x:c>
      <x:c r="DA226" s="23" t="n">
        <x:v>299.8838659901211</x:v>
      </x:c>
      <x:c r="DB226" s="23" t="n">
        <x:v>374.51861938748164</x:v>
      </x:c>
      <x:c r="DC226" s="23" t="n">
        <x:v>410.4407411753639</x:v>
      </x:c>
      <x:c r="DD226" s="23" t="n">
        <x:v>436.5202174282491</x:v>
      </x:c>
      <x:c r="DE226" s="23" t="n">
        <x:v>502.1819511814943</x:v>
      </x:c>
      <x:c r="DF226" s="23" t="n">
        <x:v>0</x:v>
      </x:c>
      <x:c r="DG226" s="23" t="n">
        <x:v>0</x:v>
      </x:c>
      <x:c r="DH226" s="23" t="n">
        <x:v>0</x:v>
      </x:c>
      <x:c r="DI226" s="23" t="n">
        <x:v>532.0102094278286</x:v>
      </x:c>
      <x:c r="DJ226" s="23" t="n">
        <x:v>320.42124554018557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0</x:v>
      </x:c>
      <x:c r="DW226" s="23" t="n">
        <x:v>565.2119954427083</x:v>
      </x:c>
      <x:c r="DX226" s="23" t="n">
        <x:v>598.5537245209617</x:v>
      </x:c>
      <x:c r="DY226" s="23" t="n">
        <x:v>589.4608968098958</x:v>
      </x:c>
      <x:c r="DZ226" s="23" t="n">
        <x:v>586.230712890625</x:v>
      </x:c>
      <x:c r="EA226" s="23" t="n">
        <x:v>586.9837239583333</x:v>
      </x:c>
      <x:c r="EB226" s="23" t="n">
        <x:v>549.1204756510417</x:v>
      </x:c>
      <x:c r="EC226" s="23" t="n">
        <x:v>726.260074066037</x:v>
      </x:c>
      <x:c r="ED226" s="23" t="n">
        <x:v>1309.0992431640625</x:v>
      </x:c>
      <x:c r="EE226" s="23" t="n">
        <x:v>1317.2830403645833</x:v>
      </x:c>
      <x:c r="EF226" s="23" t="n">
        <x:v>1313.06689453125</x:v>
      </x:c>
      <x:c r="EG226" s="23" t="n">
        <x:v>1314.4225667317708</x:v>
      </x:c>
      <x:c r="EH226" s="23" t="n">
        <x:v>1324.4742024739583</x:v>
      </x:c>
      <x:c r="EI226" s="23" t="n">
        <x:v>1321.755859375</x:v>
      </x:c>
      <x:c r="EJ226" s="23" t="n">
        <x:v>1309.699015299479</x:v>
      </x:c>
      <x:c r="EK226" s="23" t="n">
        <x:v>486.57157389322913</x:v>
      </x:c>
      <x:c r="EL226" s="23" t="n">
        <x:v>485.22086588541663</x:v>
      </x:c>
      <x:c r="EM226" s="23" t="n">
        <x:v>472.3960774739583</x:v>
      </x:c>
      <x:c r="EN226" s="23" t="n">
        <x:v>543.8179931640625</x:v>
      </x:c>
      <x:c r="EO226" s="23" t="n">
        <x:v>0</x:v>
      </x:c>
      <x:c r="EP226" s="23" t="n">
        <x:f>SUM(B226:EO226)</x:f>
        <x:v>31906.04584971645</x:v>
      </x:c>
      <x:c r="EQ226" s="23" t="n">
        <x:f>SUMPRODUCT(B226:EO226,{0.3676,0.3731,0.3263,0.3097,0.3252,0.3367,0.3177,0.3433,0.3779,0.3123,0.284,0.3254,0.3353,0.3484,0.363,0.3374,0.3534,0.3997,0.3791,0.3467,0.3381,0.3321,0.3215,0.325,0.3645,0.3869,0.3818,0.387,0.3884,0.379,0.3681,0.3469,0.3027,0.2711,0.46,0.7339,0.7256,0.6765,0.6974,0.6626,0.6467,0.6653,0.6486,0.6284,0.5794,0.4805,0.6412,0.9268,0.8737,0.7964,0.8199,0.7575,0.7254,0.7393,0.6798,0.6079,0.5802,0.5954,0.6255,0.6147,0.5292,0.5036,0.5527,0.5348,0.3418,0.1071,0.0904,0.1366,0.1183,0.0589,0.0436,0.0606,0.0376,0.0983,0.1787,0.1113,0.2457,0.5318,0.5515,0.5259,0.5803,0.6022,0.5754,0.5601,0.6219,0.6562,0.6744,0.7542,0.626,0.3851,0.4173,0.4679,0.4365,0.4891,0.5826,0.6423,0.6383,0.6247,0.6439,0.6903,0.6969,0.6876,0.7435,0.7561,0.6887,0.6529,0.8574,1.1515,1.158,1.1139,1.1562,1.1833,1.169,1.1443,1.1498,1.1306,1.114,1.1814,1.2079,1.162,1.1359,1.1342,1.1814,1.2673,1.0912,0.7816,0.7884,0.8507,0.8396,0.8553,0.6735,0.3876,0.3484,0.3393,0.2964,0.3697,0.38,0.3126,0.3346,0.3473,0.3098,0.299,0.3507,0.4278})</x:f>
        <x:v>14679.005167842746</x:v>
      </x:c>
    </x:row>
    <x:row r="227" ht="14" customHeight="1">
      <x:c r="A227" s="3">
        <x:v>45914</x:v>
      </x:c>
      <x:c r="B227" s="23" t="n">
        <x:v>632.3297932942708</x:v>
      </x:c>
      <x:c r="C227" s="23" t="n">
        <x:v>614.9414876302083</x:v>
      </x:c>
      <x:c r="D227" s="23" t="n">
        <x:v>1437.7589518229165</x:v>
      </x:c>
      <x:c r="E227" s="23" t="n">
        <x:v>576.3726806640625</x:v>
      </x:c>
      <x:c r="F227" s="23" t="n">
        <x:v>594.2815348307291</x:v>
      </x:c>
      <x:c r="G227" s="23" t="n">
        <x:v>630.9862060546875</x:v>
      </x:c>
      <x:c r="H227" s="23" t="n">
        <x:v>1460.201416015625</x:v>
      </x:c>
      <x:c r="I227" s="23" t="n">
        <x:v>609.0279134114583</x:v>
      </x:c>
      <x:c r="J227" s="23" t="n">
        <x:v>603.3209635416666</x:v>
      </x:c>
      <x:c r="K227" s="23" t="n">
        <x:v>606.4508463541666</x:v>
      </x:c>
      <x:c r="L227" s="23" t="n">
        <x:v>623.3390706380208</x:v>
      </x:c>
      <x:c r="M227" s="23" t="n">
        <x:v>999.4870615448069</x:v>
      </x:c>
      <x:c r="N227" s="23" t="n">
        <x:v>606.6374104817708</x:v>
      </x:c>
      <x:c r="O227" s="23" t="n">
        <x:v>593.0810546875</x:v>
      </x:c>
      <x:c r="P227" s="23" t="n">
        <x:v>608.37353515625</x:v>
      </x:c>
      <x:c r="Q227" s="23" t="n">
        <x:v>602.6073404947916</x:v>
      </x:c>
      <x:c r="R227" s="23" t="n">
        <x:v>589.365234375</x:v>
      </x:c>
      <x:c r="S227" s="23" t="n">
        <x:v>582.2684733072916</x:v>
      </x:c>
      <x:c r="T227" s="23" t="n">
        <x:v>603.0012613932291</x:v>
      </x:c>
      <x:c r="U227" s="23" t="n">
        <x:v>624.3404134114583</x:v>
      </x:c>
      <x:c r="V227" s="23" t="n">
        <x:v>604.6673583984375</x:v>
      </x:c>
      <x:c r="W227" s="23" t="n">
        <x:v>1454.196533203125</x:v>
      </x:c>
      <x:c r="X227" s="23" t="n">
        <x:v>625.2506917317708</x:v>
      </x:c>
      <x:c r="Y227" s="23" t="n">
        <x:v>599.1438802083333</x:v>
      </x:c>
      <x:c r="Z227" s="23" t="n">
        <x:v>621.6746826171875</x:v>
      </x:c>
      <x:c r="AA227" s="23" t="n">
        <x:v>630.7273356119791</x:v>
      </x:c>
      <x:c r="AB227" s="23" t="n">
        <x:v>636.3598225911458</x:v>
      </x:c>
      <x:c r="AC227" s="23" t="n">
        <x:v>622.5079752604166</x:v>
      </x:c>
      <x:c r="AD227" s="23" t="n">
        <x:v>1437.8988037109375</x:v>
      </x:c>
      <x:c r="AE227" s="23" t="n">
        <x:v>615.5885009765625</x:v>
      </x:c>
      <x:c r="AF227" s="23" t="n">
        <x:v>627.1148681640625</x:v>
      </x:c>
      <x:c r="AG227" s="23" t="n">
        <x:v>616.3240980441007</x:v>
      </x:c>
      <x:c r="AH227" s="23" t="n">
        <x:v>613.3413899739583</x:v>
      </x:c>
      <x:c r="AI227" s="23" t="n">
        <x:v>1427.1388156775658</x:v>
      </x:c>
      <x:c r="AJ227" s="23" t="n">
        <x:v>0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124.88767367444711</x:v>
      </x:c>
      <x:c r="BQ227" s="23" t="n">
        <x:v>0</x:v>
      </x:c>
      <x:c r="BR227" s="23" t="n">
        <x:v>0</x:v>
      </x:c>
      <x:c r="BS227" s="23" t="n">
        <x:v>0</x:v>
      </x:c>
      <x:c r="BT227" s="23" t="n">
        <x:v>0</x:v>
      </x:c>
      <x:c r="BU227" s="23" t="n">
        <x:v>0</x:v>
      </x:c>
      <x:c r="BV227" s="23" t="n">
        <x:v>0</x:v>
      </x:c>
      <x:c r="BW227" s="23" t="n">
        <x:v>0</x:v>
      </x:c>
      <x:c r="BX227" s="23" t="n">
        <x:v>0</x:v>
      </x:c>
      <x:c r="BY227" s="23" t="n">
        <x:v>0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83.85047935721013</x:v>
      </x:c>
      <x:c r="CN227" s="23" t="n">
        <x:v>151.79044194558128</x:v>
      </x:c>
      <x:c r="CO227" s="23" t="n">
        <x:v>148.98080888055543</x:v>
      </x:c>
      <x:c r="CP227" s="23" t="n">
        <x:v>205.65426566146985</x:v>
      </x:c>
      <x:c r="CQ227" s="23" t="n">
        <x:v>257.78891276433524</x:v>
      </x:c>
      <x:c r="CR227" s="23" t="n">
        <x:v>353.943137663305</x:v>
      </x:c>
      <x:c r="CS227" s="23" t="n">
        <x:v>418.5480033798466</x:v>
      </x:c>
      <x:c r="CT227" s="23" t="n">
        <x:v>474.75280664481426</x:v>
      </x:c>
      <x:c r="CU227" s="23" t="n">
        <x:v>524.684461637798</x:v>
      </x:c>
      <x:c r="CV227" s="23" t="n">
        <x:v>581.5097848696787</x:v>
      </x:c>
      <x:c r="CW227" s="23" t="n">
        <x:v>632.0220423958137</x:v>
      </x:c>
      <x:c r="CX227" s="23" t="n">
        <x:v>678.3740292512033</x:v>
      </x:c>
      <x:c r="CY227" s="23" t="n">
        <x:v>715.4490273087786</x:v>
      </x:c>
      <x:c r="CZ227" s="23" t="n">
        <x:v>768.1076203912044</x:v>
      </x:c>
      <x:c r="DA227" s="23" t="n">
        <x:v>816.7075211059432</x:v>
      </x:c>
      <x:c r="DB227" s="23" t="n">
        <x:v>887.2652035012825</x:v>
      </x:c>
      <x:c r="DC227" s="23" t="n">
        <x:v>966.6325347870453</x:v>
      </x:c>
      <x:c r="DD227" s="23" t="n">
        <x:v>893.5135836372966</x:v>
      </x:c>
      <x:c r="DE227" s="23" t="n">
        <x:v>741.852549163513</x:v>
      </x:c>
      <x:c r="DF227" s="23" t="n">
        <x:v>761.3316227265447</x:v>
      </x:c>
      <x:c r="DG227" s="23" t="n">
        <x:v>777.8143588289504</x:v>
      </x:c>
      <x:c r="DH227" s="23" t="n">
        <x:v>755.974365234375</x:v>
      </x:c>
      <x:c r="DI227" s="23" t="n">
        <x:v>806.8368443799336</x:v>
      </x:c>
      <x:c r="DJ227" s="23" t="n">
        <x:v>824.9591471354166</x:v>
      </x:c>
      <x:c r="DK227" s="23" t="n">
        <x:v>283.63650162957424</x:v>
      </x:c>
      <x:c r="DL227" s="23" t="n">
        <x:v>0.7289731751131209</x:v>
      </x:c>
      <x:c r="DM227" s="23" t="n">
        <x:v>0</x:v>
      </x:c>
      <x:c r="DN227" s="23" t="n">
        <x:v>0</x:v>
      </x:c>
      <x:c r="DO227" s="23" t="n">
        <x:v>3.045834309895781</x:v>
      </x:c>
      <x:c r="DP227" s="23" t="n">
        <x:v>0</x:v>
      </x:c>
      <x:c r="DQ227" s="23" t="n">
        <x:v>0</x:v>
      </x:c>
      <x:c r="DR227" s="23" t="n">
        <x:v>0</x:v>
      </x:c>
      <x:c r="DS227" s="23" t="n">
        <x:v>0</x:v>
      </x:c>
      <x:c r="DT227" s="23" t="n">
        <x:v>1.1355924479166788</x:v>
      </x:c>
      <x:c r="DU227" s="23" t="n">
        <x:v>0</x:v>
      </x:c>
      <x:c r="DV227" s="23" t="n">
        <x:v>785.7551945312499</x:v>
      </x:c>
      <x:c r="DW227" s="23" t="n">
        <x:v>805.686279296875</x:v>
      </x:c>
      <x:c r="DX227" s="23" t="n">
        <x:v>844.3755745241767</x:v>
      </x:c>
      <x:c r="DY227" s="23" t="n">
        <x:v>824.615966796875</x:v>
      </x:c>
      <x:c r="DZ227" s="23" t="n">
        <x:v>807.3214518229166</x:v>
      </x:c>
      <x:c r="EA227" s="23" t="n">
        <x:v>825.8147786458333</x:v>
      </x:c>
      <x:c r="EB227" s="23" t="n">
        <x:v>726.3116695312501</x:v>
      </x:c>
      <x:c r="EC227" s="23" t="n">
        <x:v>1446.5609130859375</x:v>
      </x:c>
      <x:c r="ED227" s="23" t="n">
        <x:v>1458.185587565104</x:v>
      </x:c>
      <x:c r="EE227" s="23" t="n">
        <x:v>637.2115885416666</x:v>
      </x:c>
      <x:c r="EF227" s="23" t="n">
        <x:v>909.5741056817448</x:v>
      </x:c>
      <x:c r="EG227" s="23" t="n">
        <x:v>610.7796223958333</x:v>
      </x:c>
      <x:c r="EH227" s="23" t="n">
        <x:v>637.617431640625</x:v>
      </x:c>
      <x:c r="EI227" s="23" t="n">
        <x:v>1435.609171549479</x:v>
      </x:c>
      <x:c r="EJ227" s="23" t="n">
        <x:v>1446.5531819661458</x:v>
      </x:c>
      <x:c r="EK227" s="23" t="n">
        <x:v>628.602294921875</x:v>
      </x:c>
      <x:c r="EL227" s="23" t="n">
        <x:v>640.7608642578125</x:v>
      </x:c>
      <x:c r="EM227" s="23" t="n">
        <x:v>630.9111735026041</x:v>
      </x:c>
      <x:c r="EN227" s="23" t="n">
        <x:v>1451.7879231770833</x:v>
      </x:c>
      <x:c r="EO227" s="23" t="n">
        <x:v>1433.9737141927083</x:v>
      </x:c>
      <x:c r="EP227" s="23" t="n">
        <x:f>SUM(B227:EO227)</x:f>
        <x:v>58959.89402079612</x:v>
      </x:c>
      <x:c r="EQ227" s="23" t="n">
        <x:f>SUMPRODUCT(B227:EO227,{0.4516,0.4221,0.4034,0.4571,0.4681,0.4342,0.4597,0.4491,0.4146,0.4681,0.4909,0.4479,0.4257,0.4251,0.415,0.3785,0.3833,0.4413,0.4891,0.476,0.4428,0.4689,0.4472,0.3932,0.4316,0.4516,0.4367,0.4762,0.4673,0.4197,0.4516,0.4717,0.4213,0.3795,0.6091,0.9649,1.0069,0.9197,0.8676,0.8341,0.8039,0.7783,0.768,0.7647,0.7138,0.6145,0.8212,1.1977,1.2213,1.1308,1.123,1.1465,1.119,1.0615,1.0615,1.0424,0.984,0.9543,0.9763,1.0089,0.9824,0.9204,0.8812,0.8796,0.7264,0.4728,0.3874,0.4412,0.5143,0.5122,0.4894,0.4727,0.4455,0.4726,0.4884,0.3939,0.5384,0.8537,0.8911,0.797,0.7645,0.839,0.9105,0.9343,0.9551,0.9627,0.9777,1.0118,0.8782,0.6654,0.6747,0.7576,0.7785,0.7542,0.7934,0.8732,0.8693,0.8593,0.8938,0.9443,0.9855,1.0164,1.0502,1.065,1.0585,1.0698,1.186,1.3403,1.3642,1.3398,1.3196,1.2814,1.2796,1.3161,1.3305,1.305,1.2711,1.2819,1.3265,1.3713,1.3811,1.3413,1.31,1.344,1.2387,1.0238,0.9493,0.9516,0.9808,1.0167,0.7939,0.4466,0.4081,0.472,0.4715,0.445,0.4357,0.4419,0.4375,0.4664,0.4896,0.42,0.3774,0.4168})</x:f>
        <x:v>38480.52420672313</x:v>
      </x:c>
    </x:row>
    <x:row r="228" ht="14" customHeight="1">
      <x:c r="A228" s="3">
        <x:v>45915</x:v>
      </x:c>
      <x:c r="B228" s="23" t="n">
        <x:v>599.94921875</x:v>
      </x:c>
      <x:c r="C228" s="23" t="n">
        <x:v>599.0933430989583</x:v>
      </x:c>
      <x:c r="D228" s="23" t="n">
        <x:v>595.2339680989583</x:v>
      </x:c>
      <x:c r="E228" s="23" t="n">
        <x:v>587.5497639973958</x:v>
      </x:c>
      <x:c r="F228" s="23" t="n">
        <x:v>1420.4581298828125</x:v>
      </x:c>
      <x:c r="G228" s="23" t="n">
        <x:v>592.7644449869791</x:v>
      </x:c>
      <x:c r="H228" s="23" t="n">
        <x:v>603.5205891927083</x:v>
      </x:c>
      <x:c r="I228" s="23" t="n">
        <x:v>594.7437337239583</x:v>
      </x:c>
      <x:c r="J228" s="23" t="n">
        <x:v>587.6788736979166</x:v>
      </x:c>
      <x:c r="K228" s="23" t="n">
        <x:v>858.2817073350703</x:v>
      </x:c>
      <x:c r="L228" s="23" t="n">
        <x:v>588.0126546223958</x:v>
      </x:c>
      <x:c r="M228" s="23" t="n">
        <x:v>593.7730305989583</x:v>
      </x:c>
      <x:c r="N228" s="23" t="n">
        <x:v>590.5805257161458</x:v>
      </x:c>
      <x:c r="O228" s="23" t="n">
        <x:v>594.1118570963541</x:v>
      </x:c>
      <x:c r="P228" s="23" t="n">
        <x:v>597.0745442708333</x:v>
      </x:c>
      <x:c r="Q228" s="23" t="n">
        <x:v>593.2347412109375</x:v>
      </x:c>
      <x:c r="R228" s="23" t="n">
        <x:v>586.0603841145833</x:v>
      </x:c>
      <x:c r="S228" s="23" t="n">
        <x:v>594.3387044270833</x:v>
      </x:c>
      <x:c r="T228" s="23" t="n">
        <x:v>599.935546875</x:v>
      </x:c>
      <x:c r="U228" s="23" t="n">
        <x:v>601.5854085286458</x:v>
      </x:c>
      <x:c r="V228" s="23" t="n">
        <x:v>1436.758544921875</x:v>
      </x:c>
      <x:c r="W228" s="23" t="n">
        <x:v>1434.5169270833333</x:v>
      </x:c>
      <x:c r="X228" s="23" t="n">
        <x:v>603.83251953125</x:v>
      </x:c>
      <x:c r="Y228" s="23" t="n">
        <x:v>597.049072265625</x:v>
      </x:c>
      <x:c r="Z228" s="23" t="n">
        <x:v>600.7163899739583</x:v>
      </x:c>
      <x:c r="AA228" s="23" t="n">
        <x:v>607.535400390625</x:v>
      </x:c>
      <x:c r="AB228" s="23" t="n">
        <x:v>607.5755208333333</x:v>
      </x:c>
      <x:c r="AC228" s="23" t="n">
        <x:v>628.841064453125</x:v>
      </x:c>
      <x:c r="AD228" s="23" t="n">
        <x:v>616.4102783203125</x:v>
      </x:c>
      <x:c r="AE228" s="23" t="n">
        <x:v>1434.2882080078125</x:v>
      </x:c>
      <x:c r="AF228" s="23" t="n">
        <x:v>1445.889689127604</x:v>
      </x:c>
      <x:c r="AG228" s="23" t="n">
        <x:v>607.8805382080477</x:v>
      </x:c>
      <x:c r="AH228" s="23" t="n">
        <x:v>609.6704915364583</x:v>
      </x:c>
      <x:c r="AI228" s="23" t="n">
        <x:v>1424.1581645923352</x:v>
      </x:c>
      <x:c r="AJ228" s="23" t="n">
        <x:v>0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0</x:v>
      </x:c>
      <x:c r="AU228" s="23" t="n">
        <x:v>230.2421730507289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436.3208115477861</x:v>
      </x:c>
      <x:c r="BS228" s="23" t="n">
        <x:v>419.985242695161</x:v>
      </x:c>
      <x:c r="BT228" s="23" t="n">
        <x:v>0</x:v>
      </x:c>
      <x:c r="BU228" s="23" t="n">
        <x:v>0</x:v>
      </x:c>
      <x:c r="BV228" s="23" t="n">
        <x:v>0</x:v>
      </x:c>
      <x:c r="BW228" s="23" t="n">
        <x:v>107.6051246959508</x:v>
      </x:c>
      <x:c r="BX228" s="23" t="n">
        <x:v>0</x:v>
      </x:c>
      <x:c r="BY228" s="23" t="n">
        <x:v>393.5548172185387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91.67173885527609</x:v>
      </x:c>
      <x:c r="CN228" s="23" t="n">
        <x:v>161.89738038456363</x:v>
      </x:c>
      <x:c r="CO228" s="23" t="n">
        <x:v>175.0850741461354</x:v>
      </x:c>
      <x:c r="CP228" s="23" t="n">
        <x:v>243.37024622444488</x:v>
      </x:c>
      <x:c r="CQ228" s="23" t="n">
        <x:v>285.7726914586686</x:v>
      </x:c>
      <x:c r="CR228" s="23" t="n">
        <x:v>359.108676445731</x:v>
      </x:c>
      <x:c r="CS228" s="23" t="n">
        <x:v>426.51539867422525</x:v>
      </x:c>
      <x:c r="CT228" s="23" t="n">
        <x:v>472.0212494657352</x:v>
      </x:c>
      <x:c r="CU228" s="23" t="n">
        <x:v>523.0635809295349</x:v>
      </x:c>
      <x:c r="CV228" s="23" t="n">
        <x:v>587.7297574333556</x:v>
      </x:c>
      <x:c r="CW228" s="23" t="n">
        <x:v>648.0364632433905</x:v>
      </x:c>
      <x:c r="CX228" s="23" t="n">
        <x:v>702.1782111314462</x:v>
      </x:c>
      <x:c r="CY228" s="23" t="n">
        <x:v>734.0647493587664</x:v>
      </x:c>
      <x:c r="CZ228" s="23" t="n">
        <x:v>793.4631029959558</x:v>
      </x:c>
      <x:c r="DA228" s="23" t="n">
        <x:v>840.5359524782061</x:v>
      </x:c>
      <x:c r="DB228" s="23" t="n">
        <x:v>887.2371899849246</x:v>
      </x:c>
      <x:c r="DC228" s="23" t="n">
        <x:v>963.621613249408</x:v>
      </x:c>
      <x:c r="DD228" s="23" t="n">
        <x:v>902.5181488662226</x:v>
      </x:c>
      <x:c r="DE228" s="23" t="n">
        <x:v>746.2254239313772</x:v>
      </x:c>
      <x:c r="DF228" s="23" t="n">
        <x:v>0</x:v>
      </x:c>
      <x:c r="DG228" s="23" t="n">
        <x:v>102.47383534376559</x:v>
      </x:c>
      <x:c r="DH228" s="23" t="n">
        <x:v>814.7023111979166</x:v>
      </x:c>
      <x:c r="DI228" s="23" t="n">
        <x:v>799.5900035889026</x:v>
      </x:c>
      <x:c r="DJ228" s="23" t="n">
        <x:v>791.90966796875</x:v>
      </x:c>
      <x:c r="DK228" s="23" t="n">
        <x:v>789.618408203125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795.2124837239583</x:v>
      </x:c>
      <x:c r="DT228" s="23" t="n">
        <x:v>0</x:v>
      </x:c>
      <x:c r="DU228" s="23" t="n">
        <x:v>0</x:v>
      </x:c>
      <x:c r="DV228" s="23" t="n">
        <x:v>804.6410319010416</x:v>
      </x:c>
      <x:c r="DW228" s="23" t="n">
        <x:v>838.3593288564173</x:v>
      </x:c>
      <x:c r="DX228" s="23" t="n">
        <x:v>808.9990511831274</x:v>
      </x:c>
      <x:c r="DY228" s="23" t="n">
        <x:v>783.4608561197916</x:v>
      </x:c>
      <x:c r="DZ228" s="23" t="n">
        <x:v>787.0703125</x:v>
      </x:c>
      <x:c r="EA228" s="23" t="n">
        <x:v>802.5735677083333</x:v>
      </x:c>
      <x:c r="EB228" s="23" t="n">
        <x:v>738.4478317968751</x:v>
      </x:c>
      <x:c r="EC228" s="23" t="n">
        <x:v>629.1396891276041</x:v>
      </x:c>
      <x:c r="ED228" s="23" t="n">
        <x:v>963.9029015560698</x:v>
      </x:c>
      <x:c r="EE228" s="23" t="n">
        <x:v>641.754638671875</x:v>
      </x:c>
      <x:c r="EF228" s="23" t="n">
        <x:v>1436.3522542317708</x:v>
      </x:c>
      <x:c r="EG228" s="23" t="n">
        <x:v>1425.8366292317708</x:v>
      </x:c>
      <x:c r="EH228" s="23" t="n">
        <x:v>1428.2677001953125</x:v>
      </x:c>
      <x:c r="EI228" s="23" t="n">
        <x:v>1447.0125325520833</x:v>
      </x:c>
      <x:c r="EJ228" s="23" t="n">
        <x:v>624.6097005208333</x:v>
      </x:c>
      <x:c r="EK228" s="23" t="n">
        <x:v>614.1979166666666</x:v>
      </x:c>
      <x:c r="EL228" s="23" t="n">
        <x:v>1447.9241943359375</x:v>
      </x:c>
      <x:c r="EM228" s="23" t="n">
        <x:v>1426.3870442708333</x:v>
      </x:c>
      <x:c r="EN228" s="23" t="n">
        <x:v>601.2377522786458</x:v>
      </x:c>
      <x:c r="EO228" s="23" t="n">
        <x:v>628.9837646484375</x:v>
      </x:c>
      <x:c r="EP228" s="23" t="n">
        <x:f>SUM(B228:EO228)</x:f>
        <x:v>60737.59420631676</x:v>
      </x:c>
      <x:c r="EQ228" s="23" t="n">
        <x:f>SUMPRODUCT(B228:EO228,{0.4724,0.4671,0.4252,0.4368,0.4478,0.4413,0.4588,0.4796,0.4758,0.4451,0.4427,0.4642,0.4557,0.4572,0.4667,0.4405,0.4324,0.4508,0.4497,0.4441,0.4512,0.4663,0.4535,0.4167,0.3984,0.4039,0.437,0.4921,0.4945,0.4439,0.4199,0.4502,0.4632,0.4057,0.6169,0.9806,1.013,0.9658,0.9772,0.9249,0.8561,0.8091,0.7752,0.7745,0.7549,0.6804,0.8764,1.2123,1.1959,1.0686,1.0408,1.0882,1.1315,1.1045,1.0039,0.969,0.9835,0.9072,0.8586,0.8696,0.8509,0.8366,0.8224,0.7382,0.5443,0.3618,0.373,0.4024,0.3795,0.389,0.3595,0.3138,0.3572,0.384,0.3425,0.3178,0.4976,0.7582,0.7781,0.7764,0.8406,0.8374,0.8274,0.8597,0.913,0.9395,0.9561,1.0014,0.9278,0.7687,0.7247,0.7507,0.7672,0.7498,0.7758,0.8391,0.8548,0.8544,0.8739,0.9153,0.947,0.9544,0.9559,0.998,1.0595,1.0908,1.2134,1.361,1.3301,1.283,1.2985,1.304,1.3278,1.3666,1.3656,1.3044,1.2451,1.2818,1.3444,1.3607,1.3174,1.2795,1.3019,1.3583,1.2306,0.9968,0.9625,0.976,0.9768,1.019,0.8008,0.4377,0.3864,0.4402,0.4558,0.4927,0.4878,0.4418,0.4355,0.4815,0.5037,0.4194,0.3886,0.4564})</x:f>
        <x:v>39448.76814452923</x:v>
      </x:c>
    </x:row>
    <x:row r="229" ht="14" customHeight="1">
      <x:c r="A229" s="3">
        <x:v>45916</x:v>
      </x:c>
      <x:c r="B229" s="23" t="n">
        <x:v>620.5628255208333</x:v>
      </x:c>
      <x:c r="C229" s="23" t="n">
        <x:v>609.062744140625</x:v>
      </x:c>
      <x:c r="D229" s="23" t="n">
        <x:v>592.985595703125</x:v>
      </x:c>
      <x:c r="E229" s="23" t="n">
        <x:v>592.4176025390625</x:v>
      </x:c>
      <x:c r="F229" s="23" t="n">
        <x:v>599.5637613932291</x:v>
      </x:c>
      <x:c r="G229" s="23" t="n">
        <x:v>595.794189453125</x:v>
      </x:c>
      <x:c r="H229" s="23" t="n">
        <x:v>1407.1927490234375</x:v>
      </x:c>
      <x:c r="I229" s="23" t="n">
        <x:v>1412.8825276692708</x:v>
      </x:c>
      <x:c r="J229" s="23" t="n">
        <x:v>595.3268229166666</x:v>
      </x:c>
      <x:c r="K229" s="23" t="n">
        <x:v>598.5458577473958</x:v>
      </x:c>
      <x:c r="L229" s="23" t="n">
        <x:v>599.2988688151041</x:v>
      </x:c>
      <x:c r="M229" s="23" t="n">
        <x:v>598.8789469401041</x:v>
      </x:c>
      <x:c r="N229" s="23" t="n">
        <x:v>1428.0091959635415</x:v>
      </x:c>
      <x:c r="O229" s="23" t="n">
        <x:v>1432.5018717447915</x:v>
      </x:c>
      <x:c r="P229" s="23" t="n">
        <x:v>720.1462583938693</x:v>
      </x:c>
      <x:c r="Q229" s="23" t="n">
        <x:v>595.7310791015625</x:v>
      </x:c>
      <x:c r="R229" s="23" t="n">
        <x:v>594.7552083333333</x:v>
      </x:c>
      <x:c r="S229" s="23" t="n">
        <x:v>596.6551920572916</x:v>
      </x:c>
      <x:c r="T229" s="23" t="n">
        <x:v>592.5340983072916</x:v>
      </x:c>
      <x:c r="U229" s="23" t="n">
        <x:v>593.9876302083333</x:v>
      </x:c>
      <x:c r="V229" s="23" t="n">
        <x:v>598.7684326171875</x:v>
      </x:c>
      <x:c r="W229" s="23" t="n">
        <x:v>590.2080485026041</x:v>
      </x:c>
      <x:c r="X229" s="23" t="n">
        <x:v>591.7975260416666</x:v>
      </x:c>
      <x:c r="Y229" s="23" t="n">
        <x:v>600.9501953125</x:v>
      </x:c>
      <x:c r="Z229" s="23" t="n">
        <x:v>610.8001302083333</x:v>
      </x:c>
      <x:c r="AA229" s="23" t="n">
        <x:v>611.2888997395833</x:v>
      </x:c>
      <x:c r="AB229" s="23" t="n">
        <x:v>1435.7686360677083</x:v>
      </x:c>
      <x:c r="AC229" s="23" t="n">
        <x:v>607.9955647786458</x:v>
      </x:c>
      <x:c r="AD229" s="23" t="n">
        <x:v>606.9711100260416</x:v>
      </x:c>
      <x:c r="AE229" s="23" t="n">
        <x:v>600.7616780598958</x:v>
      </x:c>
      <x:c r="AF229" s="23" t="n">
        <x:v>1431.6614990234375</x:v>
      </x:c>
      <x:c r="AG229" s="23" t="n">
        <x:v>593.3812809913437</x:v>
      </x:c>
      <x:c r="AH229" s="23" t="n">
        <x:v>617.4432373046875</x:v>
      </x:c>
      <x:c r="AI229" s="23" t="n">
        <x:v>592.4280530568991</x:v>
      </x:c>
      <x:c r="AJ229" s="23" t="n">
        <x:v>145.92493326364342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0</x:v>
      </x:c>
      <x:c r="BQ229" s="23" t="n">
        <x:v>0</x:v>
      </x:c>
      <x:c r="BR229" s="23" t="n">
        <x:v>0</x:v>
      </x:c>
      <x:c r="BS229" s="23" t="n">
        <x:v>0</x:v>
      </x:c>
      <x:c r="BT229" s="23" t="n">
        <x:v>0</x:v>
      </x:c>
      <x:c r="BU229" s="23" t="n">
        <x:v>0</x:v>
      </x:c>
      <x:c r="BV229" s="23" t="n">
        <x:v>0</x:v>
      </x:c>
      <x:c r="BW229" s="23" t="n">
        <x:v>130.26512614564618</x:v>
      </x:c>
      <x:c r="BX229" s="23" t="n">
        <x:v>346.947935120684</x:v>
      </x:c>
      <x:c r="BY229" s="23" t="n">
        <x:v>385.89373168022695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44.975276885320454</x:v>
      </x:c>
      <x:c r="CM229" s="23" t="n">
        <x:v>102.2818133108376</x:v>
      </x:c>
      <x:c r="CN229" s="23" t="n">
        <x:v>142.97223679021073</x:v>
      </x:c>
      <x:c r="CO229" s="23" t="n">
        <x:v>190.14056762299725</x:v>
      </x:c>
      <x:c r="CP229" s="23" t="n">
        <x:v>244.41548819909954</x:v>
      </x:c>
      <x:c r="CQ229" s="23" t="n">
        <x:v>300.9875388198494</x:v>
      </x:c>
      <x:c r="CR229" s="23" t="n">
        <x:v>360.88444548421194</x:v>
      </x:c>
      <x:c r="CS229" s="23" t="n">
        <x:v>418.75090049286825</x:v>
      </x:c>
      <x:c r="CT229" s="23" t="n">
        <x:v>454.5723570514081</x:v>
      </x:c>
      <x:c r="CU229" s="23" t="n">
        <x:v>516.0929754863869</x:v>
      </x:c>
      <x:c r="CV229" s="23" t="n">
        <x:v>593.1218048392751</x:v>
      </x:c>
      <x:c r="CW229" s="23" t="n">
        <x:v>645.7390705995549</x:v>
      </x:c>
      <x:c r="CX229" s="23" t="n">
        <x:v>682.7915901752491</x:v>
      </x:c>
      <x:c r="CY229" s="23" t="n">
        <x:v>718.86089576772</x:v>
      </x:c>
      <x:c r="CZ229" s="23" t="n">
        <x:v>776.4608873675671</x:v>
      </x:c>
      <x:c r="DA229" s="23" t="n">
        <x:v>828.6156102411802</x:v>
      </x:c>
      <x:c r="DB229" s="23" t="n">
        <x:v>890.598185132789</x:v>
      </x:c>
      <x:c r="DC229" s="23" t="n">
        <x:v>970.2595729273299</x:v>
      </x:c>
      <x:c r="DD229" s="23" t="n">
        <x:v>914.9062418489993</x:v>
      </x:c>
      <x:c r="DE229" s="23" t="n">
        <x:v>0</x:v>
      </x:c>
      <x:c r="DF229" s="23" t="n">
        <x:v>0</x:v>
      </x:c>
      <x:c r="DG229" s="23" t="n">
        <x:v>803.1815845453472</x:v>
      </x:c>
      <x:c r="DH229" s="23" t="n">
        <x:v>794.4265950520833</x:v>
      </x:c>
      <x:c r="DI229" s="23" t="n">
        <x:v>793.2592584848904</x:v>
      </x:c>
      <x:c r="DJ229" s="23" t="n">
        <x:v>799.7125651041666</x:v>
      </x:c>
      <x:c r="DK229" s="23" t="n">
        <x:v>803.10791015625</x:v>
      </x:c>
      <x:c r="DL229" s="23" t="n">
        <x:v>0</x:v>
      </x:c>
      <x:c r="DM229" s="23" t="n">
        <x:v>0</x:v>
      </x:c>
      <x:c r="DN229" s="23" t="n">
        <x:v>0</x:v>
      </x:c>
      <x:c r="DO229" s="23" t="n">
        <x:v>0</x:v>
      </x:c>
      <x:c r="DP229" s="23" t="n">
        <x:v>152.48137209808328</x:v>
      </x:c>
      <x:c r="DQ229" s="23" t="n">
        <x:v>799.379638671875</x:v>
      </x:c>
      <x:c r="DR229" s="23" t="n">
        <x:v>0</x:v>
      </x:c>
      <x:c r="DS229" s="23" t="n">
        <x:v>0</x:v>
      </x:c>
      <x:c r="DT229" s="23" t="n">
        <x:v>0</x:v>
      </x:c>
      <x:c r="DU229" s="23" t="n">
        <x:v>0</x:v>
      </x:c>
      <x:c r="DV229" s="23" t="n">
        <x:v>795.589599609375</x:v>
      </x:c>
      <x:c r="DW229" s="23" t="n">
        <x:v>813.0271295814043</x:v>
      </x:c>
      <x:c r="DX229" s="23" t="n">
        <x:v>803.3202311197916</x:v>
      </x:c>
      <x:c r="DY229" s="23" t="n">
        <x:v>799.1621043193801</x:v>
      </x:c>
      <x:c r="DZ229" s="23" t="n">
        <x:v>782.0771051231352</x:v>
      </x:c>
      <x:c r="EA229" s="23" t="n">
        <x:v>800.0341796875</x:v>
      </x:c>
      <x:c r="EB229" s="23" t="n">
        <x:v>715.5170049739586</x:v>
      </x:c>
      <x:c r="EC229" s="23" t="n">
        <x:v>1437.1629638671875</x:v>
      </x:c>
      <x:c r="ED229" s="23" t="n">
        <x:v>1434.654825846354</x:v>
      </x:c>
      <x:c r="EE229" s="23" t="n">
        <x:v>622.428466796875</x:v>
      </x:c>
      <x:c r="EF229" s="23" t="n">
        <x:v>1437.4992268880208</x:v>
      </x:c>
      <x:c r="EG229" s="23" t="n">
        <x:v>935.8286014258613</x:v>
      </x:c>
      <x:c r="EH229" s="23" t="n">
        <x:v>620.3582763671875</x:v>
      </x:c>
      <x:c r="EI229" s="23" t="n">
        <x:v>1440.9410400390625</x:v>
      </x:c>
      <x:c r="EJ229" s="23" t="n">
        <x:v>609.2534993489583</x:v>
      </x:c>
      <x:c r="EK229" s="23" t="n">
        <x:v>607.9374186197916</x:v>
      </x:c>
      <x:c r="EL229" s="23" t="n">
        <x:v>1434.8958333333333</x:v>
      </x:c>
      <x:c r="EM229" s="23" t="n">
        <x:v>600.6125895182291</x:v>
      </x:c>
      <x:c r="EN229" s="23" t="n">
        <x:v>1428.1355794270833</x:v>
      </x:c>
      <x:c r="EO229" s="23" t="n">
        <x:v>593.2069905598958</x:v>
      </x:c>
      <x:c r="EP229" s="23" t="n">
        <x:f>SUM(B229:EO229)</x:f>
        <x:v>59930.708093520654</x:v>
      </x:c>
      <x:c r="EQ229" s="23" t="n">
        <x:f>SUMPRODUCT(B229:EO229,{0.5097,0.5116,0.4667,0.4065,0.3877,0.4064,0.4056,0.3825,0.3741,0.4163,0.4448,0.4326,0.4137,0.4162,0.4404,0.461,0.4537,0.4452,0.4756,0.4445,0.3782,0.4082,0.4405,0.4389,0.4575,0.4505,0.4374,0.4811,0.4603,0.4072,0.477,0.5218,0.4527,0.3778,0.6221,1.012,1.0241,0.9268,0.9155,0.9143,0.8761,0.8264,0.8241,0.8109,0.7524,0.7089,0.8871,1.1561,1.1574,1.1053,1.1084,1.0608,1.0071,0.9827,0.976,0.9831,0.9729,0.9145,0.8914,0.9098,0.8912,0.8456,0.8373,0.8851,0.723,0.4574,0.477,0.5364,0.497,0.4697,0.4799,0.4849,0.4354,0.4273,0.4537,0.4406,0.5886,0.8303,0.8731,0.8669,0.8883,0.8634,0.8652,0.9035,0.911,0.9163,0.9703,1.0575,0.9262,0.6846,0.7043,0.7503,0.7367,0.8127,0.8523,0.8366,0.8804,0.92,0.9152,0.9005,0.9281,0.9928,1.0407,1.0656,1.0681,1.0679,1.1769,1.3248,1.3204,1.302,1.3348,1.3458,1.342,1.3489,1.3713,1.3479,1.2973,1.3023,1.316,1.3178,1.3307,1.32,1.3141,1.3525,1.2229,0.993,0.9633,0.9991,1.0389,1.1088,0.8678,0.4674,0.4348,0.4709,0.4254,0.4529,0.4843,0.4709,0.4436,0.4301,0.4358,0.4482,0.4624,0.4693})</x:f>
        <x:v>39314.59161094564</x:v>
      </x:c>
    </x:row>
    <x:row r="230" ht="14" customHeight="1">
      <x:c r="A230" s="3">
        <x:v>45917</x:v>
      </x:c>
      <x:c r="B230" s="23" t="n">
        <x:v>622.0186360677083</x:v>
      </x:c>
      <x:c r="C230" s="23" t="n">
        <x:v>622.9541829427083</x:v>
      </x:c>
      <x:c r="D230" s="23" t="n">
        <x:v>1446.0434163411458</x:v>
      </x:c>
      <x:c r="E230" s="23" t="n">
        <x:v>601.0069986979166</x:v>
      </x:c>
      <x:c r="F230" s="23" t="n">
        <x:v>610.8163655598958</x:v>
      </x:c>
      <x:c r="G230" s="23" t="n">
        <x:v>619.3986002604166</x:v>
      </x:c>
      <x:c r="H230" s="23" t="n">
        <x:v>593.8369140625</x:v>
      </x:c>
      <x:c r="I230" s="23" t="n">
        <x:v>590.498779296875</x:v>
      </x:c>
      <x:c r="J230" s="23" t="n">
        <x:v>592.4313151041666</x:v>
      </x:c>
      <x:c r="K230" s="23" t="n">
        <x:v>600.6134440104166</x:v>
      </x:c>
      <x:c r="L230" s="23" t="n">
        <x:v>595.2745768229166</x:v>
      </x:c>
      <x:c r="M230" s="23" t="n">
        <x:v>1428.5909830729165</x:v>
      </x:c>
      <x:c r="N230" s="23" t="n">
        <x:v>598.7082112630208</x:v>
      </x:c>
      <x:c r="O230" s="23" t="n">
        <x:v>596.8580322265625</x:v>
      </x:c>
      <x:c r="P230" s="23" t="n">
        <x:v>1431.777099609375</x:v>
      </x:c>
      <x:c r="Q230" s="23" t="n">
        <x:v>1432.2942708333333</x:v>
      </x:c>
      <x:c r="R230" s="23" t="n">
        <x:v>1121.0966683368708</x:v>
      </x:c>
      <x:c r="S230" s="23" t="n">
        <x:v>600.37744140625</x:v>
      </x:c>
      <x:c r="T230" s="23" t="n">
        <x:v>605.0758870442708</x:v>
      </x:c>
      <x:c r="U230" s="23" t="n">
        <x:v>603.5616861979166</x:v>
      </x:c>
      <x:c r="V230" s="23" t="n">
        <x:v>595.1676025390625</x:v>
      </x:c>
      <x:c r="W230" s="23" t="n">
        <x:v>1426.8294677734375</x:v>
      </x:c>
      <x:c r="X230" s="23" t="n">
        <x:v>603.2063395182291</x:v>
      </x:c>
      <x:c r="Y230" s="23" t="n">
        <x:v>606.4074300130208</x:v>
      </x:c>
      <x:c r="Z230" s="23" t="n">
        <x:v>616.0706380208333</x:v>
      </x:c>
      <x:c r="AA230" s="23" t="n">
        <x:v>612.5128173828125</x:v>
      </x:c>
      <x:c r="AB230" s="23" t="n">
        <x:v>601.5</x:v>
      </x:c>
      <x:c r="AC230" s="23" t="n">
        <x:v>602.5893147786458</x:v>
      </x:c>
      <x:c r="AD230" s="23" t="n">
        <x:v>608.0509440104166</x:v>
      </x:c>
      <x:c r="AE230" s="23" t="n">
        <x:v>603.7231852213541</x:v>
      </x:c>
      <x:c r="AF230" s="23" t="n">
        <x:v>599.2540283203125</x:v>
      </x:c>
      <x:c r="AG230" s="23" t="n">
        <x:v>595.077258363019</x:v>
      </x:c>
      <x:c r="AH230" s="23" t="n">
        <x:v>602.5550130208333</x:v>
      </x:c>
      <x:c r="AI230" s="23" t="n">
        <x:v>1431.5548909505208</x:v>
      </x:c>
      <x:c r="AJ230" s="23" t="n">
        <x:v>130.58255552103984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0</x:v>
      </x:c>
      <x:c r="AU230" s="23" t="n">
        <x:v>0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0</x:v>
      </x:c>
      <x:c r="BQ230" s="23" t="n">
        <x:v>0</x:v>
      </x:c>
      <x:c r="BR230" s="23" t="n">
        <x:v>0</x:v>
      </x:c>
      <x:c r="BS230" s="23" t="n">
        <x:v>18.09493251617164</x:v>
      </x:c>
      <x:c r="BT230" s="23" t="n">
        <x:v>0</x:v>
      </x:c>
      <x:c r="BU230" s="23" t="n">
        <x:v>365.34653290680546</x:v>
      </x:c>
      <x:c r="BV230" s="23" t="n">
        <x:v>0</x:v>
      </x:c>
      <x:c r="BW230" s="23" t="n">
        <x:v>384.4882335203289</x:v>
      </x:c>
      <x:c r="BX230" s="23" t="n">
        <x:v>401.0570150467562</x:v>
      </x:c>
      <x:c r="BY230" s="23" t="n">
        <x:v>408.0618500762457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148.89126444711678</x:v>
      </x:c>
      <x:c r="CN230" s="23" t="n">
        <x:v>151.47605316297904</x:v>
      </x:c>
      <x:c r="CO230" s="23" t="n">
        <x:v>210.4131905384138</x:v>
      </x:c>
      <x:c r="CP230" s="23" t="n">
        <x:v>255.24685274046288</x:v>
      </x:c>
      <x:c r="CQ230" s="23" t="n">
        <x:v>297.00325776358943</x:v>
      </x:c>
      <x:c r="CR230" s="23" t="n">
        <x:v>353.0307095436839</x:v>
      </x:c>
      <x:c r="CS230" s="23" t="n">
        <x:v>406.2052437164664</x:v>
      </x:c>
      <x:c r="CT230" s="23" t="n">
        <x:v>466.05662331825926</x:v>
      </x:c>
      <x:c r="CU230" s="23" t="n">
        <x:v>518.299627886026</x:v>
      </x:c>
      <x:c r="CV230" s="23" t="n">
        <x:v>579.9982659085856</x:v>
      </x:c>
      <x:c r="CW230" s="23" t="n">
        <x:v>642.6493180043515</x:v>
      </x:c>
      <x:c r="CX230" s="23" t="n">
        <x:v>697.6967309184301</x:v>
      </x:c>
      <x:c r="CY230" s="23" t="n">
        <x:v>734.3256804007824</x:v>
      </x:c>
      <x:c r="CZ230" s="23" t="n">
        <x:v>791.9931642511843</x:v>
      </x:c>
      <x:c r="DA230" s="23" t="n">
        <x:v>851.6820253933726</x:v>
      </x:c>
      <x:c r="DB230" s="23" t="n">
        <x:v>899.4355074088177</x:v>
      </x:c>
      <x:c r="DC230" s="23" t="n">
        <x:v>975.8360581262401</x:v>
      </x:c>
      <x:c r="DD230" s="23" t="n">
        <x:v>902.7665674818181</x:v>
      </x:c>
      <x:c r="DE230" s="23" t="n">
        <x:v>0</x:v>
      </x:c>
      <x:c r="DF230" s="23" t="n">
        <x:v>0</x:v>
      </x:c>
      <x:c r="DG230" s="23" t="n">
        <x:v>779.3900553385416</x:v>
      </x:c>
      <x:c r="DH230" s="23" t="n">
        <x:v>768.3164876302083</x:v>
      </x:c>
      <x:c r="DI230" s="23" t="n">
        <x:v>814.8185003790841</x:v>
      </x:c>
      <x:c r="DJ230" s="23" t="n">
        <x:v>821.51025390625</x:v>
      </x:c>
      <x:c r="DK230" s="23" t="n">
        <x:v>161.14292161549898</x:v>
      </x:c>
      <x:c r="DL230" s="23" t="n">
        <x:v>0</x:v>
      </x:c>
      <x:c r="DM230" s="23" t="n">
        <x:v>6.2425523947422334</x:v>
      </x:c>
      <x:c r="DN230" s="23" t="n">
        <x:v>0</x:v>
      </x:c>
      <x:c r="DO230" s="23" t="n">
        <x:v>0</x:v>
      </x:c>
      <x:c r="DP230" s="23" t="n">
        <x:v>793.9063313802083</x:v>
      </x:c>
      <x:c r="DQ230" s="23" t="n">
        <x:v>791.769287109375</x:v>
      </x:c>
      <x:c r="DR230" s="23" t="n">
        <x:v>0</x:v>
      </x:c>
      <x:c r="DS230" s="23" t="n">
        <x:v>0</x:v>
      </x:c>
      <x:c r="DT230" s="23" t="n">
        <x:v>0</x:v>
      </x:c>
      <x:c r="DU230" s="23" t="n">
        <x:v>0</x:v>
      </x:c>
      <x:c r="DV230" s="23" t="n">
        <x:v>821.6094563802083</x:v>
      </x:c>
      <x:c r="DW230" s="23" t="n">
        <x:v>809.6690613586675</x:v>
      </x:c>
      <x:c r="DX230" s="23" t="n">
        <x:v>805.852294921875</x:v>
      </x:c>
      <x:c r="DY230" s="23" t="n">
        <x:v>804.036075416345</x:v>
      </x:c>
      <x:c r="DZ230" s="23" t="n">
        <x:v>786.263427734375</x:v>
      </x:c>
      <x:c r="EA230" s="23" t="n">
        <x:v>820.1336263020833</x:v>
      </x:c>
      <x:c r="EB230" s="23" t="n">
        <x:v>766.7376631770828</x:v>
      </x:c>
      <x:c r="EC230" s="23" t="n">
        <x:v>1448.0575764973958</x:v>
      </x:c>
      <x:c r="ED230" s="23" t="n">
        <x:v>1440.5955403645833</x:v>
      </x:c>
      <x:c r="EE230" s="23" t="n">
        <x:v>1458.5587565104165</x:v>
      </x:c>
      <x:c r="EF230" s="23" t="n">
        <x:v>1433.1830647786458</x:v>
      </x:c>
      <x:c r="EG230" s="23" t="n">
        <x:v>924.8417309670788</x:v>
      </x:c>
      <x:c r="EH230" s="23" t="n">
        <x:v>624.4337972005208</x:v>
      </x:c>
      <x:c r="EI230" s="23" t="n">
        <x:v>646.0040283203125</x:v>
      </x:c>
      <x:c r="EJ230" s="23" t="n">
        <x:v>626.3721516927083</x:v>
      </x:c>
      <x:c r="EK230" s="23" t="n">
        <x:v>605.8895670572916</x:v>
      </x:c>
      <x:c r="EL230" s="23" t="n">
        <x:v>599.8535563151041</x:v>
      </x:c>
      <x:c r="EM230" s="23" t="n">
        <x:v>601.8585205078125</x:v>
      </x:c>
      <x:c r="EN230" s="23" t="n">
        <x:v>1429.1249186197915</x:v>
      </x:c>
      <x:c r="EO230" s="23" t="n">
        <x:v>1448.6930745442708</x:v>
      </x:c>
      <x:c r="EP230" s="23" t="n">
        <x:f>SUM(B230:EO230)</x:f>
        <x:v>61447.23397808811</x:v>
      </x:c>
      <x:c r="EQ230" s="23" t="n">
        <x:f>SUMPRODUCT(B230:EO230,{0.4588,0.443,0.4237,0.4029,0.4406,0.4946,0.4595,0.4367,0.4462,0.4082,0.3795,0.4121,0.4903,0.4955,0.4391,0.4489,0.4958,0.5193,0.4937,0.4894,0.4832,0.4,0.4121,0.4917,0.4341,0.3738,0.3841,0.4015,0.4114,0.4198,0.4382,0.4701,0.4563,0.3796,0.6058,1.0013,1.0304,0.9202,0.8658,0.8386,0.8302,0.8193,0.7834,0.774,0.7542,0.6762,0.8541,1.1749,1.1887,1.1601,1.1867,1.1032,1.0823,1.1403,1.1027,1.0125,0.9614,0.9962,1.0204,1.0058,1.0021,0.96,0.9061,0.9008,0.7446,0.5019,0.4624,0.5034,0.5335,0.5648,0.4803,0.3613,0.4197,0.469,0.4001,0.3228,0.485,0.7734,0.8218,0.816,0.8837,0.9477,0.9215,0.8673,0.9253,0.9623,0.9645,1.0172,0.8633,0.6037,0.6323,0.7398,0.7652,0.7571,0.7839,0.848,0.8928,0.9004,0.9104,0.973,0.9972,0.9705,0.9753,1.0163,1.0532,1.0588,1.1492,1.2829,1.2942,1.2911,1.3228,1.3284,1.322,1.3199,1.3218,1.3336,1.3385,1.3086,1.2685,1.2743,1.3529,1.3545,1.3029,1.3364,1.2004,0.9687,0.9897,1.0113,0.9812,1.0579,0.8489,0.4578,0.4183,0.4503,0.4242,0.4946,0.5164,0.4561,0.4352,0.4387,0.4489,0.4703,0.4631,0.4233})</x:f>
        <x:v>39654.86096321434</x:v>
      </x:c>
    </x:row>
    <x:row r="231" ht="14" customHeight="1">
      <x:c r="A231" s="3">
        <x:v>45918</x:v>
      </x:c>
      <x:c r="B231" s="23" t="n">
        <x:v>603.0944010416666</x:v>
      </x:c>
      <x:c r="C231" s="23" t="n">
        <x:v>604.2156575520833</x:v>
      </x:c>
      <x:c r="D231" s="23" t="n">
        <x:v>1408.838623046875</x:v>
      </x:c>
      <x:c r="E231" s="23" t="n">
        <x:v>1417.8863118489583</x:v>
      </x:c>
      <x:c r="F231" s="23" t="n">
        <x:v>1423.4048665364583</x:v>
      </x:c>
      <x:c r="G231" s="23" t="n">
        <x:v>1423.9307454427083</x:v>
      </x:c>
      <x:c r="H231" s="23" t="n">
        <x:v>590.3470865885416</x:v>
      </x:c>
      <x:c r="I231" s="23" t="n">
        <x:v>593.8265787760416</x:v>
      </x:c>
      <x:c r="J231" s="23" t="n">
        <x:v>591.7721761067708</x:v>
      </x:c>
      <x:c r="K231" s="23" t="n">
        <x:v>581.241455078125</x:v>
      </x:c>
      <x:c r="L231" s="23" t="n">
        <x:v>589.8164469401041</x:v>
      </x:c>
      <x:c r="M231" s="23" t="n">
        <x:v>596.90576171875</x:v>
      </x:c>
      <x:c r="N231" s="23" t="n">
        <x:v>1041.4508927289103</x:v>
      </x:c>
      <x:c r="O231" s="23" t="n">
        <x:v>587.7516682942708</x:v>
      </x:c>
      <x:c r="P231" s="23" t="n">
        <x:v>599.7956136067708</x:v>
      </x:c>
      <x:c r="Q231" s="23" t="n">
        <x:v>601.5984293619791</x:v>
      </x:c>
      <x:c r="R231" s="23" t="n">
        <x:v>600.2574055989583</x:v>
      </x:c>
      <x:c r="S231" s="23" t="n">
        <x:v>597.7919514973958</x:v>
      </x:c>
      <x:c r="T231" s="23" t="n">
        <x:v>599.45166015625</x:v>
      </x:c>
      <x:c r="U231" s="23" t="n">
        <x:v>599.597412109375</x:v>
      </x:c>
      <x:c r="V231" s="23" t="n">
        <x:v>600.2012125651041</x:v>
      </x:c>
      <x:c r="W231" s="23" t="n">
        <x:v>598.7721761067708</x:v>
      </x:c>
      <x:c r="X231" s="23" t="n">
        <x:v>595.0270589192708</x:v>
      </x:c>
      <x:c r="Y231" s="23" t="n">
        <x:v>598.7884521484375</x:v>
      </x:c>
      <x:c r="Z231" s="23" t="n">
        <x:v>608.0844319661458</x:v>
      </x:c>
      <x:c r="AA231" s="23" t="n">
        <x:v>609.0669352213541</x:v>
      </x:c>
      <x:c r="AB231" s="23" t="n">
        <x:v>605.2594401041666</x:v>
      </x:c>
      <x:c r="AC231" s="23" t="n">
        <x:v>1434.1939697265625</x:v>
      </x:c>
      <x:c r="AD231" s="23" t="n">
        <x:v>1435.7545166015625</x:v>
      </x:c>
      <x:c r="AE231" s="23" t="n">
        <x:v>600.5541585286458</x:v>
      </x:c>
      <x:c r="AF231" s="23" t="n">
        <x:v>607.9495442708333</x:v>
      </x:c>
      <x:c r="AG231" s="23" t="n">
        <x:v>602.2441501981262</x:v>
      </x:c>
      <x:c r="AH231" s="23" t="n">
        <x:v>614.3898111979166</x:v>
      </x:c>
      <x:c r="AI231" s="23" t="n">
        <x:v>592.6072333217921</x:v>
      </x:c>
      <x:c r="AJ231" s="23" t="n">
        <x:v>405.0157405480525</x:v>
      </x:c>
      <x:c r="AK231" s="23" t="n">
        <x:v>6.9952919802705456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0</x:v>
      </x:c>
      <x:c r="AU231" s="23" t="n">
        <x:v>0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70.91355108113778</x:v>
      </x:c>
      <x:c r="BQ231" s="23" t="n">
        <x:v>0</x:v>
      </x:c>
      <x:c r="BR231" s="23" t="n">
        <x:v>0</x:v>
      </x:c>
      <x:c r="BS231" s="23" t="n">
        <x:v>0</x:v>
      </x:c>
      <x:c r="BT231" s="23" t="n">
        <x:v>0</x:v>
      </x:c>
      <x:c r="BU231" s="23" t="n">
        <x:v>354.76905246765455</x:v>
      </x:c>
      <x:c r="BV231" s="23" t="n">
        <x:v>340.55694415424114</x:v>
      </x:c>
      <x:c r="BW231" s="23" t="n">
        <x:v>366.9607516538059</x:v>
      </x:c>
      <x:c r="BX231" s="23" t="n">
        <x:v>376.35812559554836</x:v>
      </x:c>
      <x:c r="BY231" s="23" t="n">
        <x:v>373.68636956304545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137.15755364725345</x:v>
      </x:c>
      <x:c r="CN231" s="23" t="n">
        <x:v>139.1087560615568</x:v>
      </x:c>
      <x:c r="CO231" s="23" t="n">
        <x:v>183.64973204012585</x:v>
      </x:c>
      <x:c r="CP231" s="23" t="n">
        <x:v>241.5259490775834</x:v>
      </x:c>
      <x:c r="CQ231" s="23" t="n">
        <x:v>309.22826770733127</x:v>
      </x:c>
      <x:c r="CR231" s="23" t="n">
        <x:v>375.39339747043533</x:v>
      </x:c>
      <x:c r="CS231" s="23" t="n">
        <x:v>416.9823875316691</x:v>
      </x:c>
      <x:c r="CT231" s="23" t="n">
        <x:v>455.14199662136144</x:v>
      </x:c>
      <x:c r="CU231" s="23" t="n">
        <x:v>515.3055639251186</x:v>
      </x:c>
      <x:c r="CV231" s="23" t="n">
        <x:v>584.631752763663</x:v>
      </x:c>
      <x:c r="CW231" s="23" t="n">
        <x:v>638.7238664322687</x:v>
      </x:c>
      <x:c r="CX231" s="23" t="n">
        <x:v>691.4071076863715</x:v>
      </x:c>
      <x:c r="CY231" s="23" t="n">
        <x:v>737.2236039644014</x:v>
      </x:c>
      <x:c r="CZ231" s="23" t="n">
        <x:v>781.2093972554468</x:v>
      </x:c>
      <x:c r="DA231" s="23" t="n">
        <x:v>844.3582246929582</x:v>
      </x:c>
      <x:c r="DB231" s="23" t="n">
        <x:v>906.8977803693016</x:v>
      </x:c>
      <x:c r="DC231" s="23" t="n">
        <x:v>1004.0607140776057</x:v>
      </x:c>
      <x:c r="DD231" s="23" t="n">
        <x:v>888.6260110059729</x:v>
      </x:c>
      <x:c r="DE231" s="23" t="n">
        <x:v>748.4180307062697</x:v>
      </x:c>
      <x:c r="DF231" s="23" t="n">
        <x:v>156.5075563554429</x:v>
      </x:c>
      <x:c r="DG231" s="23" t="n">
        <x:v>802.3032342356591</x:v>
      </x:c>
      <x:c r="DH231" s="23" t="n">
        <x:v>780.2115071614583</x:v>
      </x:c>
      <x:c r="DI231" s="23" t="n">
        <x:v>0</x:v>
      </x:c>
      <x:c r="DJ231" s="23" t="n">
        <x:v>794.9728190104166</x:v>
      </x:c>
      <x:c r="DK231" s="23" t="n">
        <x:v>787.28955078125</x:v>
      </x:c>
      <x:c r="DL231" s="23" t="n">
        <x:v>0</x:v>
      </x:c>
      <x:c r="DM231" s="23" t="n">
        <x:v>0</x:v>
      </x:c>
      <x:c r="DN231" s="23" t="n">
        <x:v>796.1580403645833</x:v>
      </x:c>
      <x:c r="DO231" s="23" t="n">
        <x:v>0</x:v>
      </x:c>
      <x:c r="DP231" s="23" t="n">
        <x:v>0</x:v>
      </x:c>
      <x:c r="DQ231" s="23" t="n">
        <x:v>0</x:v>
      </x:c>
      <x:c r="DR231" s="23" t="n">
        <x:v>5.454067526041702</x:v>
      </x:c>
      <x:c r="DS231" s="23" t="n">
        <x:v>0</x:v>
      </x:c>
      <x:c r="DT231" s="23" t="n">
        <x:v>0</x:v>
      </x:c>
      <x:c r="DU231" s="23" t="n">
        <x:v>0</x:v>
      </x:c>
      <x:c r="DV231" s="23" t="n">
        <x:v>795.4049212760413</x:v>
      </x:c>
      <x:c r="DW231" s="23" t="n">
        <x:v>804.4243158195087</x:v>
      </x:c>
      <x:c r="DX231" s="23" t="n">
        <x:v>815.0890829314559</x:v>
      </x:c>
      <x:c r="DY231" s="23" t="n">
        <x:v>807.0035807291666</x:v>
      </x:c>
      <x:c r="DZ231" s="23" t="n">
        <x:v>791.3207194010416</x:v>
      </x:c>
      <x:c r="EA231" s="23" t="n">
        <x:v>837.7020670572916</x:v>
      </x:c>
      <x:c r="EB231" s="23" t="n">
        <x:v>732.6815018489583</x:v>
      </x:c>
      <x:c r="EC231" s="23" t="n">
        <x:v>607.3600260416666</x:v>
      </x:c>
      <x:c r="ED231" s="23" t="n">
        <x:v>1446.5355631510415</x:v>
      </x:c>
      <x:c r="EE231" s="23" t="n">
        <x:v>634.0145263671875</x:v>
      </x:c>
      <x:c r="EF231" s="23" t="n">
        <x:v>1433.9589436848958</x:v>
      </x:c>
      <x:c r="EG231" s="23" t="n">
        <x:v>611.5646565755208</x:v>
      </x:c>
      <x:c r="EH231" s="23" t="n">
        <x:v>626.320556640625</x:v>
      </x:c>
      <x:c r="EI231" s="23" t="n">
        <x:v>931.6139884540573</x:v>
      </x:c>
      <x:c r="EJ231" s="23" t="n">
        <x:v>1448.3883056640625</x:v>
      </x:c>
      <x:c r="EK231" s="23" t="n">
        <x:v>1444.2308756510415</x:v>
      </x:c>
      <x:c r="EL231" s="23" t="n">
        <x:v>608.948974609375</x:v>
      </x:c>
      <x:c r="EM231" s="23" t="n">
        <x:v>608.1386311848958</x:v>
      </x:c>
      <x:c r="EN231" s="23" t="n">
        <x:v>1421.2401936848958</x:v>
      </x:c>
      <x:c r="EO231" s="23" t="n">
        <x:v>1328.3256022135415</x:v>
      </x:c>
      <x:c r="EP231" s="23" t="n">
        <x:f>SUM(B231:EO231)</x:f>
        <x:v>61507.33796340926</x:v>
      </x:c>
      <x:c r="EQ231" s="23" t="n">
        <x:f>SUMPRODUCT(B231:EO231,{0.3905,0.3903,0.4153,0.4331,0.4266,0.4138,0.4281,0.444,0.441,0.4192,0.382,0.3772,0.4517,0.4791,0.4387,0.432,0.4525,0.4619,0.4368,0.4229,0.433,0.4371,0.4359,0.4486,0.482,0.4596,0.3924,0.3817,0.4536,0.5124,0.4438,0.4519,0.4905,0.364,0.5671,0.9959,1.0098,0.9075,0.9017,0.8965,0.8798,0.8512,0.8093,0.797,0.7663,0.6695,0.8464,1.1875,1.2141,1.1503,1.14,1.0994,1.0814,1.0796,1.0283,1.0043,0.9998,0.9376,0.9367,0.9938,0.9745,0.9108,0.8785,0.8908,0.7252,0.4624,0.4267,0.4755,0.4624,0.3894,0.3778,0.4304,0.4328,0.3935,0.3582,0.3912,0.5985,0.8638,0.9222,0.8449,0.7786,0.8143,0.8691,0.89,0.896,0.9023,0.9339,0.982,0.8727,0.6739,0.6515,0.7296,0.7873,0.7812,0.7996,0.8491,0.8538,0.8606,0.8882,0.9048,0.9167,0.9352,0.9633,0.9891,1.0126,1.0581,1.1816,1.3309,1.3756,1.3378,1.2903,1.2941,1.3168,1.3358,1.3503,1.3205,1.2837,1.318,1.3195,1.2819,1.3048,1.342,1.3804,1.4221,1.2608,0.9993,0.9703,0.9886,1.0017,1.0896,0.8282,0.3975,0.4376,0.5226,0.4401,0.4079,0.4106,0.4228,0.4565,0.4652,0.4532,0.4619,0.4224,0.355})</x:f>
        <x:v>39194.32814755797</x:v>
      </x:c>
    </x:row>
    <x:row r="232" ht="14" customHeight="1">
      <x:c r="A232" s="3">
        <x:v>45919</x:v>
      </x:c>
      <x:c r="B232" s="23" t="n">
        <x:v>454.6178792317708</x:v>
      </x:c>
      <x:c r="C232" s="23" t="n">
        <x:v>438.70340983072913</x:v>
      </x:c>
      <x:c r="D232" s="23" t="n">
        <x:v>433.4163411458333</x:v>
      </x:c>
      <x:c r="E232" s="23" t="n">
        <x:v>431.2100423177083</x:v>
      </x:c>
      <x:c r="F232" s="23" t="n">
        <x:v>438.38785807291663</x:v>
      </x:c>
      <x:c r="G232" s="23" t="n">
        <x:v>436.6966145833333</x:v>
      </x:c>
      <x:c r="H232" s="23" t="n">
        <x:v>429.92643229166663</x:v>
      </x:c>
      <x:c r="I232" s="23" t="n">
        <x:v>427.80350748697913</x:v>
      </x:c>
      <x:c r="J232" s="23" t="n">
        <x:v>427.80350748697913</x:v>
      </x:c>
      <x:c r="K232" s="23" t="n">
        <x:v>426.9437255859375</x:v>
      </x:c>
      <x:c r="L232" s="23" t="n">
        <x:v>428.77945963541663</x:v>
      </x:c>
      <x:c r="M232" s="23" t="n">
        <x:v>432.84134928385413</x:v>
      </x:c>
      <x:c r="N232" s="23" t="n">
        <x:v>437.0230712890625</x:v>
      </x:c>
      <x:c r="O232" s="23" t="n">
        <x:v>433.77457682291663</x:v>
      </x:c>
      <x:c r="P232" s="23" t="n">
        <x:v>434.49784342447913</x:v>
      </x:c>
      <x:c r="Q232" s="23" t="n">
        <x:v>0</x:v>
      </x:c>
      <x:c r="R232" s="23" t="n">
        <x:v>307.01788922517017</x:v>
      </x:c>
      <x:c r="S232" s="23" t="n">
        <x:v>434.6512451171875</x:v>
      </x:c>
      <x:c r="T232" s="23" t="n">
        <x:v>439.0770263671875</x:v>
      </x:c>
      <x:c r="U232" s="23" t="n">
        <x:v>442.59952799479163</x:v>
      </x:c>
      <x:c r="V232" s="23" t="n">
        <x:v>440.4529622395833</x:v>
      </x:c>
      <x:c r="W232" s="23" t="n">
        <x:v>437.5918782552083</x:v>
      </x:c>
      <x:c r="X232" s="23" t="n">
        <x:v>438.8888753255208</x:v>
      </x:c>
      <x:c r="Y232" s="23" t="n">
        <x:v>464.79081217447913</x:v>
      </x:c>
      <x:c r="Z232" s="23" t="n">
        <x:v>456.641357421875</x:v>
      </x:c>
      <x:c r="AA232" s="23" t="n">
        <x:v>447.7100423177083</x:v>
      </x:c>
      <x:c r="AB232" s="23" t="n">
        <x:v>0</x:v>
      </x:c>
      <x:c r="AC232" s="23" t="n">
        <x:v>439.72953287760413</x:v>
      </x:c>
      <x:c r="AD232" s="23" t="n">
        <x:v>444.8040364583333</x:v>
      </x:c>
      <x:c r="AE232" s="23" t="n">
        <x:v>0</x:v>
      </x:c>
      <x:c r="AF232" s="23" t="n">
        <x:v>443.3050130208333</x:v>
      </x:c>
      <x:c r="AG232" s="23" t="n">
        <x:v>437.7465733234644</x:v>
      </x:c>
      <x:c r="AH232" s="23" t="n">
        <x:v>450.82938639322913</x:v>
      </x:c>
      <x:c r="AI232" s="23" t="n">
        <x:v>432.74064675732944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0</x:v>
      </x:c>
      <x:c r="CU232" s="23" t="n">
        <x:v>64.23009360061162</x:v>
      </x:c>
      <x:c r="CV232" s="23" t="n">
        <x:v>129.17491105299456</x:v>
      </x:c>
      <x:c r="CW232" s="23" t="n">
        <x:v>179.56948913585575</x:v>
      </x:c>
      <x:c r="CX232" s="23" t="n">
        <x:v>201.7419845845342</x:v>
      </x:c>
      <x:c r="CY232" s="23" t="n">
        <x:v>202.46178910203787</x:v>
      </x:c>
      <x:c r="CZ232" s="23" t="n">
        <x:v>257.02805121400775</x:v>
      </x:c>
      <x:c r="DA232" s="23" t="n">
        <x:v>300.8170508061785</x:v>
      </x:c>
      <x:c r="DB232" s="23" t="n">
        <x:v>315.6763821694269</x:v>
      </x:c>
      <x:c r="DC232" s="23" t="n">
        <x:v>388.78488142040766</x:v>
      </x:c>
      <x:c r="DD232" s="23" t="n">
        <x:v>472.4652766033088</x:v>
      </x:c>
      <x:c r="DE232" s="23" t="n">
        <x:v>0</x:v>
      </x:c>
      <x:c r="DF232" s="23" t="n">
        <x:v>0</x:v>
      </x:c>
      <x:c r="DG232" s="23" t="n">
        <x:v>0</x:v>
      </x:c>
      <x:c r="DH232" s="23" t="n">
        <x:v>0</x:v>
      </x:c>
      <x:c r="DI232" s="23" t="n">
        <x:v>102.67327840959076</x:v>
      </x:c>
      <x:c r="DJ232" s="23" t="n">
        <x:v>531.6043294270833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565.0828935546874</x:v>
      </x:c>
      <x:c r="DW232" s="23" t="n">
        <x:v>546.7528947844328</x:v>
      </x:c>
      <x:c r="DX232" s="23" t="n">
        <x:v>570.3861897786458</x:v>
      </x:c>
      <x:c r="DY232" s="23" t="n">
        <x:v>577.59619140625</x:v>
      </x:c>
      <x:c r="DZ232" s="23" t="n">
        <x:v>572.4355061848958</x:v>
      </x:c>
      <x:c r="EA232" s="23" t="n">
        <x:v>562.5730387369791</x:v>
      </x:c>
      <x:c r="EB232" s="23" t="n">
        <x:v>523.4834800911459</x:v>
      </x:c>
      <x:c r="EC232" s="23" t="n">
        <x:v>1293.0462239583333</x:v>
      </x:c>
      <x:c r="ED232" s="23" t="n">
        <x:v>1297.463419596354</x:v>
      </x:c>
      <x:c r="EE232" s="23" t="n">
        <x:v>471.5688069661458</x:v>
      </x:c>
      <x:c r="EF232" s="23" t="n">
        <x:v>449.5303548177083</x:v>
      </x:c>
      <x:c r="EG232" s="23" t="n">
        <x:v>449.86124674479163</x:v>
      </x:c>
      <x:c r="EH232" s="23" t="n">
        <x:v>778.8042158002181</x:v>
      </x:c>
      <x:c r="EI232" s="23" t="n">
        <x:v>1283.9812825520833</x:v>
      </x:c>
      <x:c r="EJ232" s="23" t="n">
        <x:v>449.8725179036458</x:v>
      </x:c>
      <x:c r="EK232" s="23" t="n">
        <x:v>464.92887369791663</x:v>
      </x:c>
      <x:c r="EL232" s="23" t="n">
        <x:v>454.5573323567708</x:v>
      </x:c>
      <x:c r="EM232" s="23" t="n">
        <x:v>1275.4533284505208</x:v>
      </x:c>
      <x:c r="EN232" s="23" t="n">
        <x:v>1274.794677734375</x:v>
      </x:c>
      <x:c r="EO232" s="23" t="n">
        <x:v>1277.4425862630208</x:v>
      </x:c>
      <x:c r="EP232" s="23" t="n">
        <x:f>SUM(B232:EO232)</x:f>
        <x:v>31756.845002664042</x:v>
      </x:c>
      <x:c r="EQ232" s="23" t="n">
        <x:f>SUMPRODUCT(B232:EO232,{0.359,0.3809,0.3706,0.3335,0.3249,0.3648,0.4122,0.3796,0.3096,0.3343,0.3815,0.3621,0.2652,0.2464,0.3172,0.3434,0.3462,0.3409,0.3124,0.3086,0.3381,0.362,0.3752,0.3702,0.3427,0.3422,0.3659,0.3626,0.351,0.3379,0.3186,0.357,0.3865,0.3106,0.4789,0.8029,0.8155,0.733,0.71,0.684,0.6756,0.672,0.6292,0.6024,0.5957,0.584,0.7187,0.9171,0.9124,0.8138,0.7498,0.7472,0.7415,0.7198,0.7245,0.7266,0.7131,0.701,0.6866,0.6713,0.6642,0.662,0.6617,0.6399,0.4892,0.2941,0.2636,0.2612,0.2432,0.291,0.2689,0.2031,0.2558,0.2727,0.2096,0.2021,0.3327,0.5028,0.5273,0.531,0.5681,0.5756,0.616,0.6608,0.6184,0.6319,0.7337,0.7815,0.629,0.4159,0.4414,0.5095,0.5057,0.5111,0.5549,0.6032,0.6062,0.6394,0.6911,0.6771,0.6905,0.7362,0.7237,0.7134,0.7084,0.682,0.856,1.1661,1.2857,1.2337,1.1472,1.1409,1.1342,1.1152,1.1506,1.1561,1.1249,1.1396,1.1746,1.1873,1.1573,1.1084,1.1019,1.1598,1.0544,0.835,0.7981,0.8743,0.9407,0.9069,0.6553,0.3383,0.2773,0.3611,0.4259,0.4041,0.3736,0.3684,0.3565,0.3585,0.3504,0.2912,0.3014,0.3762})</x:f>
        <x:v>14421.665848291503</x:v>
      </x:c>
    </x:row>
    <x:row r="233" ht="14" customHeight="1">
      <x:c r="A233" s="3">
        <x:v>45920</x:v>
      </x:c>
      <x:c r="B233" s="23" t="n">
        <x:v>452.9535725911458</x:v>
      </x:c>
      <x:c r="C233" s="23" t="n">
        <x:v>442.89501953125</x:v>
      </x:c>
      <x:c r="D233" s="23" t="n">
        <x:v>436.25956217447913</x:v>
      </x:c>
      <x:c r="E233" s="23" t="n">
        <x:v>426.2370198567708</x:v>
      </x:c>
      <x:c r="F233" s="23" t="n">
        <x:v>433.1727294921875</x:v>
      </x:c>
      <x:c r="G233" s="23" t="n">
        <x:v>436.79130045572913</x:v>
      </x:c>
      <x:c r="H233" s="23" t="n">
        <x:v>440.15006510416663</x:v>
      </x:c>
      <x:c r="I233" s="23" t="n">
        <x:v>435.0717366536458</x:v>
      </x:c>
      <x:c r="J233" s="23" t="n">
        <x:v>431.9151611328125</x:v>
      </x:c>
      <x:c r="K233" s="23" t="n">
        <x:v>438.86466471354163</x:v>
      </x:c>
      <x:c r="L233" s="23" t="n">
        <x:v>441.70133463541663</x:v>
      </x:c>
      <x:c r="M233" s="23" t="n">
        <x:v>435.28690592447913</x:v>
      </x:c>
      <x:c r="N233" s="23" t="n">
        <x:v>431.9385579427083</x:v>
      </x:c>
      <x:c r="O233" s="23" t="n">
        <x:v>428.62516276041663</x:v>
      </x:c>
      <x:c r="P233" s="23" t="n">
        <x:v>431.55753580729163</x:v>
      </x:c>
      <x:c r="Q233" s="23" t="n">
        <x:v>434.6846516927083</x:v>
      </x:c>
      <x:c r="R233" s="23" t="n">
        <x:v>438.06437174479163</x:v>
      </x:c>
      <x:c r="S233" s="23" t="n">
        <x:v>442.76505533854163</x:v>
      </x:c>
      <x:c r="T233" s="23" t="n">
        <x:v>439.4243977864583</x:v>
      </x:c>
      <x:c r="U233" s="23" t="n">
        <x:v>441.054931640625</x:v>
      </x:c>
      <x:c r="V233" s="23" t="n">
        <x:v>442.3497314453125</x:v>
      </x:c>
      <x:c r="W233" s="23" t="n">
        <x:v>442.3067220052083</x:v>
      </x:c>
      <x:c r="X233" s="23" t="n">
        <x:v>438.8835042317708</x:v>
      </x:c>
      <x:c r="Y233" s="23" t="n">
        <x:v>441.4681396484375</x:v>
      </x:c>
      <x:c r="Z233" s="23" t="n">
        <x:v>451.8887532552083</x:v>
      </x:c>
      <x:c r="AA233" s="23" t="n">
        <x:v>449.7118733723958</x:v>
      </x:c>
      <x:c r="AB233" s="23" t="n">
        <x:v>452.1805013020833</x:v>
      </x:c>
      <x:c r="AC233" s="23" t="n">
        <x:v>0</x:v>
      </x:c>
      <x:c r="AD233" s="23" t="n">
        <x:v>0</x:v>
      </x:c>
      <x:c r="AE233" s="23" t="n">
        <x:v>0</x:v>
      </x:c>
      <x:c r="AF233" s="23" t="n">
        <x:v>446.5172119140625</x:v>
      </x:c>
      <x:c r="AG233" s="23" t="n">
        <x:v>373.08317848519187</x:v>
      </x:c>
      <x:c r="AH233" s="23" t="n">
        <x:v>449.6853841145833</x:v>
      </x:c>
      <x:c r="AI233" s="23" t="n">
        <x:v>434.7128622849317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15.173180840359088</x:v>
      </x:c>
      <x:c r="CT233" s="23" t="n">
        <x:v>43.0100195624309</x:v>
      </x:c>
      <x:c r="CU233" s="23" t="n">
        <x:v>80.37665731461757</x:v>
      </x:c>
      <x:c r="CV233" s="23" t="n">
        <x:v>127.36294775284387</x:v>
      </x:c>
      <x:c r="CW233" s="23" t="n">
        <x:v>174.78747219434172</x:v>
      </x:c>
      <x:c r="CX233" s="23" t="n">
        <x:v>221.6622005653716</x:v>
      </x:c>
      <x:c r="CY233" s="23" t="n">
        <x:v>223.80495584822074</x:v>
      </x:c>
      <x:c r="CZ233" s="23" t="n">
        <x:v>270.69411176839856</x:v>
      </x:c>
      <x:c r="DA233" s="23" t="n">
        <x:v>320.21554169276624</x:v>
      </x:c>
      <x:c r="DB233" s="23" t="n">
        <x:v>330.2958107056952</x:v>
      </x:c>
      <x:c r="DC233" s="23" t="n">
        <x:v>390.1337248277579</x:v>
      </x:c>
      <x:c r="DD233" s="23" t="n">
        <x:v>458.28037508048834</x:v>
      </x:c>
      <x:c r="DE233" s="23" t="n">
        <x:v>0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268.04572350045646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519.2617578124998</x:v>
      </x:c>
      <x:c r="DW233" s="23" t="n">
        <x:v>554.2772216796875</x:v>
      </x:c>
      <x:c r="DX233" s="23" t="n">
        <x:v>565.2412093098958</x:v>
      </x:c>
      <x:c r="DY233" s="23" t="n">
        <x:v>555.3487141927083</x:v>
      </x:c>
      <x:c r="DZ233" s="23" t="n">
        <x:v>556.3771565755208</x:v>
      </x:c>
      <x:c r="EA233" s="23" t="n">
        <x:v>562.5890706380208</x:v>
      </x:c>
      <x:c r="EB233" s="23" t="n">
        <x:v>529.2770422526042</x:v>
      </x:c>
      <x:c r="EC233" s="23" t="n">
        <x:v>458.36474609375</x:v>
      </x:c>
      <x:c r="ED233" s="23" t="n">
        <x:v>1285.2120768229165</x:v>
      </x:c>
      <x:c r="EE233" s="23" t="n">
        <x:v>1285.8466389973958</x:v>
      </x:c>
      <x:c r="EF233" s="23" t="n">
        <x:v>1294.783976236979</x:v>
      </x:c>
      <x:c r="EG233" s="23" t="n">
        <x:v>472.3148193359375</x:v>
      </x:c>
      <x:c r="EH233" s="23" t="n">
        <x:v>460.559326171875</x:v>
      </x:c>
      <x:c r="EI233" s="23" t="n">
        <x:v>1290.526163736979</x:v>
      </x:c>
      <x:c r="EJ233" s="23" t="n">
        <x:v>1287.255900065104</x:v>
      </x:c>
      <x:c r="EK233" s="23" t="n">
        <x:v>648.4343276387277</x:v>
      </x:c>
      <x:c r="EL233" s="23" t="n">
        <x:v>1281.255126953125</x:v>
      </x:c>
      <x:c r="EM233" s="23" t="n">
        <x:v>1269.0055338541665</x:v>
      </x:c>
      <x:c r="EN233" s="23" t="n">
        <x:v>451.65592447916663</x:v>
      </x:c>
      <x:c r="EO233" s="23" t="n">
        <x:v>0</x:v>
      </x:c>
      <x:c r="EP233" s="23" t="n">
        <x:f>SUM(B233:EO233)</x:f>
        <x:v>31813.631053539168</x:v>
      </x:c>
      <x:c r="EQ233" s="23" t="n">
        <x:f>SUMPRODUCT(B233:EO233,{0.3845,0.3531,0.3263,0.3234,0.3552,0.3794,0.3378,0.3104,0.323,0.3273,0.3367,0.3359,0.2915,0.2741,0.3015,0.3197,0.3098,0.3208,0.4049,0.4043,0.3241,0.3257,0.3349,0.3329,0.374,0.3463,0.272,0.2936,0.3315,0.3338,0.3312,0.3411,0.3216,0.2605,0.4634,0.7959,0.7909,0.7201,0.7232,0.6748,0.6724,0.7136,0.6806,0.63,0.5929,0.5649,0.6736,0.8518,0.8873,0.8931,0.8907,0.7954,0.7897,0.8523,0.7823,0.7373,0.7505,0.6936,0.6541,0.6459,0.5939,0.5831,0.6366,0.6512,0.448,0.1829,0.2008,0.207,0.1428,0.2322,0.2481,0.1684,0.2064,0.2328,0.1665,0.0958,0.2254,0.4829,0.5833,0.6052,0.6226,0.6227,0.6371,0.6686,0.685,0.6807,0.6819,0.7028,0.6196,0.4655,0.4182,0.466,0.5269,0.5376,0.5832,0.6376,0.5913,0.5904,0.6839,0.7608,0.7281,0.6616,0.7226,0.7711,0.7399,0.7302,0.9075,1.166,1.2154,1.1603,1.1062,1.074,1.1427,1.2342,1.1802,1.1331,1.1509,1.144,1.1388,1.1546,1.1705,1.1573,1.1634,1.2367,1.1237,0.8573,0.7473,0.7623,0.8144,0.8237,0.625,0.3558,0.3436,0.3837,0.3482,0.3132,0.3196,0.3538,0.367,0.3456,0.3152,0.3242,0.3891,0.4536})</x:f>
        <x:v>13971.205072421732</x:v>
      </x:c>
    </x:row>
    <x:row r="234" ht="14" customHeight="1">
      <x:c r="A234" s="3">
        <x:v>45921</x:v>
      </x:c>
      <x:c r="B234" s="23" t="n">
        <x:v>621.5499267578125</x:v>
      </x:c>
      <x:c r="C234" s="23" t="n">
        <x:v>597.6765950520833</x:v>
      </x:c>
      <x:c r="D234" s="23" t="n">
        <x:v>1412.3671061197915</x:v>
      </x:c>
      <x:c r="E234" s="23" t="n">
        <x:v>1421.22705078125</x:v>
      </x:c>
      <x:c r="F234" s="23" t="n">
        <x:v>1423.005655924479</x:v>
      </x:c>
      <x:c r="G234" s="23" t="n">
        <x:v>574.2416178385416</x:v>
      </x:c>
      <x:c r="H234" s="23" t="n">
        <x:v>591.973876953125</x:v>
      </x:c>
      <x:c r="I234" s="23" t="n">
        <x:v>584.3653971354166</x:v>
      </x:c>
      <x:c r="J234" s="23" t="n">
        <x:v>569.2840576171875</x:v>
      </x:c>
      <x:c r="K234" s="23" t="n">
        <x:v>594.5660807291666</x:v>
      </x:c>
      <x:c r="L234" s="23" t="n">
        <x:v>603.7206624348958</x:v>
      </x:c>
      <x:c r="M234" s="23" t="n">
        <x:v>600.5191650390625</x:v>
      </x:c>
      <x:c r="N234" s="23" t="n">
        <x:v>596.0131022135416</x:v>
      </x:c>
      <x:c r="O234" s="23" t="n">
        <x:v>592.7530517578125</x:v>
      </x:c>
      <x:c r="P234" s="23" t="n">
        <x:v>1398.640335900528</x:v>
      </x:c>
      <x:c r="Q234" s="23" t="n">
        <x:v>578.8575032552083</x:v>
      </x:c>
      <x:c r="R234" s="23" t="n">
        <x:v>584.0428873697916</x:v>
      </x:c>
      <x:c r="S234" s="23" t="n">
        <x:v>595.759033203125</x:v>
      </x:c>
      <x:c r="T234" s="23" t="n">
        <x:v>600.4021402994791</x:v>
      </x:c>
      <x:c r="U234" s="23" t="n">
        <x:v>600.9003092447916</x:v>
      </x:c>
      <x:c r="V234" s="23" t="n">
        <x:v>607.9615071614583</x:v>
      </x:c>
      <x:c r="W234" s="23" t="n">
        <x:v>611.4349772135416</x:v>
      </x:c>
      <x:c r="X234" s="23" t="n">
        <x:v>607.529052734375</x:v>
      </x:c>
      <x:c r="Y234" s="23" t="n">
        <x:v>1430.4996744791665</x:v>
      </x:c>
      <x:c r="Z234" s="23" t="n">
        <x:v>615.4955647786458</x:v>
      </x:c>
      <x:c r="AA234" s="23" t="n">
        <x:v>619.5242513020833</x:v>
      </x:c>
      <x:c r="AB234" s="23" t="n">
        <x:v>604.2825520833333</x:v>
      </x:c>
      <x:c r="AC234" s="23" t="n">
        <x:v>598.4316813151041</x:v>
      </x:c>
      <x:c r="AD234" s="23" t="n">
        <x:v>603.9185791015625</x:v>
      </x:c>
      <x:c r="AE234" s="23" t="n">
        <x:v>605.9552815755208</x:v>
      </x:c>
      <x:c r="AF234" s="23" t="n">
        <x:v>602.5358479817708</x:v>
      </x:c>
      <x:c r="AG234" s="23" t="n">
        <x:v>606.9032715100675</x:v>
      </x:c>
      <x:c r="AH234" s="23" t="n">
        <x:v>618.1005859375</x:v>
      </x:c>
      <x:c r="AI234" s="23" t="n">
        <x:v>1419.6033521558334</x:v>
      </x:c>
      <x:c r="AJ234" s="23" t="n">
        <x:v>617.5348847896951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</x:v>
      </x:c>
      <x:c r="AT234" s="23" t="n">
        <x:v>71.0203654660537</x:v>
      </x:c>
      <x:c r="AU234" s="23" t="n">
        <x:v>249.43192892041907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526.3919818439035</x:v>
      </x:c>
      <x:c r="BP234" s="23" t="n">
        <x:v>506.0525993238085</x:v>
      </x:c>
      <x:c r="BQ234" s="23" t="n">
        <x:v>0</x:v>
      </x:c>
      <x:c r="BR234" s="23" t="n">
        <x:v>0</x:v>
      </x:c>
      <x:c r="BS234" s="23" t="n">
        <x:v>0</x:v>
      </x:c>
      <x:c r="BT234" s="23" t="n">
        <x:v>419.4384715172274</x:v>
      </x:c>
      <x:c r="BU234" s="23" t="n">
        <x:v>0</x:v>
      </x:c>
      <x:c r="BV234" s="23" t="n">
        <x:v>389.35938373835626</x:v>
      </x:c>
      <x:c r="BW234" s="23" t="n">
        <x:v>379.4930419247654</x:v>
      </x:c>
      <x:c r="BX234" s="23" t="n">
        <x:v>0</x:v>
      </x:c>
      <x:c r="BY234" s="23" t="n">
        <x:v>383.73267080166625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126.20494171595965</x:v>
      </x:c>
      <x:c r="CN234" s="23" t="n">
        <x:v>225.75099039443822</x:v>
      </x:c>
      <x:c r="CO234" s="23" t="n">
        <x:v>219.70326651654068</x:v>
      </x:c>
      <x:c r="CP234" s="23" t="n">
        <x:v>261.74701044685025</x:v>
      </x:c>
      <x:c r="CQ234" s="23" t="n">
        <x:v>300.0360580737427</x:v>
      </x:c>
      <x:c r="CR234" s="23" t="n">
        <x:v>376.9231224852782</x:v>
      </x:c>
      <x:c r="CS234" s="23" t="n">
        <x:v>455.9434435976389</x:v>
      </x:c>
      <x:c r="CT234" s="23" t="n">
        <x:v>497.7334924422981</x:v>
      </x:c>
      <x:c r="CU234" s="23" t="n">
        <x:v>543.0630534255081</x:v>
      </x:c>
      <x:c r="CV234" s="23" t="n">
        <x:v>592.4468127229857</x:v>
      </x:c>
      <x:c r="CW234" s="23" t="n">
        <x:v>643.2573440809031</x:v>
      </x:c>
      <x:c r="CX234" s="23" t="n">
        <x:v>706.0696822206564</x:v>
      </x:c>
      <x:c r="CY234" s="23" t="n">
        <x:v>755.6089831877949</x:v>
      </x:c>
      <x:c r="CZ234" s="23" t="n">
        <x:v>799.6715141887413</x:v>
      </x:c>
      <x:c r="DA234" s="23" t="n">
        <x:v>847.6621419975828</x:v>
      </x:c>
      <x:c r="DB234" s="23" t="n">
        <x:v>912.7526692769543</x:v>
      </x:c>
      <x:c r="DC234" s="23" t="n">
        <x:v>993.640746368392</x:v>
      </x:c>
      <x:c r="DD234" s="23" t="n">
        <x:v>912.9209086745416</x:v>
      </x:c>
      <x:c r="DE234" s="23" t="n">
        <x:v>0</x:v>
      </x:c>
      <x:c r="DF234" s="23" t="n">
        <x:v>0</x:v>
      </x:c>
      <x:c r="DG234" s="23" t="n">
        <x:v>795.5030780452828</x:v>
      </x:c>
      <x:c r="DH234" s="23" t="n">
        <x:v>813.5706380208333</x:v>
      </x:c>
      <x:c r="DI234" s="23" t="n">
        <x:v>794.0292460302651</x:v>
      </x:c>
      <x:c r="DJ234" s="23" t="n">
        <x:v>786.7366536458333</x:v>
      </x:c>
      <x:c r="DK234" s="23" t="n">
        <x:v>787.642578125</x:v>
      </x:c>
      <x:c r="DL234" s="23" t="n">
        <x:v>816.307861328125</x:v>
      </x:c>
      <x:c r="DM234" s="23" t="n">
        <x:v>83.39109513417648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0</x:v>
      </x:c>
      <x:c r="DT234" s="23" t="n">
        <x:v>0</x:v>
      </x:c>
      <x:c r="DU234" s="23" t="n">
        <x:v>0</x:v>
      </x:c>
      <x:c r="DV234" s="23" t="n">
        <x:v>822.4759928385416</x:v>
      </x:c>
      <x:c r="DW234" s="23" t="n">
        <x:v>832.44775390625</x:v>
      </x:c>
      <x:c r="DX234" s="23" t="n">
        <x:v>794.8851725260416</x:v>
      </x:c>
      <x:c r="DY234" s="23" t="n">
        <x:v>764.5242513020833</x:v>
      </x:c>
      <x:c r="DZ234" s="23" t="n">
        <x:v>794.5901692708333</x:v>
      </x:c>
      <x:c r="EA234" s="23" t="n">
        <x:v>853.8448446614582</x:v>
      </x:c>
      <x:c r="EB234" s="23" t="n">
        <x:v>725.8914221354167</x:v>
      </x:c>
      <x:c r="EC234" s="23" t="n">
        <x:v>1435.8584798177083</x:v>
      </x:c>
      <x:c r="ED234" s="23" t="n">
        <x:v>1449.8551432291665</x:v>
      </x:c>
      <x:c r="EE234" s="23" t="n">
        <x:v>641.3947347005208</x:v>
      </x:c>
      <x:c r="EF234" s="23" t="n">
        <x:v>614.8438313802083</x:v>
      </x:c>
      <x:c r="EG234" s="23" t="n">
        <x:v>591.0283610026041</x:v>
      </x:c>
      <x:c r="EH234" s="23" t="n">
        <x:v>582.4034830729166</x:v>
      </x:c>
      <x:c r="EI234" s="23" t="n">
        <x:v>907.4284351088281</x:v>
      </x:c>
      <x:c r="EJ234" s="23" t="n">
        <x:v>1438.6336263020833</x:v>
      </x:c>
      <x:c r="EK234" s="23" t="n">
        <x:v>610.9996337890625</x:v>
      </x:c>
      <x:c r="EL234" s="23" t="n">
        <x:v>620.7932942708333</x:v>
      </x:c>
      <x:c r="EM234" s="23" t="n">
        <x:v>1431.7172037760415</x:v>
      </x:c>
      <x:c r="EN234" s="23" t="n">
        <x:v>1424.7666015625</x:v>
      </x:c>
      <x:c r="EO234" s="23" t="n">
        <x:v>1432.6207275390625</x:v>
      </x:c>
      <x:c r="EP234" s="23" t="n">
        <x:f>SUM(B234:EO234)</x:f>
        <x:v>62655.81755762143</x:v>
      </x:c>
      <x:c r="EQ234" s="23" t="n">
        <x:f>SUMPRODUCT(B234:EO234,{0.4351,0.3996,0.4124,0.47,0.4552,0.3859,0.3982,0.4487,0.4758,0.4639,0.465,0.4768,0.4493,0.4221,0.4292,0.4607,0.4504,0.4181,0.4478,0.4822,0.4809,0.4588,0.4437,0.4407,0.4379,0.4537,0.4603,0.4123,0.4047,0.4478,0.455,0.4346,0.4108,0.4309,0.6556,0.9505,0.9861,0.9358,0.9233,0.9085,0.9074,0.8905,0.8082,0.769,0.7319,0.6037,0.8052,1.2037,1.2065,1.1058,1.0835,1.0276,1.0008,1.0048,0.9729,0.9922,1.0161,0.9092,0.864,0.9205,0.9245,0.8935,0.864,0.8286,0.7119,0.5586,0.5028,0.4935,0.4922,0.5092,0.5101,0.482,0.4468,0.433,0.4219,0.4025,0.5719,0.8345,0.8735,0.8573,0.8941,0.917,0.9048,0.8809,0.8831,0.8829,0.8997,0.9543,0.8331,0.632,0.6725,0.7164,0.6901,0.7577,0.8092,0.8131,0.8604,0.9335,0.9915,1.0118,1.0203,1.0293,1.037,1.0845,1.1253,1.0831,1.1454,1.3068,1.3615,1.3414,1.3285,1.3634,1.3742,1.3402,1.3118,1.3045,1.3182,1.3395,1.3287,1.2995,1.3013,1.2918,1.2938,1.3523,1.2587,1.0498,0.9822,0.9608,0.9753,1.0713,0.8433,0.4338,0.4176,0.467,0.3954,0.36,0.3951,0.4388,0.4146,0.4234,0.4592,0.4174,0.4017,0.4344})</x:f>
        <x:v>40886.163476042195</x:v>
      </x:c>
    </x:row>
    <x:row r="235" ht="14" customHeight="1">
      <x:c r="A235" s="3">
        <x:v>45922</x:v>
      </x:c>
      <x:c r="B235" s="23" t="n">
        <x:v>600.0744222005208</x:v>
      </x:c>
      <x:c r="C235" s="23" t="n">
        <x:v>591.2272542317708</x:v>
      </x:c>
      <x:c r="D235" s="23" t="n">
        <x:v>1405.6090494791665</x:v>
      </x:c>
      <x:c r="E235" s="23" t="n">
        <x:v>1417.7032877604165</x:v>
      </x:c>
      <x:c r="F235" s="23" t="n">
        <x:v>1433.2558186848958</x:v>
      </x:c>
      <x:c r="G235" s="23" t="n">
        <x:v>595.9337158203125</x:v>
      </x:c>
      <x:c r="H235" s="23" t="n">
        <x:v>599.4682210286458</x:v>
      </x:c>
      <x:c r="I235" s="23" t="n">
        <x:v>582.9578857421875</x:v>
      </x:c>
      <x:c r="J235" s="23" t="n">
        <x:v>577.8015950520833</x:v>
      </x:c>
      <x:c r="K235" s="23" t="n">
        <x:v>591.1206461588541</x:v>
      </x:c>
      <x:c r="L235" s="23" t="n">
        <x:v>837.6020619719335</x:v>
      </x:c>
      <x:c r="M235" s="23" t="n">
        <x:v>597.8176676432291</x:v>
      </x:c>
      <x:c r="N235" s="23" t="n">
        <x:v>591.9600830078125</x:v>
      </x:c>
      <x:c r="O235" s="23" t="n">
        <x:v>594.276123046875</x:v>
      </x:c>
      <x:c r="P235" s="23" t="n">
        <x:v>595.9082845052083</x:v>
      </x:c>
      <x:c r="Q235" s="23" t="n">
        <x:v>595.0635986328125</x:v>
      </x:c>
      <x:c r="R235" s="23" t="n">
        <x:v>1413.9413655598958</x:v>
      </x:c>
      <x:c r="S235" s="23" t="n">
        <x:v>588.5663248697916</x:v>
      </x:c>
      <x:c r="T235" s="23" t="n">
        <x:v>598.4757893880208</x:v>
      </x:c>
      <x:c r="U235" s="23" t="n">
        <x:v>601.7772623697916</x:v>
      </x:c>
      <x:c r="V235" s="23" t="n">
        <x:v>600.7588297526041</x:v>
      </x:c>
      <x:c r="W235" s="23" t="n">
        <x:v>1433.680460611979</x:v>
      </x:c>
      <x:c r="X235" s="23" t="n">
        <x:v>600.1361897786458</x:v>
      </x:c>
      <x:c r="Y235" s="23" t="n">
        <x:v>599.5267333984375</x:v>
      </x:c>
      <x:c r="Z235" s="23" t="n">
        <x:v>599.7239990234375</x:v>
      </x:c>
      <x:c r="AA235" s="23" t="n">
        <x:v>599.98291015625</x:v>
      </x:c>
      <x:c r="AB235" s="23" t="n">
        <x:v>603.5910237630208</x:v>
      </x:c>
      <x:c r="AC235" s="23" t="n">
        <x:v>612.51171875</x:v>
      </x:c>
      <x:c r="AD235" s="23" t="n">
        <x:v>608.2685546875</x:v>
      </x:c>
      <x:c r="AE235" s="23" t="n">
        <x:v>605.8096923828125</x:v>
      </x:c>
      <x:c r="AF235" s="23" t="n">
        <x:v>1435.9778645833333</x:v>
      </x:c>
      <x:c r="AG235" s="23" t="n">
        <x:v>598.1441057862799</x:v>
      </x:c>
      <x:c r="AH235" s="23" t="n">
        <x:v>609.4312744140625</x:v>
      </x:c>
      <x:c r="AI235" s="23" t="n">
        <x:v>595.5700368105336</x:v>
      </x:c>
      <x:c r="AJ235" s="23" t="n">
        <x:v>682.8723467259317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0</x:v>
      </x:c>
      <x:c r="AU235" s="23" t="n">
        <x:v>17.78565496411693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553.6458970511515</x:v>
      </x:c>
      <x:c r="BP235" s="23" t="n">
        <x:v>540.2136948767504</x:v>
      </x:c>
      <x:c r="BQ235" s="23" t="n">
        <x:v>0</x:v>
      </x:c>
      <x:c r="BR235" s="23" t="n">
        <x:v>536.9620254195418</x:v>
      </x:c>
      <x:c r="BS235" s="23" t="n">
        <x:v>532.6049280241383</x:v>
      </x:c>
      <x:c r="BT235" s="23" t="n">
        <x:v>0</x:v>
      </x:c>
      <x:c r="BU235" s="23" t="n">
        <x:v>14.921267216536686</x:v>
      </x:c>
      <x:c r="BV235" s="23" t="n">
        <x:v>0</x:v>
      </x:c>
      <x:c r="BW235" s="23" t="n">
        <x:v>0</x:v>
      </x:c>
      <x:c r="BX235" s="23" t="n">
        <x:v>386.3265725882787</x:v>
      </x:c>
      <x:c r="BY235" s="23" t="n">
        <x:v>399.526862736899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41.582897909925116</x:v>
      </x:c>
      <x:c r="CM235" s="23" t="n">
        <x:v>89.24220957730509</x:v>
      </x:c>
      <x:c r="CN235" s="23" t="n">
        <x:v>127.38322205694445</x:v>
      </x:c>
      <x:c r="CO235" s="23" t="n">
        <x:v>187.09249002263442</x:v>
      </x:c>
      <x:c r="CP235" s="23" t="n">
        <x:v>244.28350659148478</x:v>
      </x:c>
      <x:c r="CQ235" s="23" t="n">
        <x:v>286.9819750107002</x:v>
      </x:c>
      <x:c r="CR235" s="23" t="n">
        <x:v>363.2537564770315</x:v>
      </x:c>
      <x:c r="CS235" s="23" t="n">
        <x:v>431.74424100898705</x:v>
      </x:c>
      <x:c r="CT235" s="23" t="n">
        <x:v>484.80761785939995</x:v>
      </x:c>
      <x:c r="CU235" s="23" t="n">
        <x:v>539.6012354074173</x:v>
      </x:c>
      <x:c r="CV235" s="23" t="n">
        <x:v>593.3598774885947</x:v>
      </x:c>
      <x:c r="CW235" s="23" t="n">
        <x:v>659.2493746408599</x:v>
      </x:c>
      <x:c r="CX235" s="23" t="n">
        <x:v>720.3760460731606</x:v>
      </x:c>
      <x:c r="CY235" s="23" t="n">
        <x:v>773.9515524555302</x:v>
      </x:c>
      <x:c r="CZ235" s="23" t="n">
        <x:v>821.2916817836151</x:v>
      </x:c>
      <x:c r="DA235" s="23" t="n">
        <x:v>876.2549476814893</x:v>
      </x:c>
      <x:c r="DB235" s="23" t="n">
        <x:v>924.7261750450185</x:v>
      </x:c>
      <x:c r="DC235" s="23" t="n">
        <x:v>988.1734678413648</x:v>
      </x:c>
      <x:c r="DD235" s="23" t="n">
        <x:v>914.3900163715964</x:v>
      </x:c>
      <x:c r="DE235" s="23" t="n">
        <x:v>0</x:v>
      </x:c>
      <x:c r="DF235" s="23" t="n">
        <x:v>0</x:v>
      </x:c>
      <x:c r="DG235" s="23" t="n">
        <x:v>793.0397074957334</x:v>
      </x:c>
      <x:c r="DH235" s="23" t="n">
        <x:v>0</x:v>
      </x:c>
      <x:c r="DI235" s="23" t="n">
        <x:v>801.0020217770254</x:v>
      </x:c>
      <x:c r="DJ235" s="23" t="n">
        <x:v>833.78369140625</x:v>
      </x:c>
      <x:c r="DK235" s="23" t="n">
        <x:v>0</x:v>
      </x:c>
      <x:c r="DL235" s="23" t="n">
        <x:v>0</x:v>
      </x:c>
      <x:c r="DM235" s="23" t="n">
        <x:v>799.3817545572916</x:v>
      </x:c>
      <x:c r="DN235" s="23" t="n">
        <x:v>784.74609375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794.4358723958333</x:v>
      </x:c>
      <x:c r="DT235" s="23" t="n">
        <x:v>127.8808478477766</x:v>
      </x:c>
      <x:c r="DU235" s="23" t="n">
        <x:v>0</x:v>
      </x:c>
      <x:c r="DV235" s="23" t="n">
        <x:v>801.5062521093748</x:v>
      </x:c>
      <x:c r="DW235" s="23" t="n">
        <x:v>801.4064127604166</x:v>
      </x:c>
      <x:c r="DX235" s="23" t="n">
        <x:v>810.4668498585393</x:v>
      </x:c>
      <x:c r="DY235" s="23" t="n">
        <x:v>797.0650227864583</x:v>
      </x:c>
      <x:c r="DZ235" s="23" t="n">
        <x:v>788.005126953125</x:v>
      </x:c>
      <x:c r="EA235" s="23" t="n">
        <x:v>819.0716959635416</x:v>
      </x:c>
      <x:c r="EB235" s="23" t="n">
        <x:v>733.4858644270832</x:v>
      </x:c>
      <x:c r="EC235" s="23" t="n">
        <x:v>603.0775553385416</x:v>
      </x:c>
      <x:c r="ED235" s="23" t="n">
        <x:v>1438.4876302083333</x:v>
      </x:c>
      <x:c r="EE235" s="23" t="n">
        <x:v>1444.7834065755208</x:v>
      </x:c>
      <x:c r="EF235" s="23" t="n">
        <x:v>1427.859903971354</x:v>
      </x:c>
      <x:c r="EG235" s="23" t="n">
        <x:v>596.2786051432291</x:v>
      </x:c>
      <x:c r="EH235" s="23" t="n">
        <x:v>605.0655110677083</x:v>
      </x:c>
      <x:c r="EI235" s="23" t="n">
        <x:v>1442.7340494791665</x:v>
      </x:c>
      <x:c r="EJ235" s="23" t="n">
        <x:v>599.990966796875</x:v>
      </x:c>
      <x:c r="EK235" s="23" t="n">
        <x:v>593.454833984375</x:v>
      </x:c>
      <x:c r="EL235" s="23" t="n">
        <x:v>917.3620175098056</x:v>
      </x:c>
      <x:c r="EM235" s="23" t="n">
        <x:v>1420.192626953125</x:v>
      </x:c>
      <x:c r="EN235" s="23" t="n">
        <x:v>1426.6617431640625</x:v>
      </x:c>
      <x:c r="EO235" s="23" t="n">
        <x:v>610.1591389973958</x:v>
      </x:c>
      <x:c r="EP235" s="23" t="n">
        <x:f>SUM(B235:EO235)</x:f>
        <x:v>62857.64459523746</x:v>
      </x:c>
      <x:c r="EQ235" s="23" t="n">
        <x:f>SUMPRODUCT(B235:EO235,{0.4305,0.4164,0.4371,0.4981,0.4949,0.4291,0.4078,0.426,0.4481,0.4453,0.4228,0.4079,0.4311,0.4797,0.511,0.4868,0.4584,0.4505,0.444,0.4384,0.4507,0.4887,0.4785,0.4211,0.3975,0.4238,0.4533,0.4258,0.4079,0.4227,0.4325,0.458,0.4656,0.43,0.616,0.9322,0.991,0.9327,0.901,0.8985,0.8973,0.8721,0.8203,0.7932,0.7595,0.6868,0.894,1.2266,1.181,1.0899,1.1106,1.0726,1.0526,1.0705,1.0514,1.0259,0.9999,0.9478,0.9295,0.9504,0.9469,0.8869,0.8361,0.8689,0.7554,0.5334,0.4838,0.4848,0.4676,0.4869,0.4668,0.4029,0.381,0.4188,0.4493,0.4158,0.5585,0.8211,0.8882,0.8871,0.9011,0.88,0.8743,0.8959,0.9,0.8783,0.9087,1.0371,0.8975,0.6077,0.6665,0.7634,0.7666,0.8503,0.8751,0.8357,0.8852,0.9454,0.9612,0.9614,0.9757,1.0205,1.0906,1.147,1.1576,1.1352,1.205,1.3214,1.3135,1.2974,1.3109,1.2819,1.3035,1.376,1.3934,1.3689,1.339,1.3228,1.3043,1.3131,1.3812,1.3451,1.2739,1.3672,1.2456,0.9628,0.9753,1.0396,1.0235,1.0077,0.774,0.4479,0.4196,0.464,0.4413,0.4399,0.4833,0.5002,0.4096,0.3852,0.4461,0.4414,0.4164,0.4085})</x:f>
        <x:v>41475.45196852165</x:v>
      </x:c>
    </x:row>
    <x:row r="236" ht="14" customHeight="1">
      <x:c r="A236" s="3">
        <x:v>45923</x:v>
      </x:c>
      <x:c r="B236" s="23" t="n">
        <x:v>623.210205078125</x:v>
      </x:c>
      <x:c r="C236" s="23" t="n">
        <x:v>630.7708333333333</x:v>
      </x:c>
      <x:c r="D236" s="23" t="n">
        <x:v>601.1341145833333</x:v>
      </x:c>
      <x:c r="E236" s="23" t="n">
        <x:v>592.4197998046875</x:v>
      </x:c>
      <x:c r="F236" s="23" t="n">
        <x:v>1431.0836588541665</x:v>
      </x:c>
      <x:c r="G236" s="23" t="n">
        <x:v>593.4781901041666</x:v>
      </x:c>
      <x:c r="H236" s="23" t="n">
        <x:v>1417.8212483723958</x:v>
      </x:c>
      <x:c r="I236" s="23" t="n">
        <x:v>1415.9808349609375</x:v>
      </x:c>
      <x:c r="J236" s="23" t="n">
        <x:v>1422.047607421875</x:v>
      </x:c>
      <x:c r="K236" s="23" t="n">
        <x:v>596.1346842447916</x:v>
      </x:c>
      <x:c r="L236" s="23" t="n">
        <x:v>600.8064371744791</x:v>
      </x:c>
      <x:c r="M236" s="23" t="n">
        <x:v>600.8026529947916</x:v>
      </x:c>
      <x:c r="N236" s="23" t="n">
        <x:v>1081.1966696325221</x:v>
      </x:c>
      <x:c r="O236" s="23" t="n">
        <x:v>1425.837198893229</x:v>
      </x:c>
      <x:c r="P236" s="23" t="n">
        <x:v>596.8580322265625</x:v>
      </x:c>
      <x:c r="Q236" s="23" t="n">
        <x:v>605.6691080729166</x:v>
      </x:c>
      <x:c r="R236" s="23" t="n">
        <x:v>601.3876953125</x:v>
      </x:c>
      <x:c r="S236" s="23" t="n">
        <x:v>602.3437093098958</x:v>
      </x:c>
      <x:c r="T236" s="23" t="n">
        <x:v>606.3784993489583</x:v>
      </x:c>
      <x:c r="U236" s="23" t="n">
        <x:v>604.7290852864583</x:v>
      </x:c>
      <x:c r="V236" s="23" t="n">
        <x:v>599.3718668619791</x:v>
      </x:c>
      <x:c r="W236" s="23" t="n">
        <x:v>593.0506998697916</x:v>
      </x:c>
      <x:c r="X236" s="23" t="n">
        <x:v>594.3703206380208</x:v>
      </x:c>
      <x:c r="Y236" s="23" t="n">
        <x:v>602.8074544270833</x:v>
      </x:c>
      <x:c r="Z236" s="23" t="n">
        <x:v>624.2668050130208</x:v>
      </x:c>
      <x:c r="AA236" s="23" t="n">
        <x:v>617.1449381510416</x:v>
      </x:c>
      <x:c r="AB236" s="23" t="n">
        <x:v>605.3662109375</x:v>
      </x:c>
      <x:c r="AC236" s="23" t="n">
        <x:v>607.7955729166666</x:v>
      </x:c>
      <x:c r="AD236" s="23" t="n">
        <x:v>599.6650797526041</x:v>
      </x:c>
      <x:c r="AE236" s="23" t="n">
        <x:v>600.9754231770833</x:v>
      </x:c>
      <x:c r="AF236" s="23" t="n">
        <x:v>597.8422037760416</x:v>
      </x:c>
      <x:c r="AG236" s="23" t="n">
        <x:v>596.8204572253402</x:v>
      </x:c>
      <x:c r="AH236" s="23" t="n">
        <x:v>620.2074788411458</x:v>
      </x:c>
      <x:c r="AI236" s="23" t="n">
        <x:v>1428.0589856919023</x:v>
      </x:c>
      <x:c r="AJ236" s="23" t="n">
        <x:v>648.0422465951872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0</x:v>
      </x:c>
      <x:c r="AT236" s="23" t="n">
        <x:v>0</x:v>
      </x:c>
      <x:c r="AU236" s="23" t="n">
        <x:v>248.05393298984976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547.1417739081774</x:v>
      </x:c>
      <x:c r="BQ236" s="23" t="n">
        <x:v>59.283623723000304</x:v>
      </x:c>
      <x:c r="BR236" s="23" t="n">
        <x:v>530.9760024168811</x:v>
      </x:c>
      <x:c r="BS236" s="23" t="n">
        <x:v>0</x:v>
      </x:c>
      <x:c r="BT236" s="23" t="n">
        <x:v>0</x:v>
      </x:c>
      <x:c r="BU236" s="23" t="n">
        <x:v>449.56594736909875</x:v>
      </x:c>
      <x:c r="BV236" s="23" t="n">
        <x:v>413.451039022019</x:v>
      </x:c>
      <x:c r="BW236" s="23" t="n">
        <x:v>403.60828877176147</x:v>
      </x:c>
      <x:c r="BX236" s="23" t="n">
        <x:v>417.27505887347945</x:v>
      </x:c>
      <x:c r="BY236" s="23" t="n">
        <x:v>437.35304630811333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146.5893269706845</x:v>
      </x:c>
      <x:c r="CN236" s="23" t="n">
        <x:v>144.56812751972362</x:v>
      </x:c>
      <x:c r="CO236" s="23" t="n">
        <x:v>209.56853254604505</x:v>
      </x:c>
      <x:c r="CP236" s="23" t="n">
        <x:v>289.9423067579188</x:v>
      </x:c>
      <x:c r="CQ236" s="23" t="n">
        <x:v>327.64293786963464</x:v>
      </x:c>
      <x:c r="CR236" s="23" t="n">
        <x:v>376.0405543240581</x:v>
      </x:c>
      <x:c r="CS236" s="23" t="n">
        <x:v>441.24209641160553</x:v>
      </x:c>
      <x:c r="CT236" s="23" t="n">
        <x:v>518.2270860729559</x:v>
      </x:c>
      <x:c r="CU236" s="23" t="n">
        <x:v>578.0897807855195</x:v>
      </x:c>
      <x:c r="CV236" s="23" t="n">
        <x:v>638.5024609853635</x:v>
      </x:c>
      <x:c r="CW236" s="23" t="n">
        <x:v>674.7161409072532</x:v>
      </x:c>
      <x:c r="CX236" s="23" t="n">
        <x:v>743.0163990043148</x:v>
      </x:c>
      <x:c r="CY236" s="23" t="n">
        <x:v>794.8935700211598</x:v>
      </x:c>
      <x:c r="CZ236" s="23" t="n">
        <x:v>834.9941036112992</x:v>
      </x:c>
      <x:c r="DA236" s="23" t="n">
        <x:v>885.2979810961351</x:v>
      </x:c>
      <x:c r="DB236" s="23" t="n">
        <x:v>935.5933371319048</x:v>
      </x:c>
      <x:c r="DC236" s="23" t="n">
        <x:v>1001.7041950955786</x:v>
      </x:c>
      <x:c r="DD236" s="23" t="n">
        <x:v>949.1973357112316</x:v>
      </x:c>
      <x:c r="DE236" s="23" t="n">
        <x:v>0</x:v>
      </x:c>
      <x:c r="DF236" s="23" t="n">
        <x:v>0</x:v>
      </x:c>
      <x:c r="DG236" s="23" t="n">
        <x:v>146.8618446793843</x:v>
      </x:c>
      <x:c r="DH236" s="23" t="n">
        <x:v>0</x:v>
      </x:c>
      <x:c r="DI236" s="23" t="n">
        <x:v>791.9854383818389</x:v>
      </x:c>
      <x:c r="DJ236" s="23" t="n">
        <x:v>788.2225748697916</x:v>
      </x:c>
      <x:c r="DK236" s="23" t="n">
        <x:v>787.3340657552083</x:v>
      </x:c>
      <x:c r="DL236" s="23" t="n">
        <x:v>0</x:v>
      </x:c>
      <x:c r="DM236" s="23" t="n">
        <x:v>0</x:v>
      </x:c>
      <x:c r="DN236" s="23" t="n">
        <x:v>784.8435872395833</x:v>
      </x:c>
      <x:c r="DO236" s="23" t="n">
        <x:v>0</x:v>
      </x:c>
      <x:c r="DP236" s="23" t="n">
        <x:v>840.0319010416666</x:v>
      </x:c>
      <x:c r="DQ236" s="23" t="n">
        <x:v>841.872314453125</x:v>
      </x:c>
      <x:c r="DR236" s="23" t="n">
        <x:v>0</x:v>
      </x:c>
      <x:c r="DS236" s="23" t="n">
        <x:v>0</x:v>
      </x:c>
      <x:c r="DT236" s="23" t="n">
        <x:v>0</x:v>
      </x:c>
      <x:c r="DU236" s="23" t="n">
        <x:v>0</x:v>
      </x:c>
      <x:c r="DV236" s="23" t="n">
        <x:v>789.5240768229165</x:v>
      </x:c>
      <x:c r="DW236" s="23" t="n">
        <x:v>808.3173888326257</x:v>
      </x:c>
      <x:c r="DX236" s="23" t="n">
        <x:v>852.5994995981225</x:v>
      </x:c>
      <x:c r="DY236" s="23" t="n">
        <x:v>849.7877604166666</x:v>
      </x:c>
      <x:c r="DZ236" s="23" t="n">
        <x:v>803.917236328125</x:v>
      </x:c>
      <x:c r="EA236" s="23" t="n">
        <x:v>812.0472819010416</x:v>
      </x:c>
      <x:c r="EB236" s="23" t="n">
        <x:v>761.4351639583333</x:v>
      </x:c>
      <x:c r="EC236" s="23" t="n">
        <x:v>1457.2152506510415</x:v>
      </x:c>
      <x:c r="ED236" s="23" t="n">
        <x:v>1428.686319986979</x:v>
      </x:c>
      <x:c r="EE236" s="23" t="n">
        <x:v>593.2028401692708</x:v>
      </x:c>
      <x:c r="EF236" s="23" t="n">
        <x:v>1426.3843994140625</x:v>
      </x:c>
      <x:c r="EG236" s="23" t="n">
        <x:v>928.2664542743698</x:v>
      </x:c>
      <x:c r="EH236" s="23" t="n">
        <x:v>611.88427734375</x:v>
      </x:c>
      <x:c r="EI236" s="23" t="n">
        <x:v>614.8916015625</x:v>
      </x:c>
      <x:c r="EJ236" s="23" t="n">
        <x:v>612.4219970703125</x:v>
      </x:c>
      <x:c r="EK236" s="23" t="n">
        <x:v>1437.0775553385415</x:v>
      </x:c>
      <x:c r="EL236" s="23" t="n">
        <x:v>1449.4232584635415</x:v>
      </x:c>
      <x:c r="EM236" s="23" t="n">
        <x:v>1427.2874755859375</x:v>
      </x:c>
      <x:c r="EN236" s="23" t="n">
        <x:v>605.547607421875</x:v>
      </x:c>
      <x:c r="EO236" s="23" t="n">
        <x:v>622.2674153645833</x:v>
      </x:c>
      <x:c r="EP236" s="23" t="n">
        <x:f>SUM(B236:EO236)</x:f>
        <x:v>64455.74758201449</x:v>
      </x:c>
      <x:c r="EQ236" s="23" t="n">
        <x:f>SUMPRODUCT(B236:EO236,{0.4059,0.4324,0.4539,0.4117,0.4114,0.4549,0.4413,0.4365,0.4529,0.4318,0.418,0.4413,0.4794,0.4675,0.4225,0.4268,0.4588,0.4777,0.4584,0.4106,0.3812,0.4192,0.4681,0.4666,0.4048,0.3873,0.4222,0.4225,0.4173,0.4256,0.433,0.4518,0.4325,0.3613,0.6152,1.0325,1.0391,0.9449,0.9432,0.9146,0.8673,0.8271,0.8061,0.8269,0.8096,0.6878,0.8469,1.1849,1.1921,1.1184,1.1227,1.0962,1.0174,0.9516,0.9817,1.0171,1.0072,0.9839,0.9725,0.9784,0.9839,0.9513,0.9073,0.8981,0.7781,0.5639,0.4409,0.4252,0.4696,0.5048,0.4546,0.3613,0.3481,0.3859,0.387,0.3271,0.4936,0.8213,0.9285,0.8854,0.8377,0.8574,0.8948,0.9188,0.9422,0.9638,1.0143,1.099,0.9913,0.7708,0.7575,0.7846,0.7548,0.7536,0.8148,0.8978,0.9325,0.9637,0.9927,0.9735,0.9613,1.0104,1.1132,1.1301,1.0787,1.1143,1.1899,1.26,1.3273,1.3739,1.3863,1.3617,1.2989,1.242,1.2579,1.3209,1.3658,1.3425,1.3213,1.3115,1.2687,1.2951,1.3829,1.3866,1.2125,0.9884,0.9549,0.9828,1.0059,1.0449,0.8538,0.5154,0.3997,0.4421,0.4839,0.4396,0.4292,0.4608,0.4279,0.4124,0.4355,0.4312,0.4204,0.4259})</x:f>
        <x:v>41778.16419443573</x:v>
      </x:c>
    </x:row>
    <x:row r="237" ht="14" customHeight="1">
      <x:c r="A237" s="3">
        <x:v>45924</x:v>
      </x:c>
      <x:c r="B237" s="23" t="n">
        <x:v>597.7535400390625</x:v>
      </x:c>
      <x:c r="C237" s="23" t="n">
        <x:v>587.4512939453125</x:v>
      </x:c>
      <x:c r="D237" s="23" t="n">
        <x:v>1418.2491861979165</x:v>
      </x:c>
      <x:c r="E237" s="23" t="n">
        <x:v>595.4569091796875</x:v>
      </x:c>
      <x:c r="F237" s="23" t="n">
        <x:v>606.5307210286458</x:v>
      </x:c>
      <x:c r="G237" s="23" t="n">
        <x:v>610.4903971354166</x:v>
      </x:c>
      <x:c r="H237" s="23" t="n">
        <x:v>600.4349772135416</x:v>
      </x:c>
      <x:c r="I237" s="23" t="n">
        <x:v>592.0224202473958</x:v>
      </x:c>
      <x:c r="J237" s="23" t="n">
        <x:v>591.86083984375</x:v>
      </x:c>
      <x:c r="K237" s="23" t="n">
        <x:v>596.9536946614583</x:v>
      </x:c>
      <x:c r="L237" s="23" t="n">
        <x:v>597.465576171875</x:v>
      </x:c>
      <x:c r="M237" s="23" t="n">
        <x:v>708.4744306929971</x:v>
      </x:c>
      <x:c r="N237" s="23" t="n">
        <x:v>598.767333984375</x:v>
      </x:c>
      <x:c r="O237" s="23" t="n">
        <x:v>600.1239827473958</x:v>
      </x:c>
      <x:c r="P237" s="23" t="n">
        <x:v>596.9671630859375</x:v>
      </x:c>
      <x:c r="Q237" s="23" t="n">
        <x:v>1431.9147135416665</x:v>
      </x:c>
      <x:c r="R237" s="23" t="n">
        <x:v>595.7181396484375</x:v>
      </x:c>
      <x:c r="S237" s="23" t="n">
        <x:v>595.7910970052083</x:v>
      </x:c>
      <x:c r="T237" s="23" t="n">
        <x:v>596.8941650390625</x:v>
      </x:c>
      <x:c r="U237" s="23" t="n">
        <x:v>600.1515706380208</x:v>
      </x:c>
      <x:c r="V237" s="23" t="n">
        <x:v>599.6090901692708</x:v>
      </x:c>
      <x:c r="W237" s="23" t="n">
        <x:v>1436.1904296875</x:v>
      </x:c>
      <x:c r="X237" s="23" t="n">
        <x:v>1432.3456217447915</x:v>
      </x:c>
      <x:c r="Y237" s="23" t="n">
        <x:v>600.9301350911458</x:v>
      </x:c>
      <x:c r="Z237" s="23" t="n">
        <x:v>599.142333984375</x:v>
      </x:c>
      <x:c r="AA237" s="23" t="n">
        <x:v>1433.893798828125</x:v>
      </x:c>
      <x:c r="AB237" s="23" t="n">
        <x:v>597.4657796223958</x:v>
      </x:c>
      <x:c r="AC237" s="23" t="n">
        <x:v>600.106689453125</x:v>
      </x:c>
      <x:c r="AD237" s="23" t="n">
        <x:v>600.9410807291666</x:v>
      </x:c>
      <x:c r="AE237" s="23" t="n">
        <x:v>603.2547607421875</x:v>
      </x:c>
      <x:c r="AF237" s="23" t="n">
        <x:v>599.6669108072916</x:v>
      </x:c>
      <x:c r="AG237" s="23" t="n">
        <x:v>599.0651345476169</x:v>
      </x:c>
      <x:c r="AH237" s="23" t="n">
        <x:v>613.8924153645833</x:v>
      </x:c>
      <x:c r="AI237" s="23" t="n">
        <x:v>1417.439169928669</x:v>
      </x:c>
      <x:c r="AJ237" s="23" t="n">
        <x:v>660.0381928516915</x:v>
      </x:c>
      <x:c r="AK237" s="23" t="n">
        <x:v>13.674707270969671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0</x:v>
      </x:c>
      <x:c r="AT237" s="23" t="n">
        <x:v>0</x:v>
      </x:c>
      <x:c r="AU237" s="23" t="n">
        <x:v>75.5143149724735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189.26044035990037</x:v>
      </x:c>
      <x:c r="BQ237" s="23" t="n">
        <x:v>0</x:v>
      </x:c>
      <x:c r="BR237" s="23" t="n">
        <x:v>527.0667583728639</x:v>
      </x:c>
      <x:c r="BS237" s="23" t="n">
        <x:v>0</x:v>
      </x:c>
      <x:c r="BT237" s="23" t="n">
        <x:v>490.7653144946089</x:v>
      </x:c>
      <x:c r="BU237" s="23" t="n">
        <x:v>426.0594243151745</x:v>
      </x:c>
      <x:c r="BV237" s="23" t="n">
        <x:v>399.37455546056236</x:v>
      </x:c>
      <x:c r="BW237" s="23" t="n">
        <x:v>388.3894470517119</x:v>
      </x:c>
      <x:c r="BX237" s="23" t="n">
        <x:v>388.5086048874039</x:v>
      </x:c>
      <x:c r="BY237" s="23" t="n">
        <x:v>410.3560112638934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217.15233308306773</x:v>
      </x:c>
      <x:c r="CN237" s="23" t="n">
        <x:v>174.77255421510532</x:v>
      </x:c>
      <x:c r="CO237" s="23" t="n">
        <x:v>224.1159894809237</x:v>
      </x:c>
      <x:c r="CP237" s="23" t="n">
        <x:v>267.3377685797568</x:v>
      </x:c>
      <x:c r="CQ237" s="23" t="n">
        <x:v>301.36293945779414</x:v>
      </x:c>
      <x:c r="CR237" s="23" t="n">
        <x:v>390.1330722484555</x:v>
      </x:c>
      <x:c r="CS237" s="23" t="n">
        <x:v>471.00960411085026</x:v>
      </x:c>
      <x:c r="CT237" s="23" t="n">
        <x:v>520.819842144266</x:v>
      </x:c>
      <x:c r="CU237" s="23" t="n">
        <x:v>582.2919134948343</x:v>
      </x:c>
      <x:c r="CV237" s="23" t="n">
        <x:v>656.6063377511718</x:v>
      </x:c>
      <x:c r="CW237" s="23" t="n">
        <x:v>696.0212258609331</x:v>
      </x:c>
      <x:c r="CX237" s="23" t="n">
        <x:v>740.8499478809977</x:v>
      </x:c>
      <x:c r="CY237" s="23" t="n">
        <x:v>782.9652511943883</x:v>
      </x:c>
      <x:c r="CZ237" s="23" t="n">
        <x:v>832.7664728834562</x:v>
      </x:c>
      <x:c r="DA237" s="23" t="n">
        <x:v>889.8469762551251</x:v>
      </x:c>
      <x:c r="DB237" s="23" t="n">
        <x:v>931.3845169618892</x:v>
      </x:c>
      <x:c r="DC237" s="23" t="n">
        <x:v>1014.7378359154463</x:v>
      </x:c>
      <x:c r="DD237" s="23" t="n">
        <x:v>922.3676266541624</x:v>
      </x:c>
      <x:c r="DE237" s="23" t="n">
        <x:v>0</x:v>
      </x:c>
      <x:c r="DF237" s="23" t="n">
        <x:v>150.81701442658724</x:v>
      </x:c>
      <x:c r="DG237" s="23" t="n">
        <x:v>787.978836605777</x:v>
      </x:c>
      <x:c r="DH237" s="23" t="n">
        <x:v>771.0350748697916</x:v>
      </x:c>
      <x:c r="DI237" s="23" t="n">
        <x:v>12.583336875744862</x:v>
      </x:c>
      <x:c r="DJ237" s="23" t="n">
        <x:v>813.2213541666666</x:v>
      </x:c>
      <x:c r="DK237" s="23" t="n">
        <x:v>0</x:v>
      </x:c>
      <x:c r="DL237" s="23" t="n">
        <x:v>802.0274251302083</x:v>
      </x:c>
      <x:c r="DM237" s="23" t="n">
        <x:v>0</x:v>
      </x:c>
      <x:c r="DN237" s="23" t="n">
        <x:v>0</x:v>
      </x:c>
      <x:c r="DO237" s="23" t="n">
        <x:v>0</x:v>
      </x:c>
      <x:c r="DP237" s="23" t="n">
        <x:v>785.242431640625</x:v>
      </x:c>
      <x:c r="DQ237" s="23" t="n">
        <x:v>794.5037434895833</x:v>
      </x:c>
      <x:c r="DR237" s="23" t="n">
        <x:v>3.2285629687500355</x:v>
      </x:c>
      <x:c r="DS237" s="23" t="n">
        <x:v>19.789561536458372</x:v>
      </x:c>
      <x:c r="DT237" s="23" t="n">
        <x:v>1.9459108072916629</x:v>
      </x:c>
      <x:c r="DU237" s="23" t="n">
        <x:v>0</x:v>
      </x:c>
      <x:c r="DV237" s="23" t="n">
        <x:v>797.8864824218749</x:v>
      </x:c>
      <x:c r="DW237" s="23" t="n">
        <x:v>846.6353503488295</x:v>
      </x:c>
      <x:c r="DX237" s="23" t="n">
        <x:v>854.4047567595809</x:v>
      </x:c>
      <x:c r="DY237" s="23" t="n">
        <x:v>820.5026041666666</x:v>
      </x:c>
      <x:c r="DZ237" s="23" t="n">
        <x:v>806.9076334635416</x:v>
      </x:c>
      <x:c r="EA237" s="23" t="n">
        <x:v>830.2071126302083</x:v>
      </x:c>
      <x:c r="EB237" s="23" t="n">
        <x:v>770.372395078125</x:v>
      </x:c>
      <x:c r="EC237" s="23" t="n">
        <x:v>618.7047932942708</x:v>
      </x:c>
      <x:c r="ED237" s="23" t="n">
        <x:v>1435.1951497395833</x:v>
      </x:c>
      <x:c r="EE237" s="23" t="n">
        <x:v>1430.3512369791665</x:v>
      </x:c>
      <x:c r="EF237" s="23" t="n">
        <x:v>1432.2540283203125</x:v>
      </x:c>
      <x:c r="EG237" s="23" t="n">
        <x:v>619.1811116536458</x:v>
      </x:c>
      <x:c r="EH237" s="23" t="n">
        <x:v>634.4966227213541</x:v>
      </x:c>
      <x:c r="EI237" s="23" t="n">
        <x:v>629.2175699869791</x:v>
      </x:c>
      <x:c r="EJ237" s="23" t="n">
        <x:v>1436.8583577473958</x:v>
      </x:c>
      <x:c r="EK237" s="23" t="n">
        <x:v>1426.7073567708333</x:v>
      </x:c>
      <x:c r="EL237" s="23" t="n">
        <x:v>596.6909993489583</x:v>
      </x:c>
      <x:c r="EM237" s="23" t="n">
        <x:v>594.0448811848958</x:v>
      </x:c>
      <x:c r="EN237" s="23" t="n">
        <x:v>906.7673242388439</x:v>
      </x:c>
      <x:c r="EO237" s="23" t="n">
        <x:v>1428.4935302734375</x:v>
      </x:c>
      <x:c r="EP237" s="23" t="n">
        <x:f>SUM(B237:EO237)</x:f>
        <x:v>63897.21803186729</x:v>
      </x:c>
      <x:c r="EQ237" s="23" t="n">
        <x:f>SUMPRODUCT(B237:EO237,{0.4429,0.4414,0.4251,0.4244,0.4193,0.3983,0.3763,0.3861,0.4223,0.4455,0.4511,0.4583,0.4879,0.5104,0.4918,0.432,0.4275,0.4708,0.4601,0.4245,0.4023,0.4023,0.414,0.4243,0.4241,0.4135,0.4187,0.4641,0.4764,0.4466,0.4417,0.4726,0.4631,0.3701,0.5474,0.9078,0.9788,0.9036,0.8679,0.9083,0.9382,0.9082,0.8451,0.8105,0.7807,0.7211,0.9056,1.2089,1.2031,1.1463,1.1645,1.1243,1.0886,1.0932,1.0903,1.0222,0.9415,0.9528,0.9286,0.8765,0.9309,0.9632,0.9228,0.8655,0.6989,0.4885,0.4302,0.4576,0.4896,0.501,0.4821,0.4616,0.4812,0.4959,0.4674,0.4274,0.5596,0.7876,0.8339,0.8023,0.8081,0.8533,0.8377,0.8063,0.8962,0.9453,0.931,0.9652,0.8521,0.6581,0.6765,0.7492,0.7568,0.7497,0.8252,0.9146,0.8615,0.8522,0.9282,0.9472,0.9589,0.9856,0.9909,1.0128,1.0629,1.1163,1.1886,1.2707,1.3275,1.3578,1.3523,1.3039,1.2815,1.3111,1.3507,1.3385,1.2978,1.3141,1.3627,1.3658,1.2793,1.2802,1.3677,1.3452,1.1727,0.9756,0.9371,0.9825,1.0367,1.0462,0.7968,0.4553,0.4373,0.4792,0.4506,0.4738,0.4579,0.412,0.4469,0.4609,0.4325,0.4481,0.4868,0.4927})</x:f>
        <x:v>41547.84648616496</x:v>
      </x:c>
    </x:row>
    <x:row r="238" ht="14" customHeight="1">
      <x:c r="A238" s="3">
        <x:v>45925</x:v>
      </x:c>
      <x:c r="B238" s="23" t="n">
        <x:v>598.3589274088541</x:v>
      </x:c>
      <x:c r="C238" s="23" t="n">
        <x:v>592.4404296875</x:v>
      </x:c>
      <x:c r="D238" s="23" t="n">
        <x:v>1398.0846354166665</x:v>
      </x:c>
      <x:c r="E238" s="23" t="n">
        <x:v>1416.2142740885415</x:v>
      </x:c>
      <x:c r="F238" s="23" t="n">
        <x:v>1424.2415364583333</x:v>
      </x:c>
      <x:c r="G238" s="23" t="n">
        <x:v>590.9401448567708</x:v>
      </x:c>
      <x:c r="H238" s="23" t="n">
        <x:v>592.2335205078125</x:v>
      </x:c>
      <x:c r="I238" s="23" t="n">
        <x:v>590.45263671875</x:v>
      </x:c>
      <x:c r="J238" s="23" t="n">
        <x:v>589.8353271484375</x:v>
      </x:c>
      <x:c r="K238" s="23" t="n">
        <x:v>585.7107340494791</x:v>
      </x:c>
      <x:c r="L238" s="23" t="n">
        <x:v>643.450058413642</x:v>
      </x:c>
      <x:c r="M238" s="23" t="n">
        <x:v>1429.9285888671875</x:v>
      </x:c>
      <x:c r="N238" s="23" t="n">
        <x:v>595.2526041666666</x:v>
      </x:c>
      <x:c r="O238" s="23" t="n">
        <x:v>593.9348551432291</x:v>
      </x:c>
      <x:c r="P238" s="23" t="n">
        <x:v>598.7150065104166</x:v>
      </x:c>
      <x:c r="Q238" s="23" t="n">
        <x:v>600.0560302734375</x:v>
      </x:c>
      <x:c r="R238" s="23" t="n">
        <x:v>598.9546712239583</x:v>
      </x:c>
      <x:c r="S238" s="23" t="n">
        <x:v>597.1349283854166</x:v>
      </x:c>
      <x:c r="T238" s="23" t="n">
        <x:v>593.8340657552083</x:v>
      </x:c>
      <x:c r="U238" s="23" t="n">
        <x:v>603.1732991536458</x:v>
      </x:c>
      <x:c r="V238" s="23" t="n">
        <x:v>603.4014078776041</x:v>
      </x:c>
      <x:c r="W238" s="23" t="n">
        <x:v>608.8642985026041</x:v>
      </x:c>
      <x:c r="X238" s="23" t="n">
        <x:v>594.8221028645833</x:v>
      </x:c>
      <x:c r="Y238" s="23" t="n">
        <x:v>597.4643147786458</x:v>
      </x:c>
      <x:c r="Z238" s="23" t="n">
        <x:v>598.5662434895833</x:v>
      </x:c>
      <x:c r="AA238" s="23" t="n">
        <x:v>603.0821533203125</x:v>
      </x:c>
      <x:c r="AB238" s="23" t="n">
        <x:v>603.0402425130208</x:v>
      </x:c>
      <x:c r="AC238" s="23" t="n">
        <x:v>1432.1807454427083</x:v>
      </x:c>
      <x:c r="AD238" s="23" t="n">
        <x:v>599.4830729166666</x:v>
      </x:c>
      <x:c r="AE238" s="23" t="n">
        <x:v>605.738037109375</x:v>
      </x:c>
      <x:c r="AF238" s="23" t="n">
        <x:v>1441.6607666015625</x:v>
      </x:c>
      <x:c r="AG238" s="23" t="n">
        <x:v>611.6862622075432</x:v>
      </x:c>
      <x:c r="AH238" s="23" t="n">
        <x:v>640.0029703776041</x:v>
      </x:c>
      <x:c r="AI238" s="23" t="n">
        <x:v>592.9960350097307</x:v>
      </x:c>
      <x:c r="AJ238" s="23" t="n">
        <x:v>638.8754737057434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0</x:v>
      </x:c>
      <x:c r="AT238" s="23" t="n">
        <x:v>182.01375562676097</x:v>
      </x:c>
      <x:c r="AU238" s="23" t="n">
        <x:v>279.19127738356246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554.8334351829726</x:v>
      </x:c>
      <x:c r="BQ238" s="23" t="n">
        <x:v>0</x:v>
      </x:c>
      <x:c r="BR238" s="23" t="n">
        <x:v>248.12970799940445</x:v>
      </x:c>
      <x:c r="BS238" s="23" t="n">
        <x:v>0</x:v>
      </x:c>
      <x:c r="BT238" s="23" t="n">
        <x:v>511.24015426902616</x:v>
      </x:c>
      <x:c r="BU238" s="23" t="n">
        <x:v>442.9639881997464</x:v>
      </x:c>
      <x:c r="BV238" s="23" t="n">
        <x:v>444.4664505694369</x:v>
      </x:c>
      <x:c r="BW238" s="23" t="n">
        <x:v>436.1106205862403</x:v>
      </x:c>
      <x:c r="BX238" s="23" t="n">
        <x:v>431.53007794791876</x:v>
      </x:c>
      <x:c r="BY238" s="23" t="n">
        <x:v>442.87096421404624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108.09844686428096</x:v>
      </x:c>
      <x:c r="CN238" s="23" t="n">
        <x:v>240.0688742679052</x:v>
      </x:c>
      <x:c r="CO238" s="23" t="n">
        <x:v>223.82133955243535</x:v>
      </x:c>
      <x:c r="CP238" s="23" t="n">
        <x:v>280.1476703841223</x:v>
      </x:c>
      <x:c r="CQ238" s="23" t="n">
        <x:v>308.04221399699907</x:v>
      </x:c>
      <x:c r="CR238" s="23" t="n">
        <x:v>377.64280616582164</x:v>
      </x:c>
      <x:c r="CS238" s="23" t="n">
        <x:v>462.31054839071504</x:v>
      </x:c>
      <x:c r="CT238" s="23" t="n">
        <x:v>526.2207553820838</x:v>
      </x:c>
      <x:c r="CU238" s="23" t="n">
        <x:v>568.758411322531</x:v>
      </x:c>
      <x:c r="CV238" s="23" t="n">
        <x:v>629.8085705748073</x:v>
      </x:c>
      <x:c r="CW238" s="23" t="n">
        <x:v>679.8685562340968</x:v>
      </x:c>
      <x:c r="CX238" s="23" t="n">
        <x:v>734.7751250559631</x:v>
      </x:c>
      <x:c r="CY238" s="23" t="n">
        <x:v>797.0341052368883</x:v>
      </x:c>
      <x:c r="CZ238" s="23" t="n">
        <x:v>839.1482843444628</x:v>
      </x:c>
      <x:c r="DA238" s="23" t="n">
        <x:v>885.5128417018707</x:v>
      </x:c>
      <x:c r="DB238" s="23" t="n">
        <x:v>935.3887624233813</x:v>
      </x:c>
      <x:c r="DC238" s="23" t="n">
        <x:v>1005.2969967892436</x:v>
      </x:c>
      <x:c r="DD238" s="23" t="n">
        <x:v>912.3531919608376</x:v>
      </x:c>
      <x:c r="DE238" s="23" t="n">
        <x:v>101.82245068284494</x:v>
      </x:c>
      <x:c r="DF238" s="23" t="n">
        <x:v>0</x:v>
      </x:c>
      <x:c r="DG238" s="23" t="n">
        <x:v>823.2582555397576</x:v>
      </x:c>
      <x:c r="DH238" s="23" t="n">
        <x:v>805.6322428385416</x:v>
      </x:c>
      <x:c r="DI238" s="23" t="n">
        <x:v>785.4533694797783</x:v>
      </x:c>
      <x:c r="DJ238" s="23" t="n">
        <x:v>781.1245930989583</x:v>
      </x:c>
      <x:c r="DK238" s="23" t="n">
        <x:v>0</x:v>
      </x:c>
      <x:c r="DL238" s="23" t="n">
        <x:v>0</x:v>
      </x:c>
      <x:c r="DM238" s="23" t="n">
        <x:v>0</x:v>
      </x:c>
      <x:c r="DN238" s="23" t="n">
        <x:v>783.0697428385416</x:v>
      </x:c>
      <x:c r="DO238" s="23" t="n">
        <x:v>794.2224934895833</x:v>
      </x:c>
      <x:c r="DP238" s="23" t="n">
        <x:v>0</x:v>
      </x:c>
      <x:c r="DQ238" s="23" t="n">
        <x:v>0</x:v>
      </x:c>
      <x:c r="DR238" s="23" t="n">
        <x:v>0</x:v>
      </x:c>
      <x:c r="DS238" s="23" t="n">
        <x:v>0</x:v>
      </x:c>
      <x:c r="DT238" s="23" t="n">
        <x:v>0</x:v>
      </x:c>
      <x:c r="DU238" s="23" t="n">
        <x:v>0</x:v>
      </x:c>
      <x:c r="DV238" s="23" t="n">
        <x:v>787.1724329427084</x:v>
      </x:c>
      <x:c r="DW238" s="23" t="n">
        <x:v>810.2616433899175</x:v>
      </x:c>
      <x:c r="DX238" s="23" t="n">
        <x:v>812.3176799366643</x:v>
      </x:c>
      <x:c r="DY238" s="23" t="n">
        <x:v>805.3612467447916</x:v>
      </x:c>
      <x:c r="DZ238" s="23" t="n">
        <x:v>805.4158528645833</x:v>
      </x:c>
      <x:c r="EA238" s="23" t="n">
        <x:v>828.987060546875</x:v>
      </x:c>
      <x:c r="EB238" s="23" t="n">
        <x:v>744.324055234375</x:v>
      </x:c>
      <x:c r="EC238" s="23" t="n">
        <x:v>914.0713200070732</x:v>
      </x:c>
      <x:c r="ED238" s="23" t="n">
        <x:v>1430.877970377604</x:v>
      </x:c>
      <x:c r="EE238" s="23" t="n">
        <x:v>631.2186279296875</x:v>
      </x:c>
      <x:c r="EF238" s="23" t="n">
        <x:v>600.0575764973958</x:v>
      </x:c>
      <x:c r="EG238" s="23" t="n">
        <x:v>593.5820719401041</x:v>
      </x:c>
      <x:c r="EH238" s="23" t="n">
        <x:v>595.7478434244791</x:v>
      </x:c>
      <x:c r="EI238" s="23" t="n">
        <x:v>1424.9842122395833</x:v>
      </x:c>
      <x:c r="EJ238" s="23" t="n">
        <x:v>1430.448527018229</x:v>
      </x:c>
      <x:c r="EK238" s="23" t="n">
        <x:v>1432.8986002604165</x:v>
      </x:c>
      <x:c r="EL238" s="23" t="n">
        <x:v>593.4325358072916</x:v>
      </x:c>
      <x:c r="EM238" s="23" t="n">
        <x:v>606.6700439453125</x:v>
      </x:c>
      <x:c r="EN238" s="23" t="n">
        <x:v>1415.411905924479</x:v>
      </x:c>
      <x:c r="EO238" s="23" t="n">
        <x:v>1279.1486002604165</x:v>
      </x:c>
      <x:c r="EP238" s="23" t="n">
        <x:f>SUM(B238:EO238)</x:f>
        <x:v>63909.431288838794</x:v>
      </x:c>
      <x:c r="EQ238" s="23" t="n">
        <x:f>SUMPRODUCT(B238:EO238,{0.4343,0.3997,0.4211,0.4512,0.4689,0.466,0.4471,0.4432,0.449,0.4322,0.421,0.4383,0.4718,0.456,0.4134,0.4344,0.4756,0.4876,0.4628,0.4461,0.4359,0.3991,0.4094,0.4511,0.4321,0.4203,0.4365,0.4328,0.4342,0.4546,0.4777,0.4855,0.4389,0.362,0.5932,0.99,1.0369,0.9529,0.9202,0.9025,0.8958,0.884,0.8485,0.8448,0.8078,0.6671,0.8605,1.2559,1.251,1.1419,1.1385,1.1454,1.1235,1.0768,1.0243,0.9453,0.8907,0.9356,0.9341,0.8887,0.933,0.9188,0.8597,0.8904,0.7147,0.4265,0.4399,0.4608,0.3954,0.446,0.4755,0.4454,0.4624,0.4679,0.4302,0.4165,0.5974,0.8508,0.8612,0.8038,0.8058,0.8313,0.8882,0.9307,0.8939,0.894,0.9666,1.0102,0.8955,0.7229,0.7259,0.7405,0.7225,0.795,0.8649,0.8769,0.8696,0.8803,0.9263,0.9878,0.9772,0.9498,1.0411,1.0782,1.0225,1.0274,1.1566,1.2938,1.2626,1.2548,1.3213,1.3288,1.3455,1.3825,1.3683,1.3408,1.3084,1.2537,1.2821,1.3578,1.3341,1.3039,1.3298,1.3524,1.2071,1.0099,1.042,1.0406,0.973,1.0255,0.8104,0.4216,0.3856,0.4528,0.4451,0.4427,0.4709,0.4977,0.4751,0.4543,0.4637,0.4732,0.4135,0.3266})</x:f>
        <x:v>41326.39639767764</x:v>
      </x:c>
    </x:row>
    <x:row r="239" ht="14" customHeight="1">
      <x:c r="A239" s="3">
        <x:v>45926</x:v>
      </x:c>
      <x:c r="B239" s="23" t="n">
        <x:v>432.51383463541663</x:v>
      </x:c>
      <x:c r="C239" s="23" t="n">
        <x:v>436.60953776041663</x:v>
      </x:c>
      <x:c r="D239" s="23" t="n">
        <x:v>432.521728515625</x:v>
      </x:c>
      <x:c r="E239" s="23" t="n">
        <x:v>438.0569661458333</x:v>
      </x:c>
      <x:c r="F239" s="23" t="n">
        <x:v>435.1177978515625</x:v>
      </x:c>
      <x:c r="G239" s="23" t="n">
        <x:v>432.66471354166663</x:v>
      </x:c>
      <x:c r="H239" s="23" t="n">
        <x:v>435.1279296875</x:v>
      </x:c>
      <x:c r="I239" s="23" t="n">
        <x:v>429.9512939453125</x:v>
      </x:c>
      <x:c r="J239" s="23" t="n">
        <x:v>429.9512939453125</x:v>
      </x:c>
      <x:c r="K239" s="23" t="n">
        <x:v>437.51090494791663</x:v>
      </x:c>
      <x:c r="L239" s="23" t="n">
        <x:v>461.639892578125</x:v>
      </x:c>
      <x:c r="M239" s="23" t="n">
        <x:v>433.953125</x:v>
      </x:c>
      <x:c r="N239" s="23" t="n">
        <x:v>442.5906575520833</x:v>
      </x:c>
      <x:c r="O239" s="23" t="n">
        <x:v>445.3594563802083</x:v>
      </x:c>
      <x:c r="P239" s="23" t="n">
        <x:v>434.11930338541663</x:v>
      </x:c>
      <x:c r="Q239" s="23" t="n">
        <x:v>437.68339029947913</x:v>
      </x:c>
      <x:c r="R239" s="23" t="n">
        <x:v>442.5600179036458</x:v>
      </x:c>
      <x:c r="S239" s="23" t="n">
        <x:v>447.6475830078125</x:v>
      </x:c>
      <x:c r="T239" s="23" t="n">
        <x:v>443.699951171875</x:v>
      </x:c>
      <x:c r="U239" s="23" t="n">
        <x:v>445.9564208984375</x:v>
      </x:c>
      <x:c r="V239" s="23" t="n">
        <x:v>441.656982421875</x:v>
      </x:c>
      <x:c r="W239" s="23" t="n">
        <x:v>442.9380696614583</x:v>
      </x:c>
      <x:c r="X239" s="23" t="n">
        <x:v>444.2451171875</x:v>
      </x:c>
      <x:c r="Y239" s="23" t="n">
        <x:v>447.50821940104163</x:v>
      </x:c>
      <x:c r="Z239" s="23" t="n">
        <x:v>444.0191650390625</x:v>
      </x:c>
      <x:c r="AA239" s="23" t="n">
        <x:v>444.511474609375</x:v>
      </x:c>
      <x:c r="AB239" s="23" t="n">
        <x:v>436.24965983782005</x:v>
      </x:c>
      <x:c r="AC239" s="23" t="n">
        <x:v>456.73929850260413</x:v>
      </x:c>
      <x:c r="AD239" s="23" t="n">
        <x:v>0</x:v>
      </x:c>
      <x:c r="AE239" s="23" t="n">
        <x:v>456.2447102864583</x:v>
      </x:c>
      <x:c r="AF239" s="23" t="n">
        <x:v>444.06583658854163</x:v>
      </x:c>
      <x:c r="AG239" s="23" t="n">
        <x:v>440.13618089364684</x:v>
      </x:c>
      <x:c r="AH239" s="23" t="n">
        <x:v>0</x:v>
      </x:c>
      <x:c r="AI239" s="23" t="n">
        <x:v>427.5970514843581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4.060741308115515</x:v>
      </x:c>
      <x:c r="CT239" s="23" t="n">
        <x:v>91.43033918823917</x:v>
      </x:c>
      <x:c r="CU239" s="23" t="n">
        <x:v>136.0497383014727</x:v>
      </x:c>
      <x:c r="CV239" s="23" t="n">
        <x:v>171.46905838059243</x:v>
      </x:c>
      <x:c r="CW239" s="23" t="n">
        <x:v>214.54662223521987</x:v>
      </x:c>
      <x:c r="CX239" s="23" t="n">
        <x:v>251.46850396335995</x:v>
      </x:c>
      <x:c r="CY239" s="23" t="n">
        <x:v>263.5464364431881</x:v>
      </x:c>
      <x:c r="CZ239" s="23" t="n">
        <x:v>298.0150223806469</x:v>
      </x:c>
      <x:c r="DA239" s="23" t="n">
        <x:v>320.7606322183161</x:v>
      </x:c>
      <x:c r="DB239" s="23" t="n">
        <x:v>362.1609992117299</x:v>
      </x:c>
      <x:c r="DC239" s="23" t="n">
        <x:v>461.1086453882922</x:v>
      </x:c>
      <x:c r="DD239" s="23" t="n">
        <x:v>504.5621752331034</x:v>
      </x:c>
      <x:c r="DE239" s="23" t="n">
        <x:v>0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449.6793734332301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558.392584140625</x:v>
      </x:c>
      <x:c r="DW239" s="23" t="n">
        <x:v>558.8920215486754</x:v>
      </x:c>
      <x:c r="DX239" s="23" t="n">
        <x:v>594.5298665364583</x:v>
      </x:c>
      <x:c r="DY239" s="23" t="n">
        <x:v>586.8043212890625</x:v>
      </x:c>
      <x:c r="DZ239" s="23" t="n">
        <x:v>574.8650716145833</x:v>
      </x:c>
      <x:c r="EA239" s="23" t="n">
        <x:v>554.8885498046875</x:v>
      </x:c>
      <x:c r="EB239" s="23" t="n">
        <x:v>510.8034660416666</x:v>
      </x:c>
      <x:c r="EC239" s="23" t="n">
        <x:v>1290.2724202473958</x:v>
      </x:c>
      <x:c r="ED239" s="23" t="n">
        <x:v>1276.9473876953125</x:v>
      </x:c>
      <x:c r="EE239" s="23" t="n">
        <x:v>1279.4898274739583</x:v>
      </x:c>
      <x:c r="EF239" s="23" t="n">
        <x:v>468.3125813802083</x:v>
      </x:c>
      <x:c r="EG239" s="23" t="n">
        <x:v>491.28910319010413</x:v>
      </x:c>
      <x:c r="EH239" s="23" t="n">
        <x:v>454.43851725260413</x:v>
      </x:c>
      <x:c r="EI239" s="23" t="n">
        <x:v>1287.1300455729165</x:v>
      </x:c>
      <x:c r="EJ239" s="23" t="n">
        <x:v>443.7884114583333</x:v>
      </x:c>
      <x:c r="EK239" s="23" t="n">
        <x:v>447.9565022786458</x:v>
      </x:c>
      <x:c r="EL239" s="23" t="n">
        <x:v>440.224853515625</x:v>
      </x:c>
      <x:c r="EM239" s="23" t="n">
        <x:v>1270.6946614583333</x:v>
      </x:c>
      <x:c r="EN239" s="23" t="n">
        <x:v>1265.6915283203125</x:v>
      </x:c>
      <x:c r="EO239" s="23" t="n">
        <x:v>746.2080794471773</x:v>
      </x:c>
      <x:c r="EP239" s="23" t="n">
        <x:f>SUM(B239:EO239)</x:f>
        <x:v>32731.625653019575</x:v>
      </x:c>
      <x:c r="EQ239" s="23" t="n">
        <x:f>SUMPRODUCT(B239:EO239,{0.3283,0.3539,0.3492,0.3272,0.3349,0.3395,0.2731,0.2664,0.3132,0.2803,0.2695,0.3082,0.3199,0.3519,0.3823,0.3365,0.3317,0.3656,0.3237,0.3089,0.3604,0.4008,0.3709,0.3291,0.3801,0.377,0.3165,0.3479,0.403,0.4038,0.3473,0.3368,0.3513,0.3066,0.4491,0.7313,0.8244,0.7817,0.7104,0.6665,0.683,0.7093,0.6579,0.6078,0.5764,0.5347,0.6637,0.8759,0.8734,0.8007,0.7833,0.8088,0.8469,0.8777,0.8876,0.8372,0.759,0.739,0.7628,0.7608,0.678,0.6295,0.6677,0.7036,0.5207,0.2374,0.2072,0.2706,0.2758,0.2323,0.2317,0.2806,0.2953,0.2473,0.1786,0.1871,0.3618,0.5668,0.5601,0.5518,0.6187,0.6295,0.6154,0.6145,0.6232,0.6208,0.6448,0.7272,0.6438,0.4515,0.4432,0.483,0.4919,0.5304,0.5513,0.5545,0.5964,0.6548,0.7051,0.7342,0.7073,0.6531,0.6537,0.7268,0.7801,0.7243,0.8377,1.0912,1.1596,1.131,1.1107,1.1099,1.124,1.1469,1.1723,1.1889,1.1931,1.1904,1.182,1.1594,1.119,1.1131,1.1608,1.1987,1.035,0.7906,0.7889,0.8002,0.7794,0.8717,0.7018,0.3567,0.3287,0.363,0.3185,0.3236,0.3552,0.3716,0.3605,0.3336,0.3173,0.3323,0.3419,0.3376})</x:f>
        <x:v>14579.311074202313</x:v>
      </x:c>
    </x:row>
    <x:row r="240" ht="14" customHeight="1">
      <x:c r="A240" s="3">
        <x:v>45927</x:v>
      </x:c>
      <x:c r="B240" s="23" t="n">
        <x:v>0</x:v>
      </x:c>
      <x:c r="C240" s="23" t="n">
        <x:v>0</x:v>
      </x:c>
      <x:c r="D240" s="23" t="n">
        <x:v>433.108642578125</x:v>
      </x:c>
      <x:c r="E240" s="23" t="n">
        <x:v>435.13639322916663</x:v>
      </x:c>
      <x:c r="F240" s="23" t="n">
        <x:v>436.90873209635413</x:v>
      </x:c>
      <x:c r="G240" s="23" t="n">
        <x:v>429.5849202473958</x:v>
      </x:c>
      <x:c r="H240" s="23" t="n">
        <x:v>422.313720703125</x:v>
      </x:c>
      <x:c r="I240" s="23" t="n">
        <x:v>422.25919596354163</x:v>
      </x:c>
      <x:c r="J240" s="23" t="n">
        <x:v>432.70389811197913</x:v>
      </x:c>
      <x:c r="K240" s="23" t="n">
        <x:v>435.5216064453125</x:v>
      </x:c>
      <x:c r="L240" s="23" t="n">
        <x:v>431.73465983072913</x:v>
      </x:c>
      <x:c r="M240" s="23" t="n">
        <x:v>435.24039713541663</x:v>
      </x:c>
      <x:c r="N240" s="23" t="n">
        <x:v>441.2862141927083</x:v>
      </x:c>
      <x:c r="O240" s="23" t="n">
        <x:v>444.7593994140625</x:v>
      </x:c>
      <x:c r="P240" s="23" t="n">
        <x:v>436.8042805989583</x:v>
      </x:c>
      <x:c r="Q240" s="23" t="n">
        <x:v>428.8729248046875</x:v>
      </x:c>
      <x:c r="R240" s="23" t="n">
        <x:v>436.16837565104163</x:v>
      </x:c>
      <x:c r="S240" s="23" t="n">
        <x:v>440.04117838541663</x:v>
      </x:c>
      <x:c r="T240" s="23" t="n">
        <x:v>0</x:v>
      </x:c>
      <x:c r="U240" s="23" t="n">
        <x:v>0</x:v>
      </x:c>
      <x:c r="V240" s="23" t="n">
        <x:v>448.6773681640625</x:v>
      </x:c>
      <x:c r="W240" s="23" t="n">
        <x:v>445.9268798828125</x:v>
      </x:c>
      <x:c r="X240" s="23" t="n">
        <x:v>439.46732584635413</x:v>
      </x:c>
      <x:c r="Y240" s="23" t="n">
        <x:v>437.339111328125</x:v>
      </x:c>
      <x:c r="Z240" s="23" t="n">
        <x:v>426.62589977023737</x:v>
      </x:c>
      <x:c r="AA240" s="23" t="n">
        <x:v>454.8055419921875</x:v>
      </x:c>
      <x:c r="AB240" s="23" t="n">
        <x:v>448.34716796875</x:v>
      </x:c>
      <x:c r="AC240" s="23" t="n">
        <x:v>443.9190673828125</x:v>
      </x:c>
      <x:c r="AD240" s="23" t="n">
        <x:v>0</x:v>
      </x:c>
      <x:c r="AE240" s="23" t="n">
        <x:v>456.0270589192708</x:v>
      </x:c>
      <x:c r="AF240" s="23" t="n">
        <x:v>452.11100260416663</x:v>
      </x:c>
      <x:c r="AG240" s="23" t="n">
        <x:v>447.36686307912646</x:v>
      </x:c>
      <x:c r="AH240" s="23" t="n">
        <x:v>459.62333170572913</x:v>
      </x:c>
      <x:c r="AI240" s="23" t="n">
        <x:v>1269.4493833882764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29.986839063267702</x:v>
      </x:c>
      <x:c r="CT240" s="23" t="n">
        <x:v>62.17769272220645</x:v>
      </x:c>
      <x:c r="CU240" s="23" t="n">
        <x:v>100.20079184856536</x:v>
      </x:c>
      <x:c r="CV240" s="23" t="n">
        <x:v>166.45036642963305</x:v>
      </x:c>
      <x:c r="CW240" s="23" t="n">
        <x:v>243.76835582758898</x:v>
      </x:c>
      <x:c r="CX240" s="23" t="n">
        <x:v>261.7157526282315</x:v>
      </x:c>
      <x:c r="CY240" s="23" t="n">
        <x:v>261.9555482567949</x:v>
      </x:c>
      <x:c r="CZ240" s="23" t="n">
        <x:v>298.19038769203604</x:v>
      </x:c>
      <x:c r="DA240" s="23" t="n">
        <x:v>352.769267739831</x:v>
      </x:c>
      <x:c r="DB240" s="23" t="n">
        <x:v>379.5138426666752</x:v>
      </x:c>
      <x:c r="DC240" s="23" t="n">
        <x:v>387.5760227857056</x:v>
      </x:c>
      <x:c r="DD240" s="23" t="n">
        <x:v>472.94891253648154</x:v>
      </x:c>
      <x:c r="DE240" s="23" t="n">
        <x:v>0</x:v>
      </x:c>
      <x:c r="DF240" s="23" t="n">
        <x:v>0</x:v>
      </x:c>
      <x:c r="DG240" s="23" t="n">
        <x:v>0</x:v>
      </x:c>
      <x:c r="DH240" s="23" t="n">
        <x:v>0</x:v>
      </x:c>
      <x:c r="DI240" s="23" t="n">
        <x:v>491.23251235421446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286.195026989619</x:v>
      </x:c>
      <x:c r="DW240" s="23" t="n">
        <x:v>572.00732421875</x:v>
      </x:c>
      <x:c r="DX240" s="23" t="n">
        <x:v>516.8537627998007</x:v>
      </x:c>
      <x:c r="DY240" s="23" t="n">
        <x:v>504.56144205729163</x:v>
      </x:c>
      <x:c r="DZ240" s="23" t="n">
        <x:v>519.2665608723958</x:v>
      </x:c>
      <x:c r="EA240" s="23" t="n">
        <x:v>515.4392496744791</x:v>
      </x:c>
      <x:c r="EB240" s="23" t="n">
        <x:v>501.9910481770833</x:v>
      </x:c>
      <x:c r="EC240" s="23" t="n">
        <x:v>482.5292561848958</x:v>
      </x:c>
      <x:c r="ED240" s="23" t="n">
        <x:v>1275.9191080729165</x:v>
      </x:c>
      <x:c r="EE240" s="23" t="n">
        <x:v>442.897705078125</x:v>
      </x:c>
      <x:c r="EF240" s="23" t="n">
        <x:v>1275.9503987630208</x:v>
      </x:c>
      <x:c r="EG240" s="23" t="n">
        <x:v>633.4545401917759</x:v>
      </x:c>
      <x:c r="EH240" s="23" t="n">
        <x:v>458.43310546875</x:v>
      </x:c>
      <x:c r="EI240" s="23" t="n">
        <x:v>1286.1852620442708</x:v>
      </x:c>
      <x:c r="EJ240" s="23" t="n">
        <x:v>1276.6412760416665</x:v>
      </x:c>
      <x:c r="EK240" s="23" t="n">
        <x:v>1270.1774088541665</x:v>
      </x:c>
      <x:c r="EL240" s="23" t="n">
        <x:v>1273.7848307291665</x:v>
      </x:c>
      <x:c r="EM240" s="23" t="n">
        <x:v>1279.8683268229165</x:v>
      </x:c>
      <x:c r="EN240" s="23" t="n">
        <x:v>469.95841471354163</x:v>
      </x:c>
      <x:c r="EO240" s="23" t="n">
        <x:v>0</x:v>
      </x:c>
      <x:c r="EP240" s="23" t="n">
        <x:f>SUM(B240:EO240)</x:f>
        <x:v>31922.7308817258</x:v>
      </x:c>
      <x:c r="EQ240" s="23" t="n">
        <x:f>SUMPRODUCT(B240:EO240,{0.3432,0.3449,0.3444,0.3567,0.3483,0.3343,0.3613,0.3649,0.3335,0.3249,0.3477,0.3725,0.3632,0.3556,0.3587,0.3472,0.3396,0.3584,0.3946,0.3501,0.2867,0.3633,0.4071,0.3517,0.3041,0.3009,0.336,0.3755,0.3667,0.3379,0.3651,0.3792,0.3393,0.307,0.4789,0.7502,0.7986,0.7639,0.7535,0.7343,0.7155,0.7148,0.7283,0.6868,0.5831,0.513,0.6558,0.8724,0.8305,0.765,0.754,0.659,0.6699,0.7722,0.743,0.6838,0.6682,0.6598,0.6311,0.5997,0.6086,0.638,0.6453,0.5813,0.405,0.2264,0.2236,0.2568,0.2437,0.2319,0.2345,0.2347,0.2123,0.208,0.2301,0.2666,0.4091,0.5763,0.5837,0.6168,0.6905,0.6386,0.6246,0.6964,0.7285,0.7084,0.7121,0.7926,0.6963,0.4847,0.4882,0.5516,0.5382,0.4875,0.5511,0.6813,0.6803,0.65,0.6715,0.7134,0.692,0.6532,0.7188,0.7525,0.7262,0.7711,0.9513,1.149,1.1716,1.1742,1.2125,1.1913,1.1577,1.1473,1.1535,1.1923,1.2231,1.1833,1.1689,1.198,1.1957,1.1848,1.1857,1.1647,0.9929,0.7923,0.8257,0.838,0.8008,0.8924,0.7112,0.3373,0.2929,0.3528,0.3561,0.3712,0.3582,0.3204,0.3173,0.344,0.375,0.3933,0.43,0.4657})</x:f>
        <x:v>14335.071152896924</x:v>
      </x:c>
    </x:row>
    <x:row r="241" ht="14" customHeight="1">
      <x:c r="A241" s="3">
        <x:v>45928</x:v>
      </x:c>
      <x:c r="B241" s="23" t="n">
        <x:v>605.5955810546875</x:v>
      </x:c>
      <x:c r="C241" s="23" t="n">
        <x:v>584.6575927734375</x:v>
      </x:c>
      <x:c r="D241" s="23" t="n">
        <x:v>1411.214396158854</x:v>
      </x:c>
      <x:c r="E241" s="23" t="n">
        <x:v>593.609619140625</x:v>
      </x:c>
      <x:c r="F241" s="23" t="n">
        <x:v>595.2267659505208</x:v>
      </x:c>
      <x:c r="G241" s="23" t="n">
        <x:v>1409.3251139322915</x:v>
      </x:c>
      <x:c r="H241" s="23" t="n">
        <x:v>1038.0466256438087</x:v>
      </x:c>
      <x:c r="I241" s="23" t="n">
        <x:v>581.341796875</x:v>
      </x:c>
      <x:c r="J241" s="23" t="n">
        <x:v>580.4720052083333</x:v>
      </x:c>
      <x:c r="K241" s="23" t="n">
        <x:v>592.5627034505208</x:v>
      </x:c>
      <x:c r="L241" s="23" t="n">
        <x:v>593.09130859375</x:v>
      </x:c>
      <x:c r="M241" s="23" t="n">
        <x:v>585.7856038411458</x:v>
      </x:c>
      <x:c r="N241" s="23" t="n">
        <x:v>590.3402913411458</x:v>
      </x:c>
      <x:c r="O241" s="23" t="n">
        <x:v>592.3006998697916</x:v>
      </x:c>
      <x:c r="P241" s="23" t="n">
        <x:v>589.0467936197916</x:v>
      </x:c>
      <x:c r="Q241" s="23" t="n">
        <x:v>1408.6754150390625</x:v>
      </x:c>
      <x:c r="R241" s="23" t="n">
        <x:v>1416.423828125</x:v>
      </x:c>
      <x:c r="S241" s="23" t="n">
        <x:v>593.9358723958333</x:v>
      </x:c>
      <x:c r="T241" s="23" t="n">
        <x:v>608.5025634765625</x:v>
      </x:c>
      <x:c r="U241" s="23" t="n">
        <x:v>604.2787679036458</x:v>
      </x:c>
      <x:c r="V241" s="23" t="n">
        <x:v>591.4396565755208</x:v>
      </x:c>
      <x:c r="W241" s="23" t="n">
        <x:v>599.6866048177083</x:v>
      </x:c>
      <x:c r="X241" s="23" t="n">
        <x:v>597.4289957682291</x:v>
      </x:c>
      <x:c r="Y241" s="23" t="n">
        <x:v>594.133544921875</x:v>
      </x:c>
      <x:c r="Z241" s="23" t="n">
        <x:v>609.064453125</x:v>
      </x:c>
      <x:c r="AA241" s="23" t="n">
        <x:v>612.47705078125</x:v>
      </x:c>
      <x:c r="AB241" s="23" t="n">
        <x:v>603.8120524088541</x:v>
      </x:c>
      <x:c r="AC241" s="23" t="n">
        <x:v>619.1984049479166</x:v>
      </x:c>
      <x:c r="AD241" s="23" t="n">
        <x:v>610.86376953125</x:v>
      </x:c>
      <x:c r="AE241" s="23" t="n">
        <x:v>591.4256184895833</x:v>
      </x:c>
      <x:c r="AF241" s="23" t="n">
        <x:v>590.8943684895833</x:v>
      </x:c>
      <x:c r="AG241" s="23" t="n">
        <x:v>602.4742838541666</x:v>
      </x:c>
      <x:c r="AH241" s="23" t="n">
        <x:v>1448.7547607421875</x:v>
      </x:c>
      <x:c r="AI241" s="23" t="n">
        <x:v>1417.5457957624378</x:v>
      </x:c>
      <x:c r="AJ241" s="23" t="n">
        <x:v>645.6421198570952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0</x:v>
      </x:c>
      <x:c r="AT241" s="23" t="n">
        <x:v>98.38185021005475</x:v>
      </x:c>
      <x:c r="AU241" s="23" t="n">
        <x:v>280.0798991341777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550.4826556242617</x:v>
      </x:c>
      <x:c r="BQ241" s="23" t="n">
        <x:v>534.8292030559438</x:v>
      </x:c>
      <x:c r="BR241" s="23" t="n">
        <x:v>477.42876101597324</x:v>
      </x:c>
      <x:c r="BS241" s="23" t="n">
        <x:v>0</x:v>
      </x:c>
      <x:c r="BT241" s="23" t="n">
        <x:v>0</x:v>
      </x:c>
      <x:c r="BU241" s="23" t="n">
        <x:v>467.51674903971525</x:v>
      </x:c>
      <x:c r="BV241" s="23" t="n">
        <x:v>465.95007689232807</x:v>
      </x:c>
      <x:c r="BW241" s="23" t="n">
        <x:v>475.64484660436995</x:v>
      </x:c>
      <x:c r="BX241" s="23" t="n">
        <x:v>476.7918126757577</x:v>
      </x:c>
      <x:c r="BY241" s="23" t="n">
        <x:v>485.44884606962506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447.2261833877551</x:v>
      </x:c>
      <x:c r="CN241" s="23" t="n">
        <x:v>222.16193820750414</x:v>
      </x:c>
      <x:c r="CO241" s="23" t="n">
        <x:v>263.1130885473934</x:v>
      </x:c>
      <x:c r="CP241" s="23" t="n">
        <x:v>312.64783045359854</x:v>
      </x:c>
      <x:c r="CQ241" s="23" t="n">
        <x:v>355.43483496547543</x:v>
      </x:c>
      <x:c r="CR241" s="23" t="n">
        <x:v>411.61687787074186</x:v>
      </x:c>
      <x:c r="CS241" s="23" t="n">
        <x:v>497.19863661512034</x:v>
      </x:c>
      <x:c r="CT241" s="23" t="n">
        <x:v>555.2506045294923</x:v>
      </x:c>
      <x:c r="CU241" s="23" t="n">
        <x:v>605.0919833996978</x:v>
      </x:c>
      <x:c r="CV241" s="23" t="n">
        <x:v>655.8266243707153</x:v>
      </x:c>
      <x:c r="CW241" s="23" t="n">
        <x:v>705.6294494533258</x:v>
      </x:c>
      <x:c r="CX241" s="23" t="n">
        <x:v>747.5721764734046</x:v>
      </x:c>
      <x:c r="CY241" s="23" t="n">
        <x:v>796.5343309971161</x:v>
      </x:c>
      <x:c r="CZ241" s="23" t="n">
        <x:v>851.0463772226054</x:v>
      </x:c>
      <x:c r="DA241" s="23" t="n">
        <x:v>899.8378501523378</x:v>
      </x:c>
      <x:c r="DB241" s="23" t="n">
        <x:v>948.9059289860844</x:v>
      </x:c>
      <x:c r="DC241" s="23" t="n">
        <x:v>1020.7178670507379</x:v>
      </x:c>
      <x:c r="DD241" s="23" t="n">
        <x:v>897.5487694250126</x:v>
      </x:c>
      <x:c r="DE241" s="23" t="n">
        <x:v>763.5219008345475</x:v>
      </x:c>
      <x:c r="DF241" s="23" t="n">
        <x:v>0</x:v>
      </x:c>
      <x:c r="DG241" s="23" t="n">
        <x:v>0</x:v>
      </x:c>
      <x:c r="DH241" s="23" t="n">
        <x:v>194.66973308971356</x:v>
      </x:c>
      <x:c r="DI241" s="23" t="n">
        <x:v>820.3733723958333</x:v>
      </x:c>
      <x:c r="DJ241" s="23" t="n">
        <x:v>822.9724934895833</x:v>
      </x:c>
      <x:c r="DK241" s="23" t="n">
        <x:v>0</x:v>
      </x:c>
      <x:c r="DL241" s="23" t="n">
        <x:v>0</x:v>
      </x:c>
      <x:c r="DM241" s="23" t="n">
        <x:v>808.162353515625</x:v>
      </x:c>
      <x:c r="DN241" s="23" t="n">
        <x:v>792.1110026041666</x:v>
      </x:c>
      <x:c r="DO241" s="23" t="n">
        <x:v>788.28271484375</x:v>
      </x:c>
      <x:c r="DP241" s="23" t="n">
        <x:v>0</x:v>
      </x:c>
      <x:c r="DQ241" s="23" t="n">
        <x:v>0</x:v>
      </x:c>
      <x:c r="DR241" s="23" t="n">
        <x:v>0</x:v>
      </x:c>
      <x:c r="DS241" s="23" t="n">
        <x:v>0</x:v>
      </x:c>
      <x:c r="DT241" s="23" t="n">
        <x:v>0</x:v>
      </x:c>
      <x:c r="DU241" s="23" t="n">
        <x:v>0</x:v>
      </x:c>
      <x:c r="DV241" s="23" t="n">
        <x:v>822.3407389322916</x:v>
      </x:c>
      <x:c r="DW241" s="23" t="n">
        <x:v>827.4790245949075</x:v>
      </x:c>
      <x:c r="DX241" s="23" t="n">
        <x:v>828.7845865885416</x:v>
      </x:c>
      <x:c r="DY241" s="23" t="n">
        <x:v>795.5779705584491</x:v>
      </x:c>
      <x:c r="DZ241" s="23" t="n">
        <x:v>800.919921875</x:v>
      </x:c>
      <x:c r="EA241" s="23" t="n">
        <x:v>831.869140625</x:v>
      </x:c>
      <x:c r="EB241" s="23" t="n">
        <x:v>758.322998046875</x:v>
      </x:c>
      <x:c r="EC241" s="23" t="n">
        <x:v>600.635498046875</x:v>
      </x:c>
      <x:c r="ED241" s="23" t="n">
        <x:v>1433.9973958333333</x:v>
      </x:c>
      <x:c r="EE241" s="23" t="n">
        <x:v>617.9778238932291</x:v>
      </x:c>
      <x:c r="EF241" s="23" t="n">
        <x:v>606.5635986328125</x:v>
      </x:c>
      <x:c r="EG241" s="23" t="n">
        <x:v>1423.0712483723958</x:v>
      </x:c>
      <x:c r="EH241" s="23" t="n">
        <x:v>904.8700187556265</x:v>
      </x:c>
      <x:c r="EI241" s="23" t="n">
        <x:v>610.3540445963541</x:v>
      </x:c>
      <x:c r="EJ241" s="23" t="n">
        <x:v>1438.9219970703125</x:v>
      </x:c>
      <x:c r="EK241" s="23" t="n">
        <x:v>1439.7020263671875</x:v>
      </x:c>
      <x:c r="EL241" s="23" t="n">
        <x:v>615.3754475911458</x:v>
      </x:c>
      <x:c r="EM241" s="23" t="n">
        <x:v>1429.9035237630208</x:v>
      </x:c>
      <x:c r="EN241" s="23" t="n">
        <x:v>1418.6107584635415</x:v>
      </x:c>
      <x:c r="EO241" s="23" t="n">
        <x:v>594.5322265625</x:v>
      </x:c>
      <x:c r="EP241" s="23" t="n">
        <x:f>SUM(B241:EO241)</x:f>
        <x:v>65605.09443683941</x:v>
      </x:c>
      <x:c r="EQ241" s="23" t="n">
        <x:f>SUMPRODUCT(B241:EO241,{0.4443,0.4135,0.4117,0.4375,0.473,0.4796,0.4298,0.4066,0.4305,0.4433,0.4355,0.441,0.4877,0.4645,0.3972,0.4214,0.4289,0.3879,0.3864,0.4345,0.4659,0.4122,0.4096,0.4587,0.4337,0.4417,0.4772,0.4265,0.4263,0.4822,0.463,0.463,0.4698,0.4112,0.6159,0.9611,0.9668,0.9204,0.9625,0.9392,0.8936,0.8656,0.8457,0.8499,0.8327,0.7593,0.8927,1.1625,1.2089,1.1468,1.111,1.1185,1.1273,1.115,1.0909,1.0543,1.0046,0.9534,0.9429,0.964,0.9621,0.9374,0.9196,0.9146,0.7828,0.5838,0.5347,0.5426,0.5129,0.4497,0.4316,0.4524,0.4389,0.4573,0.4905,0.4812,0.668,0.9374,0.912,0.8546,0.9043,0.9307,0.8842,0.834,0.8927,0.9666,1.0069,1.0284,0.9205,0.7594,0.7492,0.7396,0.7049,0.7695,0.8037,0.7934,0.8542,0.904,0.9304,1.0009,1.0239,1.009,1.0645,1.1249,1.1412,1.1397,1.1948,1.2882,1.3213,1.2923,1.2559,1.2762,1.3299,1.347,1.2853,1.2985,1.3657,1.322,1.3137,1.3583,1.321,1.292,1.3289,1.3665,1.2258,0.9931,0.9426,0.9364,0.9346,1.002,0.8251,0.4849,0.4096,0.4584,0.4715,0.4414,0.449,0.4773,0.4399,0.4422,0.477,0.4341,0.4343,0.4891})</x:f>
        <x:v>42892.505731682475</x:v>
      </x:c>
    </x:row>
    <x:row r="242" ht="14" customHeight="1">
      <x:c r="A242" s="3">
        <x:v>45929</x:v>
      </x:c>
      <x:c r="B242" s="23" t="n">
        <x:v>612.800048828125</x:v>
      </x:c>
      <x:c r="C242" s="23" t="n">
        <x:v>598.0978190104166</x:v>
      </x:c>
      <x:c r="D242" s="23" t="n">
        <x:v>1393.2857666015625</x:v>
      </x:c>
      <x:c r="E242" s="23" t="n">
        <x:v>593.7018636067708</x:v>
      </x:c>
      <x:c r="F242" s="23" t="n">
        <x:v>610.6318359375</x:v>
      </x:c>
      <x:c r="G242" s="23" t="n">
        <x:v>590.108642578125</x:v>
      </x:c>
      <x:c r="H242" s="23" t="n">
        <x:v>1411.6302897135415</x:v>
      </x:c>
      <x:c r="I242" s="23" t="n">
        <x:v>576.5816650390625</x:v>
      </x:c>
      <x:c r="J242" s="23" t="n">
        <x:v>581.0853678385416</x:v>
      </x:c>
      <x:c r="K242" s="23" t="n">
        <x:v>597.923095703125</x:v>
      </x:c>
      <x:c r="L242" s="23" t="n">
        <x:v>611.4842936197916</x:v>
      </x:c>
      <x:c r="M242" s="23" t="n">
        <x:v>605.1116536458333</x:v>
      </x:c>
      <x:c r="N242" s="23" t="n">
        <x:v>600.9761962890625</x:v>
      </x:c>
      <x:c r="O242" s="23" t="n">
        <x:v>601.8467203776041</x:v>
      </x:c>
      <x:c r="P242" s="23" t="n">
        <x:v>591.5201009114583</x:v>
      </x:c>
      <x:c r="Q242" s="23" t="n">
        <x:v>597.0416666666666</x:v>
      </x:c>
      <x:c r="R242" s="23" t="n">
        <x:v>593.6251627604166</x:v>
      </x:c>
      <x:c r="S242" s="23" t="n">
        <x:v>587.6661376953125</x:v>
      </x:c>
      <x:c r="T242" s="23" t="n">
        <x:v>586.2197265625</x:v>
      </x:c>
      <x:c r="U242" s="23" t="n">
        <x:v>598.6793212890625</x:v>
      </x:c>
      <x:c r="V242" s="23" t="n">
        <x:v>600.6260172526041</x:v>
      </x:c>
      <x:c r="W242" s="23" t="n">
        <x:v>603.1767578125</x:v>
      </x:c>
      <x:c r="X242" s="23" t="n">
        <x:v>599.8216552734375</x:v>
      </x:c>
      <x:c r="Y242" s="23" t="n">
        <x:v>879.4044267031561</x:v>
      </x:c>
      <x:c r="Z242" s="23" t="n">
        <x:v>1433.7825927734375</x:v>
      </x:c>
      <x:c r="AA242" s="23" t="n">
        <x:v>1436.50634765625</x:v>
      </x:c>
      <x:c r="AB242" s="23" t="n">
        <x:v>601.0950520833333</x:v>
      </x:c>
      <x:c r="AC242" s="23" t="n">
        <x:v>598.023193359375</x:v>
      </x:c>
      <x:c r="AD242" s="23" t="n">
        <x:v>599.3976236979166</x:v>
      </x:c>
      <x:c r="AE242" s="23" t="n">
        <x:v>605.0762125651041</x:v>
      </x:c>
      <x:c r="AF242" s="23" t="n">
        <x:v>1431.9616292317708</x:v>
      </x:c>
      <x:c r="AG242" s="23" t="n">
        <x:v>596.71923828125</x:v>
      </x:c>
      <x:c r="AH242" s="23" t="n">
        <x:v>610.6242268880208</x:v>
      </x:c>
      <x:c r="AI242" s="23" t="n">
        <x:v>1427.4178572234252</x:v>
      </x:c>
      <x:c r="AJ242" s="23" t="n">
        <x:v>658.2278737290507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0</x:v>
      </x:c>
      <x:c r="AS242" s="23" t="n">
        <x:v>186.56855934112423</x:v>
      </x:c>
      <x:c r="AT242" s="23" t="n">
        <x:v>373.95021715802795</x:v>
      </x:c>
      <x:c r="AU242" s="23" t="n">
        <x:v>291.0555210748123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582.1327125912285</x:v>
      </x:c>
      <x:c r="BQ242" s="23" t="n">
        <x:v>545.8506023879264</x:v>
      </x:c>
      <x:c r="BR242" s="23" t="n">
        <x:v>545.3687715649054</x:v>
      </x:c>
      <x:c r="BS242" s="23" t="n">
        <x:v>0</x:v>
      </x:c>
      <x:c r="BT242" s="23" t="n">
        <x:v>515.0047874201888</x:v>
      </x:c>
      <x:c r="BU242" s="23" t="n">
        <x:v>467.80442175666786</x:v>
      </x:c>
      <x:c r="BV242" s="23" t="n">
        <x:v>459.983839659964</x:v>
      </x:c>
      <x:c r="BW242" s="23" t="n">
        <x:v>484.65415558463366</x:v>
      </x:c>
      <x:c r="BX242" s="23" t="n">
        <x:v>497.26988220187224</x:v>
      </x:c>
      <x:c r="BY242" s="23" t="n">
        <x:v>508.7955881483631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176.05737451206792</x:v>
      </x:c>
      <x:c r="CN242" s="23" t="n">
        <x:v>431.74267622809003</x:v>
      </x:c>
      <x:c r="CO242" s="23" t="n">
        <x:v>255.45281750267623</x:v>
      </x:c>
      <x:c r="CP242" s="23" t="n">
        <x:v>295.431891435868</x:v>
      </x:c>
      <x:c r="CQ242" s="23" t="n">
        <x:v>333.0365763112695</x:v>
      </x:c>
      <x:c r="CR242" s="23" t="n">
        <x:v>388.11220225317106</x:v>
      </x:c>
      <x:c r="CS242" s="23" t="n">
        <x:v>468.57516308268816</x:v>
      </x:c>
      <x:c r="CT242" s="23" t="n">
        <x:v>522.8312614242703</x:v>
      </x:c>
      <x:c r="CU242" s="23" t="n">
        <x:v>586.6163323801502</x:v>
      </x:c>
      <x:c r="CV242" s="23" t="n">
        <x:v>655.8203974137673</x:v>
      </x:c>
      <x:c r="CW242" s="23" t="n">
        <x:v>703.9885386834578</x:v>
      </x:c>
      <x:c r="CX242" s="23" t="n">
        <x:v>739.921581062822</x:v>
      </x:c>
      <x:c r="CY242" s="23" t="n">
        <x:v>784.6704732628814</x:v>
      </x:c>
      <x:c r="CZ242" s="23" t="n">
        <x:v>841.9132520954861</x:v>
      </x:c>
      <x:c r="DA242" s="23" t="n">
        <x:v>902.577846102006</x:v>
      </x:c>
      <x:c r="DB242" s="23" t="n">
        <x:v>958.9041017590176</x:v>
      </x:c>
      <x:c r="DC242" s="23" t="n">
        <x:v>1062.5988661507736</x:v>
      </x:c>
      <x:c r="DD242" s="23" t="n">
        <x:v>961.5236467396653</x:v>
      </x:c>
      <x:c r="DE242" s="23" t="n">
        <x:v>0</x:v>
      </x:c>
      <x:c r="DF242" s="23" t="n">
        <x:v>737.887748239973</x:v>
      </x:c>
      <x:c r="DG242" s="23" t="n">
        <x:v>753.6343181680287</x:v>
      </x:c>
      <x:c r="DH242" s="23" t="n">
        <x:v>764.5447591145833</x:v>
      </x:c>
      <x:c r="DI242" s="23" t="n">
        <x:v>765.156494140625</x:v>
      </x:c>
      <x:c r="DJ242" s="23" t="n">
        <x:v>766.3046061197916</x:v>
      </x:c>
      <x:c r="DK242" s="23" t="n">
        <x:v>0</x:v>
      </x:c>
      <x:c r="DL242" s="23" t="n">
        <x:v>0</x:v>
      </x:c>
      <x:c r="DM242" s="23" t="n">
        <x:v>0</x:v>
      </x:c>
      <x:c r="DN242" s="23" t="n">
        <x:v>68.84339123088526</x:v>
      </x:c>
      <x:c r="DO242" s="23" t="n">
        <x:v>807.0732421875</x:v>
      </x:c>
      <x:c r="DP242" s="23" t="n">
        <x:v>0</x:v>
      </x:c>
      <x:c r="DQ242" s="23" t="n">
        <x:v>0</x:v>
      </x:c>
      <x:c r="DR242" s="23" t="n">
        <x:v>0</x:v>
      </x:c>
      <x:c r="DS242" s="23" t="n">
        <x:v>0</x:v>
      </x:c>
      <x:c r="DT242" s="23" t="n">
        <x:v>0</x:v>
      </x:c>
      <x:c r="DU242" s="23" t="n">
        <x:v>0</x:v>
      </x:c>
      <x:c r="DV242" s="23" t="n">
        <x:v>796.7084147135416</x:v>
      </x:c>
      <x:c r="DW242" s="23" t="n">
        <x:v>802.3420276813272</x:v>
      </x:c>
      <x:c r="DX242" s="23" t="n">
        <x:v>811.2513020833333</x:v>
      </x:c>
      <x:c r="DY242" s="23" t="n">
        <x:v>807.2896321614583</x:v>
      </x:c>
      <x:c r="DZ242" s="23" t="n">
        <x:v>778.9165852864583</x:v>
      </x:c>
      <x:c r="EA242" s="23" t="n">
        <x:v>799.1371256510416</x:v>
      </x:c>
      <x:c r="EB242" s="23" t="n">
        <x:v>755.4656138281248</x:v>
      </x:c>
      <x:c r="EC242" s="23" t="n">
        <x:v>930.6531154554078</x:v>
      </x:c>
      <x:c r="ED242" s="23" t="n">
        <x:v>1415.927490234375</x:v>
      </x:c>
      <x:c r="EE242" s="23" t="n">
        <x:v>1426.4783528645833</x:v>
      </x:c>
      <x:c r="EF242" s="23" t="n">
        <x:v>594.3387044270833</x:v>
      </x:c>
      <x:c r="EG242" s="23" t="n">
        <x:v>595.7892252604166</x:v>
      </x:c>
      <x:c r="EH242" s="23" t="n">
        <x:v>597.4418131510416</x:v>
      </x:c>
      <x:c r="EI242" s="23" t="n">
        <x:v>623.1346435546875</x:v>
      </x:c>
      <x:c r="EJ242" s="23" t="n">
        <x:v>1434.6922607421875</x:v>
      </x:c>
      <x:c r="EK242" s="23" t="n">
        <x:v>1435.1764322916665</x:v>
      </x:c>
      <x:c r="EL242" s="23" t="n">
        <x:v>625.1341145833333</x:v>
      </x:c>
      <x:c r="EM242" s="23" t="n">
        <x:v>1436.1302083333333</x:v>
      </x:c>
      <x:c r="EN242" s="23" t="n">
        <x:v>1420.692626953125</x:v>
      </x:c>
      <x:c r="EO242" s="23" t="n">
        <x:v>596.3177083333333</x:v>
      </x:c>
      <x:c r="EP242" s="23" t="n">
        <x:f>SUM(B242:EO242)</x:f>
        <x:v>66096.5540932862</x:v>
      </x:c>
      <x:c r="EQ242" s="23" t="n">
        <x:f>SUMPRODUCT(B242:EO242,{0.4795,0.4361,0.4072,0.4102,0.4235,0.4268,0.4213,0.4466,0.4732,0.4345,0.4239,0.4514,0.4406,0.462,0.5005,0.4664,0.4609,0.4888,0.4525,0.4242,0.431,0.4253,0.4164,0.425,0.4566,0.4703,0.4524,0.4291,0.4286,0.4468,0.4537,0.4453,0.4053,0.3708,0.6446,1.0402,1.0329,0.9511,0.9656,0.9285,0.9181,0.9204,0.8346,0.8137,0.8214,0.71,0.8773,1.2209,1.2122,1.1599,1.2007,1.1498,1.0852,1.0516,1.0081,0.9829,0.9877,0.9971,0.9804,0.9427,0.9173,0.903,0.9232,0.9742,0.8293,0.5562,0.4693,0.4713,0.4667,0.4612,0.4333,0.398,0.4038,0.4511,0.4881,0.4807,0.6114,0.822,0.8598,0.869,0.9237,0.9412,0.9021,0.8653,0.9096,0.9558,0.9902,1.0396,0.8896,0.6594,0.7133,0.8244,0.8247,0.7752,0.8028,0.8892,0.9101,0.9492,0.9926,0.9445,0.9756,1.0743,1.0572,1.049,1.0922,1.1091,1.1822,1.2865,1.2992,1.3037,1.3354,1.345,1.3462,1.3341,1.2907,1.2838,1.2907,1.2328,1.2498,1.3334,1.3322,1.3337,1.3651,1.3354,1.1719,0.9728,0.9282,0.9449,0.9886,1.0603,0.807,0.3951,0.3794,0.4466,0.4244,0.4559,0.4893,0.4796,0.4467,0.4315,0.4422,0.4567,0.4793,0.4838})</x:f>
        <x:v>42745.95513582854</x:v>
      </x:c>
    </x:row>
    <x:row r="243" ht="14" customHeight="1">
      <x:c r="A243" s="3">
        <x:v>45930</x:v>
      </x:c>
      <x:c r="B243" s="23" t="n">
        <x:v>606.7296549479166</x:v>
      </x:c>
      <x:c r="C243" s="23" t="n">
        <x:v>608.8767903645833</x:v>
      </x:c>
      <x:c r="D243" s="23" t="n">
        <x:v>598.326171875</x:v>
      </x:c>
      <x:c r="E243" s="23" t="n">
        <x:v>599.4754638671875</x:v>
      </x:c>
      <x:c r="F243" s="23" t="n">
        <x:v>1428.005411783854</x:v>
      </x:c>
      <x:c r="G243" s="23" t="n">
        <x:v>589.4152018229166</x:v>
      </x:c>
      <x:c r="H243" s="23" t="n">
        <x:v>592.0793863932291</x:v>
      </x:c>
      <x:c r="I243" s="23" t="n">
        <x:v>1423.266153971354</x:v>
      </x:c>
      <x:c r="J243" s="23" t="n">
        <x:v>1411.71337890625</x:v>
      </x:c>
      <x:c r="K243" s="23" t="n">
        <x:v>589.2198893229166</x:v>
      </x:c>
      <x:c r="L243" s="23" t="n">
        <x:v>591.8338216145833</x:v>
      </x:c>
      <x:c r="M243" s="23" t="n">
        <x:v>595.7403564453125</x:v>
      </x:c>
      <x:c r="N243" s="23" t="n">
        <x:v>600.6005859375</x:v>
      </x:c>
      <x:c r="O243" s="23" t="n">
        <x:v>599.5792643229166</x:v>
      </x:c>
      <x:c r="P243" s="23" t="n">
        <x:v>600.3720296223958</x:v>
      </x:c>
      <x:c r="Q243" s="23" t="n">
        <x:v>602.9534912109375</x:v>
      </x:c>
      <x:c r="R243" s="23" t="n">
        <x:v>603.4581705729166</x:v>
      </x:c>
      <x:c r="S243" s="23" t="n">
        <x:v>599.6909993489583</x:v>
      </x:c>
      <x:c r="T243" s="23" t="n">
        <x:v>615.6649983723958</x:v>
      </x:c>
      <x:c r="U243" s="23" t="n">
        <x:v>604.5291748046875</x:v>
      </x:c>
      <x:c r="V243" s="23" t="n">
        <x:v>1427.217081705729</x:v>
      </x:c>
      <x:c r="W243" s="23" t="n">
        <x:v>997.0689535485792</x:v>
      </x:c>
      <x:c r="X243" s="23" t="n">
        <x:v>600.5963541666666</x:v>
      </x:c>
      <x:c r="Y243" s="23" t="n">
        <x:v>602.3881429036458</x:v>
      </x:c>
      <x:c r="Z243" s="23" t="n">
        <x:v>611.9685872395833</x:v>
      </x:c>
      <x:c r="AA243" s="23" t="n">
        <x:v>1441.5143636067708</x:v>
      </x:c>
      <x:c r="AB243" s="23" t="n">
        <x:v>604.9301350911458</x:v>
      </x:c>
      <x:c r="AC243" s="23" t="n">
        <x:v>609.0996500651041</x:v>
      </x:c>
      <x:c r="AD243" s="23" t="n">
        <x:v>607.5565999348958</x:v>
      </x:c>
      <x:c r="AE243" s="23" t="n">
        <x:v>605.3036702473958</x:v>
      </x:c>
      <x:c r="AF243" s="23" t="n">
        <x:v>606.60107421875</x:v>
      </x:c>
      <x:c r="AG243" s="23" t="n">
        <x:v>604.3009847005208</x:v>
      </x:c>
      <x:c r="AH243" s="23" t="n">
        <x:v>606.1259358723958</x:v>
      </x:c>
      <x:c r="AI243" s="23" t="n">
        <x:v>1424.542272948991</x:v>
      </x:c>
      <x:c r="AJ243" s="23" t="n">
        <x:v>666.3016728065134</x:v>
      </x:c>
      <x:c r="AK243" s="23" t="n">
        <x:v>7.710976816830983</x:v>
      </x:c>
      <x:c r="AL243" s="23" t="n">
        <x:v>16.907045846015535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254.00635880419318</x:v>
      </x:c>
      <x:c r="AS243" s="23" t="n">
        <x:v>0</x:v>
      </x:c>
      <x:c r="AT243" s="23" t="n">
        <x:v>380.28902660079905</x:v>
      </x:c>
      <x:c r="AU243" s="23" t="n">
        <x:v>307.1580487026446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577.7318373166214</x:v>
      </x:c>
      <x:c r="BQ243" s="23" t="n">
        <x:v>541.2082216564779</x:v>
      </x:c>
      <x:c r="BR243" s="23" t="n">
        <x:v>527.8302689050203</x:v>
      </x:c>
      <x:c r="BS243" s="23" t="n">
        <x:v>0</x:v>
      </x:c>
      <x:c r="BT243" s="23" t="n">
        <x:v>397.49836646492986</x:v>
      </x:c>
      <x:c r="BU243" s="23" t="n">
        <x:v>446.76243130462655</x:v>
      </x:c>
      <x:c r="BV243" s="23" t="n">
        <x:v>443.8159705303051</x:v>
      </x:c>
      <x:c r="BW243" s="23" t="n">
        <x:v>456.24685927472876</x:v>
      </x:c>
      <x:c r="BX243" s="23" t="n">
        <x:v>478.1410846688892</x:v>
      </x:c>
      <x:c r="BY243" s="23" t="n">
        <x:v>494.845413326575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159.66836235498852</x:v>
      </x:c>
      <x:c r="CN243" s="23" t="n">
        <x:v>424.019157983044</x:v>
      </x:c>
      <x:c r="CO243" s="23" t="n">
        <x:v>265.0929826410114</x:v>
      </x:c>
      <x:c r="CP243" s="23" t="n">
        <x:v>315.1496595390079</x:v>
      </x:c>
      <x:c r="CQ243" s="23" t="n">
        <x:v>357.76481169226855</x:v>
      </x:c>
      <x:c r="CR243" s="23" t="n">
        <x:v>408.395201808386</x:v>
      </x:c>
      <x:c r="CS243" s="23" t="n">
        <x:v>492.54716706081274</x:v>
      </x:c>
      <x:c r="CT243" s="23" t="n">
        <x:v>556.7705867782694</x:v>
      </x:c>
      <x:c r="CU243" s="23" t="n">
        <x:v>606.077774945566</x:v>
      </x:c>
      <x:c r="CV243" s="23" t="n">
        <x:v>648.9805016725677</x:v>
      </x:c>
      <x:c r="CW243" s="23" t="n">
        <x:v>707.9912380784585</x:v>
      </x:c>
      <x:c r="CX243" s="23" t="n">
        <x:v>760.7853701567947</x:v>
      </x:c>
      <x:c r="CY243" s="23" t="n">
        <x:v>801.2538212159108</x:v>
      </x:c>
      <x:c r="CZ243" s="23" t="n">
        <x:v>853.7155558396877</x:v>
      </x:c>
      <x:c r="DA243" s="23" t="n">
        <x:v>908.6028843805352</x:v>
      </x:c>
      <x:c r="DB243" s="23" t="n">
        <x:v>956.8218198259613</x:v>
      </x:c>
      <x:c r="DC243" s="23" t="n">
        <x:v>1039.0199333293608</x:v>
      </x:c>
      <x:c r="DD243" s="23" t="n">
        <x:v>944.5287056979834</x:v>
      </x:c>
      <x:c r="DE243" s="23" t="n">
        <x:v>770.2859299860089</x:v>
      </x:c>
      <x:c r="DF243" s="23" t="n">
        <x:v>764.0504468974632</x:v>
      </x:c>
      <x:c r="DG243" s="23" t="n">
        <x:v>0</x:v>
      </x:c>
      <x:c r="DH243" s="23" t="n">
        <x:v>4.080655406021378</x:v>
      </x:c>
      <x:c r="DI243" s="23" t="n">
        <x:v>0.7113044629885128</x:v>
      </x:c>
      <x:c r="DJ243" s="23" t="n">
        <x:v>809.1332194010416</x:v>
      </x:c>
      <x:c r="DK243" s="23" t="n">
        <x:v>803.319580078125</x:v>
      </x:c>
      <x:c r="DL243" s="23" t="n">
        <x:v>218.56874038311676</x:v>
      </x:c>
      <x:c r="DM243" s="23" t="n">
        <x:v>0</x:v>
      </x:c>
      <x:c r="DN243" s="23" t="n">
        <x:v>0</x:v>
      </x:c>
      <x:c r="DO243" s="23" t="n">
        <x:v>794.684814453125</x:v>
      </x:c>
      <x:c r="DP243" s="23" t="n">
        <x:v>0</x:v>
      </x:c>
      <x:c r="DQ243" s="23" t="n">
        <x:v>0</x:v>
      </x:c>
      <x:c r="DR243" s="23" t="n">
        <x:v>796.7639973958333</x:v>
      </x:c>
      <x:c r="DS243" s="23" t="n">
        <x:v>0</x:v>
      </x:c>
      <x:c r="DT243" s="23" t="n">
        <x:v>0</x:v>
      </x:c>
      <x:c r="DU243" s="23" t="n">
        <x:v>3.2209828385416586</x:v>
      </x:c>
      <x:c r="DV243" s="23" t="n">
        <x:v>803.4427083333333</x:v>
      </x:c>
      <x:c r="DW243" s="23" t="n">
        <x:v>819.610711749293</x:v>
      </x:c>
      <x:c r="DX243" s="23" t="n">
        <x:v>805.0679192627956</x:v>
      </x:c>
      <x:c r="DY243" s="23" t="n">
        <x:v>796.1129557291666</x:v>
      </x:c>
      <x:c r="DZ243" s="23" t="n">
        <x:v>785.6773274739583</x:v>
      </x:c>
      <x:c r="EA243" s="23" t="n">
        <x:v>833.7889811197916</x:v>
      </x:c>
      <x:c r="EB243" s="23" t="n">
        <x:v>770.7003794270834</x:v>
      </x:c>
      <x:c r="EC243" s="23" t="n">
        <x:v>627.442138671875</x:v>
      </x:c>
      <x:c r="ED243" s="23" t="n">
        <x:v>1412.5906575520833</x:v>
      </x:c>
      <x:c r="EE243" s="23" t="n">
        <x:v>1427.4149576822915</x:v>
      </x:c>
      <x:c r="EF243" s="23" t="n">
        <x:v>620.2188313802083</x:v>
      </x:c>
      <x:c r="EG243" s="23" t="n">
        <x:v>914.1927883069703</x:v>
      </x:c>
      <x:c r="EH243" s="23" t="n">
        <x:v>599.1979166666666</x:v>
      </x:c>
      <x:c r="EI243" s="23" t="n">
        <x:v>600.4593505859375</x:v>
      </x:c>
      <x:c r="EJ243" s="23" t="n">
        <x:v>1428.1644287109375</x:v>
      </x:c>
      <x:c r="EK243" s="23" t="n">
        <x:v>1427.45703125</x:v>
      </x:c>
      <x:c r="EL243" s="23" t="n">
        <x:v>1437.5396728515625</x:v>
      </x:c>
      <x:c r="EM243" s="23" t="n">
        <x:v>1443.2789713541665</x:v>
      </x:c>
      <x:c r="EN243" s="23" t="n">
        <x:v>599.8815104166666</x:v>
      </x:c>
      <x:c r="EO243" s="23" t="n">
        <x:v>619.8903401692708</x:v>
      </x:c>
      <x:c r="EP243" s="23" t="n">
        <x:f>SUM(B243:EO243)</x:f>
        <x:v>66751.33256978008</x:v>
      </x:c>
      <x:c r="EQ243" s="23" t="n">
        <x:f>SUMPRODUCT(B243:EO243,{0.4387,0.435,0.4695,0.4485,0.4142,0.4084,0.4248,0.4107,0.3733,0.369,0.3689,0.3695,0.4002,0.4327,0.4348,0.4015,0.3854,0.4052,0.4307,0.4333,0.4193,0.4198,0.4273,0.4415,0.468,0.4685,0.4673,0.5205,0.5248,0.4684,0.4445,0.4392,0.414,0.3902,0.5961,0.9187,0.9835,0.9374,0.9213,0.9313,0.9458,0.9494,0.9304,0.8599,0.7518,0.7035,0.9382,1.2728,1.2643,1.1657,1.1552,1.1604,1.1283,1.1047,1.1651,1.1461,1.0351,0.9846,0.9671,0.9667,0.9985,0.9723,0.9273,0.9659,0.833,0.5791,0.5285,0.5281,0.4984,0.5185,0.5135,0.4631,0.4257,0.3931,0.3589,0.3666,0.5666,0.8439,0.9014,0.8761,0.8999,0.9661,0.9871,0.9609,0.9659,0.9843,1.0197,1.071,0.9448,0.7231,0.7076,0.7868,0.8343,0.8342,0.843,0.8851,0.9352,0.9682,0.9737,0.9639,0.9847,1.0278,1.0458,1.0785,1.126,1.1531,1.2269,1.3029,1.2674,1.2675,1.3215,1.3058,1.3088,1.3368,1.303,1.2912,1.3217,1.3282,1.329,1.3356,1.3316,1.3079,1.3131,1.3781,1.2593,1.0235,0.9892,0.976,0.9443,1.0038,0.8065,0.4545,0.424,0.4325,0.3697,0.4163,0.4492,0.4207,0.4172,0.4395,0.4582,0.4464,0.4175,0.4052})</x:f>
        <x:v>43198.01486171177</x:v>
      </x:c>
    </x:row>
    <x:row r="244" ht="14" customHeight="1">
      <x:c r="A244" s="3">
        <x:v>45931</x:v>
      </x:c>
      <x:c r="B244" s="23" t="n">
        <x:v>598.0777180989583</x:v>
      </x:c>
      <x:c r="C244" s="23" t="n">
        <x:v>592.2982584635416</x:v>
      </x:c>
      <x:c r="D244" s="23" t="n">
        <x:v>1434.8782552083333</x:v>
      </x:c>
      <x:c r="E244" s="23" t="n">
        <x:v>581.0717366536458</x:v>
      </x:c>
      <x:c r="F244" s="23" t="n">
        <x:v>586.4388020833333</x:v>
      </x:c>
      <x:c r="G244" s="23" t="n">
        <x:v>602.3519287109375</x:v>
      </x:c>
      <x:c r="H244" s="23" t="n">
        <x:v>606.4627987991904</x:v>
      </x:c>
      <x:c r="I244" s="23" t="n">
        <x:v>1419.791544596354</x:v>
      </x:c>
      <x:c r="J244" s="23" t="n">
        <x:v>582.2783610026041</x:v>
      </x:c>
      <x:c r="K244" s="23" t="n">
        <x:v>582.3243408203125</x:v>
      </x:c>
      <x:c r="L244" s="23" t="n">
        <x:v>573.861572265625</x:v>
      </x:c>
      <x:c r="M244" s="23" t="n">
        <x:v>567.2154134114583</x:v>
      </x:c>
      <x:c r="N244" s="23" t="n">
        <x:v>587.4064534505208</x:v>
      </x:c>
      <x:c r="O244" s="23" t="n">
        <x:v>0</x:v>
      </x:c>
      <x:c r="P244" s="23" t="n">
        <x:v>589.9540201822916</x:v>
      </x:c>
      <x:c r="Q244" s="23" t="n">
        <x:v>589.8398844401041</x:v>
      </x:c>
      <x:c r="R244" s="23" t="n">
        <x:v>597.9737141927083</x:v>
      </x:c>
      <x:c r="S244" s="23" t="n">
        <x:v>594.1781819661458</x:v>
      </x:c>
      <x:c r="T244" s="23" t="n">
        <x:v>599.4361165364583</x:v>
      </x:c>
      <x:c r="U244" s="23" t="n">
        <x:v>605.1789143880208</x:v>
      </x:c>
      <x:c r="V244" s="23" t="n">
        <x:v>613.2877197265625</x:v>
      </x:c>
      <x:c r="W244" s="23" t="n">
        <x:v>1447.6529947916665</x:v>
      </x:c>
      <x:c r="X244" s="23" t="n">
        <x:v>1437.5407307942708</x:v>
      </x:c>
      <x:c r="Y244" s="23" t="n">
        <x:v>602.1496175130208</x:v>
      </x:c>
      <x:c r="Z244" s="23" t="n">
        <x:v>592.20361328125</x:v>
      </x:c>
      <x:c r="AA244" s="23" t="n">
        <x:v>1428.872355143229</x:v>
      </x:c>
      <x:c r="AB244" s="23" t="n">
        <x:v>1434.1912434895833</x:v>
      </x:c>
      <x:c r="AC244" s="23" t="n">
        <x:v>595.1185302734375</x:v>
      </x:c>
      <x:c r="AD244" s="23" t="n">
        <x:v>611.1894938151041</x:v>
      </x:c>
      <x:c r="AE244" s="23" t="n">
        <x:v>613.5458984375</x:v>
      </x:c>
      <x:c r="AF244" s="23" t="n">
        <x:v>594.7908528645833</x:v>
      </x:c>
      <x:c r="AG244" s="23" t="n">
        <x:v>614.0160319010416</x:v>
      </x:c>
      <x:c r="AH244" s="23" t="n">
        <x:v>629.0574951171875</x:v>
      </x:c>
      <x:c r="AI244" s="23" t="n">
        <x:v>1410.1190653216245</x:v>
      </x:c>
      <x:c r="AJ244" s="23" t="n">
        <x:v>647.1878662109375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0</x:v>
      </x:c>
      <x:c r="AR244" s="23" t="n">
        <x:v>46.80013324358886</x:v>
      </x:c>
      <x:c r="AS244" s="23" t="n">
        <x:v>436.86159444018904</x:v>
      </x:c>
      <x:c r="AT244" s="23" t="n">
        <x:v>389.30324679982505</x:v>
      </x:c>
      <x:c r="AU244" s="23" t="n">
        <x:v>291.6720031762723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113.85095122148091</x:v>
      </x:c>
      <x:c r="BP244" s="23" t="n">
        <x:v>583.9215964813277</x:v>
      </x:c>
      <x:c r="BQ244" s="23" t="n">
        <x:v>561.696268246099</x:v>
      </x:c>
      <x:c r="BR244" s="23" t="n">
        <x:v>534.3498953352484</x:v>
      </x:c>
      <x:c r="BS244" s="23" t="n">
        <x:v>0</x:v>
      </x:c>
      <x:c r="BT244" s="23" t="n">
        <x:v>498.7136747149464</x:v>
      </x:c>
      <x:c r="BU244" s="23" t="n">
        <x:v>449.75847097351834</x:v>
      </x:c>
      <x:c r="BV244" s="23" t="n">
        <x:v>455.50380820155226</x:v>
      </x:c>
      <x:c r="BW244" s="23" t="n">
        <x:v>467.5075630680409</x:v>
      </x:c>
      <x:c r="BX244" s="23" t="n">
        <x:v>473.60740401591613</x:v>
      </x:c>
      <x:c r="BY244" s="23" t="n">
        <x:v>488.60061091541075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161.75305625740384</x:v>
      </x:c>
      <x:c r="CN244" s="23" t="n">
        <x:v>494.9525639248167</x:v>
      </x:c>
      <x:c r="CO244" s="23" t="n">
        <x:v>272.49014161552697</x:v>
      </x:c>
      <x:c r="CP244" s="23" t="n">
        <x:v>323.9849609509013</x:v>
      </x:c>
      <x:c r="CQ244" s="23" t="n">
        <x:v>354.4245777465759</x:v>
      </x:c>
      <x:c r="CR244" s="23" t="n">
        <x:v>428.06927807146104</x:v>
      </x:c>
      <x:c r="CS244" s="23" t="n">
        <x:v>498.4577194613952</x:v>
      </x:c>
      <x:c r="CT244" s="23" t="n">
        <x:v>536.4767236228921</x:v>
      </x:c>
      <x:c r="CU244" s="23" t="n">
        <x:v>579.7326062720197</x:v>
      </x:c>
      <x:c r="CV244" s="23" t="n">
        <x:v>644.9347169266182</x:v>
      </x:c>
      <x:c r="CW244" s="23" t="n">
        <x:v>697.191680689695</x:v>
      </x:c>
      <x:c r="CX244" s="23" t="n">
        <x:v>734.7798597812684</x:v>
      </x:c>
      <x:c r="CY244" s="23" t="n">
        <x:v>788.3591759814844</x:v>
      </x:c>
      <x:c r="CZ244" s="23" t="n">
        <x:v>850.8426886378938</x:v>
      </x:c>
      <x:c r="DA244" s="23" t="n">
        <x:v>889.6270737579637</x:v>
      </x:c>
      <x:c r="DB244" s="23" t="n">
        <x:v>936.3837574218553</x:v>
      </x:c>
      <x:c r="DC244" s="23" t="n">
        <x:v>1005.5078819062406</x:v>
      </x:c>
      <x:c r="DD244" s="23" t="n">
        <x:v>954.3563533619996</x:v>
      </x:c>
      <x:c r="DE244" s="23" t="n">
        <x:v>719.2682733889866</x:v>
      </x:c>
      <x:c r="DF244" s="23" t="n">
        <x:v>731.36279296875</x:v>
      </x:c>
      <x:c r="DG244" s="23" t="n">
        <x:v>840.1868592557</x:v>
      </x:c>
      <x:c r="DH244" s="23" t="n">
        <x:v>23.421962890625004</x:v>
      </x:c>
      <x:c r="DI244" s="23" t="n">
        <x:v>848.227783203125</x:v>
      </x:c>
      <x:c r="DJ244" s="23" t="n">
        <x:v>783.9027506510416</x:v>
      </x:c>
      <x:c r="DK244" s="23" t="n">
        <x:v>358.03490256510423</x:v>
      </x:c>
      <x:c r="DL244" s="23" t="n">
        <x:v>26.77307111979174</x:v>
      </x:c>
      <x:c r="DM244" s="23" t="n">
        <x:v>24.587985911458418</x:v>
      </x:c>
      <x:c r="DN244" s="23" t="n">
        <x:v>0</x:v>
      </x:c>
      <x:c r="DO244" s="23" t="n">
        <x:v>794.321044921875</x:v>
      </x:c>
      <x:c r="DP244" s="23" t="n">
        <x:v>0.17892152343756607</x:v>
      </x:c>
      <x:c r="DQ244" s="23" t="n">
        <x:v>26.393981119791682</x:v>
      </x:c>
      <x:c r="DR244" s="23" t="n">
        <x:v>22.796875</x:v>
      </x:c>
      <x:c r="DS244" s="23" t="n">
        <x:v>35.517102890624905</x:v>
      </x:c>
      <x:c r="DT244" s="23" t="n">
        <x:v>38.66469466145842</x:v>
      </x:c>
      <x:c r="DU244" s="23" t="n">
        <x:v>27.817958046874992</x:v>
      </x:c>
      <x:c r="DV244" s="23" t="n">
        <x:v>804.9796549479166</x:v>
      </x:c>
      <x:c r="DW244" s="23" t="n">
        <x:v>811.2021104198817</x:v>
      </x:c>
      <x:c r="DX244" s="23" t="n">
        <x:v>867.717529296875</x:v>
      </x:c>
      <x:c r="DY244" s="23" t="n">
        <x:v>856.4281412760416</x:v>
      </x:c>
      <x:c r="DZ244" s="23" t="n">
        <x:v>855.3662109375</x:v>
      </x:c>
      <x:c r="EA244" s="23" t="n">
        <x:v>857.7604166666666</x:v>
      </x:c>
      <x:c r="EB244" s="23" t="n">
        <x:v>735.1091306250001</x:v>
      </x:c>
      <x:c r="EC244" s="23" t="n">
        <x:v>919.7184074275011</x:v>
      </x:c>
      <x:c r="ED244" s="23" t="n">
        <x:v>1418.6449381510415</x:v>
      </x:c>
      <x:c r="EE244" s="23" t="n">
        <x:v>583.3911539713541</x:v>
      </x:c>
      <x:c r="EF244" s="23" t="n">
        <x:v>1411.3758138020833</x:v>
      </x:c>
      <x:c r="EG244" s="23" t="n">
        <x:v>621.171875</x:v>
      </x:c>
      <x:c r="EH244" s="23" t="n">
        <x:v>645.23193359375</x:v>
      </x:c>
      <x:c r="EI244" s="23" t="n">
        <x:v>1454.22802734375</x:v>
      </x:c>
      <x:c r="EJ244" s="23" t="n">
        <x:v>1425.1251627604165</x:v>
      </x:c>
      <x:c r="EK244" s="23" t="n">
        <x:v>1424.472941080729</x:v>
      </x:c>
      <x:c r="EL244" s="23" t="n">
        <x:v>1444.7081705729165</x:v>
      </x:c>
      <x:c r="EM244" s="23" t="n">
        <x:v>604.5276692708333</x:v>
      </x:c>
      <x:c r="EN244" s="23" t="n">
        <x:v>616.045166015625</x:v>
      </x:c>
      <x:c r="EO244" s="23" t="n">
        <x:v>608.3807373046875</x:v>
      </x:c>
      <x:c r="EP244" s="23" t="n">
        <x:f>SUM(B244:EO244)</x:f>
        <x:v>67373.45571175616</x:v>
      </x:c>
      <x:c r="EQ244" s="23" t="n">
        <x:f>SUMPRODUCT(B244:EO244,{0.4344,0.454,0.4361,0.4025,0.3988,0.421,0.422,0.4028,0.3941,0.4203,0.4194,0.4125,0.4716,0.4623,0.4004,0.4395,0.479,0.4769,0.4894,0.4699,0.4507,0.5109,0.5021,0.4266,0.4347,0.4389,0.4142,0.432,0.4541,0.4492,0.4331,0.4627,0.4622,0.3548,0.5986,1.0273,0.9897,0.9102,0.9631,0.893,0.8281,0.834,0.8294,0.8022,0.7397,0.6759,0.889,1.2084,1.1592,1.0714,1.0945,1.0471,0.9706,0.9144,0.8856,0.9222,0.9442,0.8291,0.7817,0.8447,0.853,0.794,0.746,0.7704,0.6735,0.4598,0.3414,0.3112,0.3186,0.3343,0.357,0.3747,0.3637,0.3201,0.2547,0.2329,0.4825,0.8089,0.7664,0.7327,0.8258,0.7994,0.8207,0.919,0.9303,0.9027,0.9213,0.9891,0.8717,0.6412,0.6219,0.6889,0.7305,0.7597,0.772,0.7857,0.8344,0.8951,0.9352,0.9411,0.954,0.9898,1.0308,1.078,1.1097,1.104,1.1457,1.2302,1.2673,1.2867,1.2847,1.229,1.2267,1.2794,1.2824,1.2674,1.2581,1.2447,1.2577,1.296,1.3138,1.2595,1.2113,1.2769,1.1753,0.9452,0.9182,0.9383,0.9477,1.0067,0.7707,0.3733,0.3376,0.4274,0.4218,0.3452,0.3495,0.4327,0.449,0.4097,0.3837,0.4228,0.4501,0.4378})</x:f>
        <x:v>42054.36915513693</x:v>
      </x:c>
    </x:row>
    <x:row r="245" ht="14" customHeight="1">
      <x:c r="A245" s="3">
        <x:v>45932</x:v>
      </x:c>
      <x:c r="B245" s="23" t="n">
        <x:v>590.2272542317708</x:v>
      </x:c>
      <x:c r="C245" s="23" t="n">
        <x:v>1408.4178059895833</x:v>
      </x:c>
      <x:c r="D245" s="23" t="n">
        <x:v>563.3201904296875</x:v>
      </x:c>
      <x:c r="E245" s="23" t="n">
        <x:v>599.5963541666666</x:v>
      </x:c>
      <x:c r="F245" s="23" t="n">
        <x:v>595.840576171875</x:v>
      </x:c>
      <x:c r="G245" s="23" t="n">
        <x:v>580.4361979166666</x:v>
      </x:c>
      <x:c r="H245" s="23" t="n">
        <x:v>581.9883626302083</x:v>
      </x:c>
      <x:c r="I245" s="23" t="n">
        <x:v>584.8241373697916</x:v>
      </x:c>
      <x:c r="J245" s="23" t="n">
        <x:v>581.5892740885416</x:v>
      </x:c>
      <x:c r="K245" s="23" t="n">
        <x:v>580.9599609375</x:v>
      </x:c>
      <x:c r="L245" s="23" t="n">
        <x:v>582.7557373046875</x:v>
      </x:c>
      <x:c r="M245" s="23" t="n">
        <x:v>1121.5512764536688</x:v>
      </x:c>
      <x:c r="N245" s="23" t="n">
        <x:v>587.8362223307291</x:v>
      </x:c>
      <x:c r="O245" s="23" t="n">
        <x:v>594.5326741536458</x:v>
      </x:c>
      <x:c r="P245" s="23" t="n">
        <x:v>584.9852701822916</x:v>
      </x:c>
      <x:c r="Q245" s="23" t="n">
        <x:v>582.9789632161458</x:v>
      </x:c>
      <x:c r="R245" s="23" t="n">
        <x:v>598.1880696614583</x:v>
      </x:c>
      <x:c r="S245" s="23" t="n">
        <x:v>593.0927734375</x:v>
      </x:c>
      <x:c r="T245" s="23" t="n">
        <x:v>596.3638509114583</x:v>
      </x:c>
      <x:c r="U245" s="23" t="n">
        <x:v>592.5141194661458</x:v>
      </x:c>
      <x:c r="V245" s="23" t="n">
        <x:v>610.678466796875</x:v>
      </x:c>
      <x:c r="W245" s="23" t="n">
        <x:v>605.0414225260416</x:v>
      </x:c>
      <x:c r="X245" s="23" t="n">
        <x:v>602.4297281901041</x:v>
      </x:c>
      <x:c r="Y245" s="23" t="n">
        <x:v>612.2059733072916</x:v>
      </x:c>
      <x:c r="Z245" s="23" t="n">
        <x:v>606.3529052734375</x:v>
      </x:c>
      <x:c r="AA245" s="23" t="n">
        <x:v>596.7834879557291</x:v>
      </x:c>
      <x:c r="AB245" s="23" t="n">
        <x:v>596.8935546875</x:v>
      </x:c>
      <x:c r="AC245" s="23" t="n">
        <x:v>591.8618570963541</x:v>
      </x:c>
      <x:c r="AD245" s="23" t="n">
        <x:v>590.2435709635416</x:v>
      </x:c>
      <x:c r="AE245" s="23" t="n">
        <x:v>612.7445475260416</x:v>
      </x:c>
      <x:c r="AF245" s="23" t="n">
        <x:v>616.8702799479166</x:v>
      </x:c>
      <x:c r="AG245" s="23" t="n">
        <x:v>613.2979329427083</x:v>
      </x:c>
      <x:c r="AH245" s="23" t="n">
        <x:v>594.9212239583333</x:v>
      </x:c>
      <x:c r="AI245" s="23" t="n">
        <x:v>1386.7655414540689</x:v>
      </x:c>
      <x:c r="AJ245" s="23" t="n">
        <x:v>626.2867431640625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0</x:v>
      </x:c>
      <x:c r="AT245" s="23" t="n">
        <x:v>280.25207827326153</x:v>
      </x:c>
      <x:c r="AU245" s="23" t="n">
        <x:v>262.0828051980326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509.73658156069814</x:v>
      </x:c>
      <x:c r="BQ245" s="23" t="n">
        <x:v>0</x:v>
      </x:c>
      <x:c r="BR245" s="23" t="n">
        <x:v>470.89278975985445</x:v>
      </x:c>
      <x:c r="BS245" s="23" t="n">
        <x:v>467.2928418799089</x:v>
      </x:c>
      <x:c r="BT245" s="23" t="n">
        <x:v>262.3765003490804</x:v>
      </x:c>
      <x:c r="BU245" s="23" t="n">
        <x:v>0</x:v>
      </x:c>
      <x:c r="BV245" s="23" t="n">
        <x:v>0</x:v>
      </x:c>
      <x:c r="BW245" s="23" t="n">
        <x:v>391.5876655115171</x:v>
      </x:c>
      <x:c r="BX245" s="23" t="n">
        <x:v>387.245469741476</x:v>
      </x:c>
      <x:c r="BY245" s="23" t="n">
        <x:v>393.9465790258876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142.49870939559514</x:v>
      </x:c>
      <x:c r="CN245" s="23" t="n">
        <x:v>381.6926023624063</x:v>
      </x:c>
      <x:c r="CO245" s="23" t="n">
        <x:v>242.82335318121505</x:v>
      </x:c>
      <x:c r="CP245" s="23" t="n">
        <x:v>297.58837067309435</x:v>
      </x:c>
      <x:c r="CQ245" s="23" t="n">
        <x:v>333.18444373687055</x:v>
      </x:c>
      <x:c r="CR245" s="23" t="n">
        <x:v>396.6950139588952</x:v>
      </x:c>
      <x:c r="CS245" s="23" t="n">
        <x:v>460.89530997439715</x:v>
      </x:c>
      <x:c r="CT245" s="23" t="n">
        <x:v>531.3317541192262</x:v>
      </x:c>
      <x:c r="CU245" s="23" t="n">
        <x:v>580.3347488233502</x:v>
      </x:c>
      <x:c r="CV245" s="23" t="n">
        <x:v>626.8356005713786</x:v>
      </x:c>
      <x:c r="CW245" s="23" t="n">
        <x:v>688.7691170076888</x:v>
      </x:c>
      <x:c r="CX245" s="23" t="n">
        <x:v>736.6996789475893</x:v>
      </x:c>
      <x:c r="CY245" s="23" t="n">
        <x:v>785.5845236378145</x:v>
      </x:c>
      <x:c r="CZ245" s="23" t="n">
        <x:v>842.752858826881</x:v>
      </x:c>
      <x:c r="DA245" s="23" t="n">
        <x:v>883.8572023564047</x:v>
      </x:c>
      <x:c r="DB245" s="23" t="n">
        <x:v>940.6599042974292</x:v>
      </x:c>
      <x:c r="DC245" s="23" t="n">
        <x:v>1005.86698972134</x:v>
      </x:c>
      <x:c r="DD245" s="23" t="n">
        <x:v>946.2816420812389</x:v>
      </x:c>
      <x:c r="DE245" s="23" t="n">
        <x:v>746.1675656922373</x:v>
      </x:c>
      <x:c r="DF245" s="23" t="n">
        <x:v>750.4702962239583</x:v>
      </x:c>
      <x:c r="DG245" s="23" t="n">
        <x:v>780.41758764091</x:v>
      </x:c>
      <x:c r="DH245" s="23" t="n">
        <x:v>842.3832194010416</x:v>
      </x:c>
      <x:c r="DI245" s="23" t="n">
        <x:v>316.07250856771066</x:v>
      </x:c>
      <x:c r="DJ245" s="23" t="n">
        <x:v>870.0059407552083</x:v>
      </x:c>
      <x:c r="DK245" s="23" t="n">
        <x:v>76.47613411458329</x:v>
      </x:c>
      <x:c r="DL245" s="23" t="n">
        <x:v>30.037556796875073</x:v>
      </x:c>
      <x:c r="DM245" s="23" t="n">
        <x:v>0</x:v>
      </x:c>
      <x:c r="DN245" s="23" t="n">
        <x:v>0</x:v>
      </x:c>
      <x:c r="DO245" s="23" t="n">
        <x:v>777.7626139322916</x:v>
      </x:c>
      <x:c r="DP245" s="23" t="n">
        <x:v>0</x:v>
      </x:c>
      <x:c r="DQ245" s="23" t="n">
        <x:v>28.560485026041682</x:v>
      </x:c>
      <x:c r="DR245" s="23" t="n">
        <x:v>23.62109375</x:v>
      </x:c>
      <x:c r="DS245" s="23" t="n">
        <x:v>37.99862958333324</x:v>
      </x:c>
      <x:c r="DT245" s="23" t="n">
        <x:v>42.580303385416755</x:v>
      </x:c>
      <x:c r="DU245" s="23" t="n">
        <x:v>32.90096585937499</x:v>
      </x:c>
      <x:c r="DV245" s="23" t="n">
        <x:v>858.37109375</x:v>
      </x:c>
      <x:c r="DW245" s="23" t="n">
        <x:v>895.8499782584233</x:v>
      </x:c>
      <x:c r="DX245" s="23" t="n">
        <x:v>887.976806640625</x:v>
      </x:c>
      <x:c r="DY245" s="23" t="n">
        <x:v>888.406494140625</x:v>
      </x:c>
      <x:c r="DZ245" s="23" t="n">
        <x:v>829.1383463541666</x:v>
      </x:c>
      <x:c r="EA245" s="23" t="n">
        <x:v>841.617431640625</x:v>
      </x:c>
      <x:c r="EB245" s="23" t="n">
        <x:v>739.8505857031251</x:v>
      </x:c>
      <x:c r="EC245" s="23" t="n">
        <x:v>1411.2662760416665</x:v>
      </x:c>
      <x:c r="ED245" s="23" t="n">
        <x:v>1398.328653971354</x:v>
      </x:c>
      <x:c r="EE245" s="23" t="n">
        <x:v>616.5557454427083</x:v>
      </x:c>
      <x:c r="EF245" s="23" t="n">
        <x:v>906.7851391983347</x:v>
      </x:c>
      <x:c r="EG245" s="23" t="n">
        <x:v>1414.3142903645833</x:v>
      </x:c>
      <x:c r="EH245" s="23" t="n">
        <x:v>595.0811767578125</x:v>
      </x:c>
      <x:c r="EI245" s="23" t="n">
        <x:v>618.4389241536458</x:v>
      </x:c>
      <x:c r="EJ245" s="23" t="n">
        <x:v>613.9184977213541</x:v>
      </x:c>
      <x:c r="EK245" s="23" t="n">
        <x:v>1422.113525390625</x:v>
      </x:c>
      <x:c r="EL245" s="23" t="n">
        <x:v>588.2915445963541</x:v>
      </x:c>
      <x:c r="EM245" s="23" t="n">
        <x:v>626.53857421875</x:v>
      </x:c>
      <x:c r="EN245" s="23" t="n">
        <x:v>1419.9559733072915</x:v>
      </x:c>
      <x:c r="EO245" s="23" t="n">
        <x:v>1264.3333740234375</x:v>
      </x:c>
      <x:c r="EP245" s="23" t="n">
        <x:f>SUM(B245:EO245)</x:f>
        <x:v>61407.72877421706</x:v>
      </x:c>
      <x:c r="EQ245" s="23" t="n">
        <x:f>SUMPRODUCT(B245:EO245,{0.4259,0.4031,0.399,0.4563,0.459,0.4129,0.4321,0.424,0.3819,0.3958,0.3904,0.3758,0.4403,0.4776,0.442,0.4014,0.4287,0.4771,0.4344,0.3985,0.4147,0.4316,0.4367,0.4342,0.4336,0.4398,0.4444,0.4355,0.4358,0.449,0.4577,0.472,0.4646,0.4374,0.664,1.0067,1.0216,0.9481,0.9484,0.9469,0.9299,0.8788,0.7867,0.7755,0.788,0.6932,0.8824,1.2258,1.1713,1.0754,1.1025,1.058,1.0127,1.0122,1.0128,0.9991,0.9649,0.9086,0.8457,0.8222,0.8733,0.8915,0.8536,0.8148,0.6713,0.4714,0.3936,0.3697,0.3649,0.4096,0.4127,0.3747,0.3835,0.3891,0.3536,0.3234,0.4772,0.7202,0.7607,0.7375,0.7582,0.7907,0.8147,0.8186,0.8075,0.8305,0.8888,0.9126,0.7943,0.6186,0.5976,0.6539,0.6954,0.7039,0.7125,0.7544,0.8346,0.8931,0.9152,0.9358,0.9481,0.9602,0.9985,1.0569,1.0997,1.1004,1.1465,1.2301,1.2538,1.253,1.2509,1.239,1.2668,1.3115,1.295,1.2643,1.2521,1.2517,1.2841,1.3117,1.2703,1.2492,1.2949,1.3383,1.1869,0.9507,0.9411,0.9594,0.9546,1.0256,0.7876,0.3931,0.4127,0.4632,0.3763,0.3703,0.374,0.3741,0.4374,0.4236,0.3666,0.4362,0.4441,0.3377})</x:f>
        <x:v>39329.13278795968</x:v>
      </x:c>
    </x:row>
    <x:row r="246" ht="14" customHeight="1">
      <x:c r="A246" s="3">
        <x:v>45933</x:v>
      </x:c>
      <x:c r="B246" s="23" t="n">
        <x:v>416.1652425130208</x:v>
      </x:c>
      <x:c r="C246" s="23" t="n">
        <x:v>0</x:v>
      </x:c>
      <x:c r="D246" s="23" t="n">
        <x:v>424.44779459635413</x:v>
      </x:c>
      <x:c r="E246" s="23" t="n">
        <x:v>426.4554036458333</x:v>
      </x:c>
      <x:c r="F246" s="23" t="n">
        <x:v>417.9554443359375</x:v>
      </x:c>
      <x:c r="G246" s="23" t="n">
        <x:v>414.8494466145833</x:v>
      </x:c>
      <x:c r="H246" s="23" t="n">
        <x:v>426.2032063802083</x:v>
      </x:c>
      <x:c r="I246" s="23" t="n">
        <x:v>424.927978515625</x:v>
      </x:c>
      <x:c r="J246" s="23" t="n">
        <x:v>415.8949788411458</x:v>
      </x:c>
      <x:c r="K246" s="23" t="n">
        <x:v>420.5155843098958</x:v>
      </x:c>
      <x:c r="L246" s="23" t="n">
        <x:v>432.3985188802083</x:v>
      </x:c>
      <x:c r="M246" s="23" t="n">
        <x:v>437.9146321614583</x:v>
      </x:c>
      <x:c r="N246" s="23" t="n">
        <x:v>434.9708251953125</x:v>
      </x:c>
      <x:c r="O246" s="23" t="n">
        <x:v>448.8055419921875</x:v>
      </x:c>
      <x:c r="P246" s="23" t="n">
        <x:v>436.38623046875</x:v>
      </x:c>
      <x:c r="Q246" s="23" t="n">
        <x:v>432.667236328125</x:v>
      </x:c>
      <x:c r="R246" s="23" t="n">
        <x:v>436.07596842447913</x:v>
      </x:c>
      <x:c r="S246" s="23" t="n">
        <x:v>450.3068440755208</x:v>
      </x:c>
      <x:c r="T246" s="23" t="n">
        <x:v>449.5748291015625</x:v>
      </x:c>
      <x:c r="U246" s="23" t="n">
        <x:v>447.3968098958333</x:v>
      </x:c>
      <x:c r="V246" s="23" t="n">
        <x:v>449.7899983723958</x:v>
      </x:c>
      <x:c r="W246" s="23" t="n">
        <x:v>0</x:v>
      </x:c>
      <x:c r="X246" s="23" t="n">
        <x:v>0</x:v>
      </x:c>
      <x:c r="Y246" s="23" t="n">
        <x:v>143.6880163079598</x:v>
      </x:c>
      <x:c r="Z246" s="23" t="n">
        <x:v>451.7796223958333</x:v>
      </x:c>
      <x:c r="AA246" s="23" t="n">
        <x:v>450.0113118489583</x:v>
      </x:c>
      <x:c r="AB246" s="23" t="n">
        <x:v>453.27738444010413</x:v>
      </x:c>
      <x:c r="AC246" s="23" t="n">
        <x:v>0</x:v>
      </x:c>
      <x:c r="AD246" s="23" t="n">
        <x:v>0</x:v>
      </x:c>
      <x:c r="AE246" s="23" t="n">
        <x:v>0</x:v>
      </x:c>
      <x:c r="AF246" s="23" t="n">
        <x:v>446.1741943359375</x:v>
      </x:c>
      <x:c r="AG246" s="23" t="n">
        <x:v>445.81888834635413</x:v>
      </x:c>
      <x:c r="AH246" s="23" t="n">
        <x:v>0</x:v>
      </x:c>
      <x:c r="AI246" s="23" t="n">
        <x:v>426.1442483320596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10.792236498872626</x:v>
      </x:c>
      <x:c r="CT246" s="23" t="n">
        <x:v>94.55030810397496</x:v>
      </x:c>
      <x:c r="CU246" s="23" t="n">
        <x:v>164.89011675788856</x:v>
      </x:c>
      <x:c r="CV246" s="23" t="n">
        <x:v>185.10668543614702</x:v>
      </x:c>
      <x:c r="CW246" s="23" t="n">
        <x:v>219.01451628240847</x:v>
      </x:c>
      <x:c r="CX246" s="23" t="n">
        <x:v>276.276916906024</x:v>
      </x:c>
      <x:c r="CY246" s="23" t="n">
        <x:v>269.4630951516434</x:v>
      </x:c>
      <x:c r="CZ246" s="23" t="n">
        <x:v>257.6461204403795</x:v>
      </x:c>
      <x:c r="DA246" s="23" t="n">
        <x:v>309.9385707167029</x:v>
      </x:c>
      <x:c r="DB246" s="23" t="n">
        <x:v>363.92691830392175</x:v>
      </x:c>
      <x:c r="DC246" s="23" t="n">
        <x:v>421.4036234971903</x:v>
      </x:c>
      <x:c r="DD246" s="23" t="n">
        <x:v>465.68501296450745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58.59659663582306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516.0037841796875</x:v>
      </x:c>
      <x:c r="DW246" s="23" t="n">
        <x:v>525.4665862670396</x:v>
      </x:c>
      <x:c r="DX246" s="23" t="n">
        <x:v>540.5263363273211</x:v>
      </x:c>
      <x:c r="DY246" s="23" t="n">
        <x:v>555.0181070963541</x:v>
      </x:c>
      <x:c r="DZ246" s="23" t="n">
        <x:v>542.1507568359375</x:v>
      </x:c>
      <x:c r="EA246" s="23" t="n">
        <x:v>558.0916341145833</x:v>
      </x:c>
      <x:c r="EB246" s="23" t="n">
        <x:v>542.9046628515626</x:v>
      </x:c>
      <x:c r="EC246" s="23" t="n">
        <x:v>1295.3555501302083</x:v>
      </x:c>
      <x:c r="ED246" s="23" t="n">
        <x:v>1242.8305257161458</x:v>
      </x:c>
      <x:c r="EE246" s="23" t="n">
        <x:v>726.9697908910431</x:v>
      </x:c>
      <x:c r="EF246" s="23" t="n">
        <x:v>422.85489908854163</x:v>
      </x:c>
      <x:c r="EG246" s="23" t="n">
        <x:v>453.951904296875</x:v>
      </x:c>
      <x:c r="EH246" s="23" t="n">
        <x:v>424.03629557291663</x:v>
      </x:c>
      <x:c r="EI246" s="23" t="n">
        <x:v>425.847412109375</x:v>
      </x:c>
      <x:c r="EJ246" s="23" t="n">
        <x:v>421.5861409505208</x:v>
      </x:c>
      <x:c r="EK246" s="23" t="n">
        <x:v>1253.076904296875</x:v>
      </x:c>
      <x:c r="EL246" s="23" t="n">
        <x:v>1253.2403564453125</x:v>
      </x:c>
      <x:c r="EM246" s="23" t="n">
        <x:v>1264.845987955729</x:v>
      </x:c>
      <x:c r="EN246" s="23" t="n">
        <x:v>1260.6099446614583</x:v>
      </x:c>
      <x:c r="EO246" s="23" t="n">
        <x:v>423.9473876953125</x:v>
      </x:c>
      <x:c r="EP246" s="23" t="n">
        <x:f>SUM(B246:EO246)</x:f>
        <x:v>29207.201865833926</x:v>
      </x:c>
      <x:c r="EQ246" s="23" t="n">
        <x:f>SUMPRODUCT(B246:EO246,{0.2666,0.2769,0.3297,0.3524,0.3635,0.3436,0.2633,0.2868,0.3879,0.3729,0.3323,0.3262,0.3193,0.3073,0.3268,0.4034,0.3985,0.312,0.2907,0.3488,0.3843,0.2971,0.3068,0.4033,0.3632,0.3399,0.3646,0.3123,0.3067,0.3616,0.3604,0.3617,0.3667,0.3414,0.5065,0.766,0.7771,0.7268,0.7254,0.7061,0.7371,0.7669,0.6665,0.6105,0.6221,0.5747,0.6471,0.8268,0.886,0.8196,0.7421,0.7667,0.7656,0.713,0.7044,0.6773,0.6494,0.7054,0.7189,0.6413,0.5556,0.5384,0.5737,0.5545,0.3789,0.1686,0.1585,0.1609,0.101,0.0924,0.1231,0.1377,0.1022,0.1007,0.1322,0.1328,0.2361,0.4072,0.4606,0.482,0.5427,0.6179,0.6405,0.6368,0.6845,0.6676,0.6305,0.7159,0.6375,0.4334,0.443,0.4865,0.4636,0.4661,0.4945,0.511,0.4976,0.5612,0.658,0.6308,0.591,0.6104,0.6558,0.709,0.7297,0.7096,0.8569,1.1004,1.1413,1.1013,1.0939,1.1092,1.1154,1.1009,1.0845,1.106,1.1366,1.1116,1.1104,1.1367,1.115,1.1014,1.1374,1.1747,1.0164,0.7722,0.7595,0.7661,0.739,0.802,0.6261,0.293,0.2493,0.3008,0.307,0.326,0.3343,0.3319,0.3479,0.3461,0.3326,0.3443,0.312,0.2564})</x:f>
        <x:v>12418.281281643178</x:v>
      </x:c>
    </x:row>
    <x:row r="247" ht="14" customHeight="1">
      <x:c r="A247" s="3">
        <x:v>45934</x:v>
      </x:c>
      <x:c r="B247" s="23" t="n">
        <x:v>415.88126627604163</x:v>
      </x:c>
      <x:c r="C247" s="23" t="n">
        <x:v>406.44779459635413</x:v>
      </x:c>
      <x:c r="D247" s="23" t="n">
        <x:v>409.55863444010413</x:v>
      </x:c>
      <x:c r="E247" s="23" t="n">
        <x:v>0</x:v>
      </x:c>
      <x:c r="F247" s="23" t="n">
        <x:v>413.5082402848677</x:v>
      </x:c>
      <x:c r="G247" s="23" t="n">
        <x:v>0</x:v>
      </x:c>
      <x:c r="H247" s="23" t="n">
        <x:v>429.2576497395833</x:v>
      </x:c>
      <x:c r="I247" s="23" t="n">
        <x:v>433.94523111979163</x:v>
      </x:c>
      <x:c r="J247" s="23" t="n">
        <x:v>425.67277018229163</x:v>
      </x:c>
      <x:c r="K247" s="23" t="n">
        <x:v>424.8172607421875</x:v>
      </x:c>
      <x:c r="L247" s="23" t="n">
        <x:v>427.2587890625</x:v>
      </x:c>
      <x:c r="M247" s="23" t="n">
        <x:v>427.2213948567708</x:v>
      </x:c>
      <x:c r="N247" s="23" t="n">
        <x:v>430.69608561197913</x:v>
      </x:c>
      <x:c r="O247" s="23" t="n">
        <x:v>441.478759765625</x:v>
      </x:c>
      <x:c r="P247" s="23" t="n">
        <x:v>430.98905436197913</x:v>
      </x:c>
      <x:c r="Q247" s="23" t="n">
        <x:v>429.19608561197913</x:v>
      </x:c>
      <x:c r="R247" s="23" t="n">
        <x:v>426.697265625</x:v>
      </x:c>
      <x:c r="S247" s="23" t="n">
        <x:v>435.1798095703125</x:v>
      </x:c>
      <x:c r="T247" s="23" t="n">
        <x:v>0</x:v>
      </x:c>
      <x:c r="U247" s="23" t="n">
        <x:v>0</x:v>
      </x:c>
      <x:c r="V247" s="23" t="n">
        <x:v>444.6480712890625</x:v>
      </x:c>
      <x:c r="W247" s="23" t="n">
        <x:v>429.3172607421875</x:v>
      </x:c>
      <x:c r="X247" s="23" t="n">
        <x:v>0</x:v>
      </x:c>
      <x:c r="Y247" s="23" t="n">
        <x:v>447.6492513020833</x:v>
      </x:c>
      <x:c r="Z247" s="23" t="n">
        <x:v>444.698974609375</x:v>
      </x:c>
      <x:c r="AA247" s="23" t="n">
        <x:v>443.34281412760413</x:v>
      </x:c>
      <x:c r="AB247" s="23" t="n">
        <x:v>448.14676920572913</x:v>
      </x:c>
      <x:c r="AC247" s="23" t="n">
        <x:v>448.8756917317708</x:v>
      </x:c>
      <x:c r="AD247" s="23" t="n">
        <x:v>0</x:v>
      </x:c>
      <x:c r="AE247" s="23" t="n">
        <x:v>445.4340413411458</x:v>
      </x:c>
      <x:c r="AF247" s="23" t="n">
        <x:v>443.89286295572913</x:v>
      </x:c>
      <x:c r="AG247" s="23" t="n">
        <x:v>442.06522623697913</x:v>
      </x:c>
      <x:c r="AH247" s="23" t="n">
        <x:v>440.2189534505208</x:v>
      </x:c>
      <x:c r="AI247" s="23" t="n">
        <x:v>429.6648995028688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3.617111894311847</x:v>
      </x:c>
      <x:c r="CT247" s="23" t="n">
        <x:v>65.42332891856972</x:v>
      </x:c>
      <x:c r="CU247" s="23" t="n">
        <x:v>118.51568345431929</x:v>
      </x:c>
      <x:c r="CV247" s="23" t="n">
        <x:v>197.57177928367696</x:v>
      </x:c>
      <x:c r="CW247" s="23" t="n">
        <x:v>273.1481562387504</x:v>
      </x:c>
      <x:c r="CX247" s="23" t="n">
        <x:v>281.88032431975284</x:v>
      </x:c>
      <x:c r="CY247" s="23" t="n">
        <x:v>237.86359746027293</x:v>
      </x:c>
      <x:c r="CZ247" s="23" t="n">
        <x:v>278.03536950140716</x:v>
      </x:c>
      <x:c r="DA247" s="23" t="n">
        <x:v>333.1022794060192</x:v>
      </x:c>
      <x:c r="DB247" s="23" t="n">
        <x:v>380.4689625746185</x:v>
      </x:c>
      <x:c r="DC247" s="23" t="n">
        <x:v>432.7596837313097</x:v>
      </x:c>
      <x:c r="DD247" s="23" t="n">
        <x:v>491.40026380742484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92.46077301320852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506.073486328125</x:v>
      </x:c>
      <x:c r="DW247" s="23" t="n">
        <x:v>528.740593428498</x:v>
      </x:c>
      <x:c r="DX247" s="23" t="n">
        <x:v>540.5986019523211</x:v>
      </x:c>
      <x:c r="DY247" s="23" t="n">
        <x:v>507.8462727864583</x:v>
      </x:c>
      <x:c r="DZ247" s="23" t="n">
        <x:v>494.8006184895833</x:v>
      </x:c>
      <x:c r="EA247" s="23" t="n">
        <x:v>541.1171061197916</x:v>
      </x:c>
      <x:c r="EB247" s="23" t="n">
        <x:v>481.96280901041683</x:v>
      </x:c>
      <x:c r="EC247" s="23" t="n">
        <x:v>1255.661376953125</x:v>
      </x:c>
      <x:c r="ED247" s="23" t="n">
        <x:v>1238.104044596354</x:v>
      </x:c>
      <x:c r="EE247" s="23" t="n">
        <x:v>400.31864420572913</x:v>
      </x:c>
      <x:c r="EF247" s="23" t="n">
        <x:v>603.3853704788773</x:v>
      </x:c>
      <x:c r="EG247" s="23" t="n">
        <x:v>1241.4671223958333</x:v>
      </x:c>
      <x:c r="EH247" s="23" t="n">
        <x:v>1243.997355143229</x:v>
      </x:c>
      <x:c r="EI247" s="23" t="n">
        <x:v>1249.1618245442708</x:v>
      </x:c>
      <x:c r="EJ247" s="23" t="n">
        <x:v>1247.1095784505208</x:v>
      </x:c>
      <x:c r="EK247" s="23" t="n">
        <x:v>1258.770263671875</x:v>
      </x:c>
      <x:c r="EL247" s="23" t="n">
        <x:v>431.89908854166663</x:v>
      </x:c>
      <x:c r="EM247" s="23" t="n">
        <x:v>431.150390625</x:v>
      </x:c>
      <x:c r="EN247" s="23" t="n">
        <x:v>505.6549886067708</x:v>
      </x:c>
      <x:c r="EO247" s="23" t="n">
        <x:v>0</x:v>
      </x:c>
      <x:c r="EP247" s="23" t="n">
        <x:f>SUM(B247:EO247)</x:f>
        <x:v>30009.82775827451</x:v>
      </x:c>
      <x:c r="EQ247" s="23" t="n">
        <x:f>SUMPRODUCT(B247:EO247,{0.2778,0.3301,0.35,0.3159,0.2893,0.3088,0.3586,0.3816,0.3704,0.3645,0.3515,0.3381,0.3447,0.3178,0.2836,0.3241,0.3525,0.3318,0.3149,0.343,0.3811,0.3574,0.3344,0.3352,0.3218,0.3082,0.3203,0.3672,0.4004,0.3945,0.3691,0.3705,0.3603,0.3016,0.5023,0.8369,0.843,0.7794,0.7903,0.7606,0.737,0.7285,0.6918,0.6934,0.6955,0.6189,0.7316,0.9583,0.9309,0.8302,0.7795,0.7289,0.7288,0.7725,0.7852,0.7601,0.722,0.7003,0.6871,0.6706,0.6474,0.6282,0.6337,0.6486,0.5001,0.2683,0.2251,0.2491,0.2382,0.2077,0.16,0.132,0.1699,0.204,0.1877,0.1656,0.3184,0.549,0.5696,0.5658,0.6161,0.6123,0.6144,0.6444,0.6533,0.6408,0.6569,0.7237,0.6181,0.413,0.4217,0.4914,0.5178,0.548,0.5639,0.5679,0.5864,0.5928,0.6128,0.6912,0.6934,0.6392,0.6854,0.7387,0.7357,0.7382,0.9185,1.1548,1.1377,1.0791,1.1079,1.1416,1.1233,1.077,1.0766,1.1071,1.1476,1.1845,1.166,1.1179,1.1193,1.1178,1.1197,1.1566,1.0098,0.7719,0.7704,0.7863,0.7677,0.8445,0.666,0.3249,0.3001,0.36,0.3456,0.3307,0.2963,0.2688,0.313,0.3647,0.362,0.3127,0.3523,0.4384})</x:f>
        <x:v>12956.392954064257</x:v>
      </x:c>
    </x:row>
    <x:row r="248" ht="14" customHeight="1">
      <x:c r="A248" s="3">
        <x:v>45935</x:v>
      </x:c>
      <x:c r="B248" s="23" t="n">
        <x:v>579.73828125</x:v>
      </x:c>
      <x:c r="C248" s="23" t="n">
        <x:v>906.2437425936474</x:v>
      </x:c>
      <x:c r="D248" s="23" t="n">
        <x:v>1410.3817138671875</x:v>
      </x:c>
      <x:c r="E248" s="23" t="n">
        <x:v>589.2391764322916</x:v>
      </x:c>
      <x:c r="F248" s="23" t="n">
        <x:v>595.2402750651041</x:v>
      </x:c>
      <x:c r="G248" s="23" t="n">
        <x:v>582.5496826171875</x:v>
      </x:c>
      <x:c r="H248" s="23" t="n">
        <x:v>1403.27978515625</x:v>
      </x:c>
      <x:c r="I248" s="23" t="n">
        <x:v>557.9454345703125</x:v>
      </x:c>
      <x:c r="J248" s="23" t="n">
        <x:v>576.6402994791666</x:v>
      </x:c>
      <x:c r="K248" s="23" t="n">
        <x:v>592.1036376953125</x:v>
      </x:c>
      <x:c r="L248" s="23" t="n">
        <x:v>587.4219563802083</x:v>
      </x:c>
      <x:c r="M248" s="23" t="n">
        <x:v>580.6444091796875</x:v>
      </x:c>
      <x:c r="N248" s="23" t="n">
        <x:v>596.5338134765625</x:v>
      </x:c>
      <x:c r="O248" s="23" t="n">
        <x:v>610.0927327473958</x:v>
      </x:c>
      <x:c r="P248" s="23" t="n">
        <x:v>1442.5753580729165</x:v>
      </x:c>
      <x:c r="Q248" s="23" t="n">
        <x:v>585.8319498697916</x:v>
      </x:c>
      <x:c r="R248" s="23" t="n">
        <x:v>578.6595052083333</x:v>
      </x:c>
      <x:c r="S248" s="23" t="n">
        <x:v>1419.9644368489583</x:v>
      </x:c>
      <x:c r="T248" s="23" t="n">
        <x:v>608.6554768880208</x:v>
      </x:c>
      <x:c r="U248" s="23" t="n">
        <x:v>610.9398600260416</x:v>
      </x:c>
      <x:c r="V248" s="23" t="n">
        <x:v>594.5469156901041</x:v>
      </x:c>
      <x:c r="W248" s="23" t="n">
        <x:v>587.1164143880208</x:v>
      </x:c>
      <x:c r="X248" s="23" t="n">
        <x:v>601.3306070963541</x:v>
      </x:c>
      <x:c r="Y248" s="23" t="n">
        <x:v>604.7111409505208</x:v>
      </x:c>
      <x:c r="Z248" s="23" t="n">
        <x:v>600.7424723307291</x:v>
      </x:c>
      <x:c r="AA248" s="23" t="n">
        <x:v>602.7322184244791</x:v>
      </x:c>
      <x:c r="AB248" s="23" t="n">
        <x:v>606.8368733723958</x:v>
      </x:c>
      <x:c r="AC248" s="23" t="n">
        <x:v>608.394775390625</x:v>
      </x:c>
      <x:c r="AD248" s="23" t="n">
        <x:v>604.1991373697916</x:v>
      </x:c>
      <x:c r="AE248" s="23" t="n">
        <x:v>589.4209391276041</x:v>
      </x:c>
      <x:c r="AF248" s="23" t="n">
        <x:v>586.7591145833333</x:v>
      </x:c>
      <x:c r="AG248" s="23" t="n">
        <x:v>605.9515380859375</x:v>
      </x:c>
      <x:c r="AH248" s="23" t="n">
        <x:v>605.7148030598958</x:v>
      </x:c>
      <x:c r="AI248" s="23" t="n">
        <x:v>588.6646625258611</x:v>
      </x:c>
      <x:c r="AJ248" s="23" t="n">
        <x:v>648.2077079398089</x:v>
      </x:c>
      <x:c r="AK248" s="23" t="n">
        <x:v>4.372726651743202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0</x:v>
      </x:c>
      <x:c r="AT248" s="23" t="n">
        <x:v>186.4073556420538</x:v>
      </x:c>
      <x:c r="AU248" s="23" t="n">
        <x:v>265.0973133021337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0</x:v>
      </x:c>
      <x:c r="BQ248" s="23" t="n">
        <x:v>0</x:v>
      </x:c>
      <x:c r="BR248" s="23" t="n">
        <x:v>0</x:v>
      </x:c>
      <x:c r="BS248" s="23" t="n">
        <x:v>0</x:v>
      </x:c>
      <x:c r="BT248" s="23" t="n">
        <x:v>387.6842989402636</x:v>
      </x:c>
      <x:c r="BU248" s="23" t="n">
        <x:v>364.8331861880148</x:v>
      </x:c>
      <x:c r="BV248" s="23" t="n">
        <x:v>341.51722778353025</x:v>
      </x:c>
      <x:c r="BW248" s="23" t="n">
        <x:v>336.4838593229791</x:v>
      </x:c>
      <x:c r="BX248" s="23" t="n">
        <x:v>355.8640343924068</x:v>
      </x:c>
      <x:c r="BY248" s="23" t="n">
        <x:v>352.27865836026706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73.19619446681918</x:v>
      </x:c>
      <x:c r="CM248" s="23" t="n">
        <x:v>113.15907549396252</x:v>
      </x:c>
      <x:c r="CN248" s="23" t="n">
        <x:v>159.45641681044222</x:v>
      </x:c>
      <x:c r="CO248" s="23" t="n">
        <x:v>217.24769351169076</x:v>
      </x:c>
      <x:c r="CP248" s="23" t="n">
        <x:v>293.8568727864673</x:v>
      </x:c>
      <x:c r="CQ248" s="23" t="n">
        <x:v>323.99922215543427</x:v>
      </x:c>
      <x:c r="CR248" s="23" t="n">
        <x:v>365.98833253983986</x:v>
      </x:c>
      <x:c r="CS248" s="23" t="n">
        <x:v>449.8277192073401</x:v>
      </x:c>
      <x:c r="CT248" s="23" t="n">
        <x:v>518.0135406591976</x:v>
      </x:c>
      <x:c r="CU248" s="23" t="n">
        <x:v>574.8629332794549</x:v>
      </x:c>
      <x:c r="CV248" s="23" t="n">
        <x:v>618.6664703294616</x:v>
      </x:c>
      <x:c r="CW248" s="23" t="n">
        <x:v>673.7946915521178</x:v>
      </x:c>
      <x:c r="CX248" s="23" t="n">
        <x:v>726.7486273678446</x:v>
      </x:c>
      <x:c r="CY248" s="23" t="n">
        <x:v>784.8891037006192</x:v>
      </x:c>
      <x:c r="CZ248" s="23" t="n">
        <x:v>841.2528788095758</x:v>
      </x:c>
      <x:c r="DA248" s="23" t="n">
        <x:v>896.9011648803953</x:v>
      </x:c>
      <x:c r="DB248" s="23" t="n">
        <x:v>957.6931594969647</x:v>
      </x:c>
      <x:c r="DC248" s="23" t="n">
        <x:v>1025.869868620269</x:v>
      </x:c>
      <x:c r="DD248" s="23" t="n">
        <x:v>952.8562134679447</x:v>
      </x:c>
      <x:c r="DE248" s="23" t="n">
        <x:v>735.9646809895833</x:v>
      </x:c>
      <x:c r="DF248" s="23" t="n">
        <x:v>53.23634675924101</x:v>
      </x:c>
      <x:c r="DG248" s="23" t="n">
        <x:v>739.0535482695583</x:v>
      </x:c>
      <x:c r="DH248" s="23" t="n">
        <x:v>736.3096516927083</x:v>
      </x:c>
      <x:c r="DI248" s="23" t="n">
        <x:v>0</x:v>
      </x:c>
      <x:c r="DJ248" s="23" t="n">
        <x:v>0</x:v>
      </x:c>
      <x:c r="DK248" s="23" t="n">
        <x:v>0</x:v>
      </x:c>
      <x:c r="DL248" s="23" t="n">
        <x:v>759.0935872395833</x:v>
      </x:c>
      <x:c r="DM248" s="23" t="n">
        <x:v>820.0770670572916</x:v>
      </x:c>
      <x:c r="DN248" s="23" t="n">
        <x:v>48.572155273437446</x:v>
      </x:c>
      <x:c r="DO248" s="23" t="n">
        <x:v>3.081742890624961</x:v>
      </x:c>
      <x:c r="DP248" s="23" t="n">
        <x:v>0</x:v>
      </x:c>
      <x:c r="DQ248" s="23" t="n">
        <x:v>0</x:v>
      </x:c>
      <x:c r="DR248" s="23" t="n">
        <x:v>0</x:v>
      </x:c>
      <x:c r="DS248" s="23" t="n">
        <x:v>766.8311360677083</x:v>
      </x:c>
      <x:c r="DT248" s="23" t="n">
        <x:v>0</x:v>
      </x:c>
      <x:c r="DU248" s="23" t="n">
        <x:v>5.942355390624925</x:v>
      </x:c>
      <x:c r="DV248" s="23" t="n">
        <x:v>830.165771484375</x:v>
      </x:c>
      <x:c r="DW248" s="23" t="n">
        <x:v>769.338982100373</x:v>
      </x:c>
      <x:c r="DX248" s="23" t="n">
        <x:v>826.7308756510416</x:v>
      </x:c>
      <x:c r="DY248" s="23" t="n">
        <x:v>828.7947689445087</x:v>
      </x:c>
      <x:c r="DZ248" s="23" t="n">
        <x:v>743.4961751302083</x:v>
      </x:c>
      <x:c r="EA248" s="23" t="n">
        <x:v>813.4990234375</x:v>
      </x:c>
      <x:c r="EB248" s="23" t="n">
        <x:v>744.2756345312501</x:v>
      </x:c>
      <x:c r="EC248" s="23" t="n">
        <x:v>575.4880777994791</x:v>
      </x:c>
      <x:c r="ED248" s="23" t="n">
        <x:v>1401.9989420572915</x:v>
      </x:c>
      <x:c r="EE248" s="23" t="n">
        <x:v>600.2678629557291</x:v>
      </x:c>
      <x:c r="EF248" s="23" t="n">
        <x:v>1401.4646809895833</x:v>
      </x:c>
      <x:c r="EG248" s="23" t="n">
        <x:v>1383.7709147135415</x:v>
      </x:c>
      <x:c r="EH248" s="23" t="n">
        <x:v>1409.1853841145833</x:v>
      </x:c>
      <x:c r="EI248" s="23" t="n">
        <x:v>599.2696533203125</x:v>
      </x:c>
      <x:c r="EJ248" s="23" t="n">
        <x:v>1410.331298828125</x:v>
      </x:c>
      <x:c r="EK248" s="23" t="n">
        <x:v>1400.3844807942708</x:v>
      </x:c>
      <x:c r="EL248" s="23" t="n">
        <x:v>571.7392171223958</x:v>
      </x:c>
      <x:c r="EM248" s="23" t="n">
        <x:v>582.1993001302083</x:v>
      </x:c>
      <x:c r="EN248" s="23" t="n">
        <x:v>906.9846020889597</x:v>
      </x:c>
      <x:c r="EO248" s="23" t="n">
        <x:v>589.3843180338541</x:v>
      </x:c>
      <x:c r="EP248" s="23" t="n">
        <x:f>SUM(B248:EO248)</x:f>
        <x:v>60669.76192333702</x:v>
      </x:c>
      <x:c r="EQ248" s="23" t="n">
        <x:f>SUMPRODUCT(B248:EO248,{0.4012,0.3917,0.4384,0.4212,0.439,0.4907,0.467,0.4496,0.4556,0.4192,0.3954,0.4214,0.47,0.4591,0.4148,0.4392,0.4559,0.4409,0.4474,0.4473,0.4321,0.4288,0.4419,0.4579,0.4566,0.438,0.4305,0.4643,0.4871,0.4655,0.4208,0.4266,0.4529,0.436,0.6272,0.9396,1.0038,0.9848,0.9813,0.9201,0.8561,0.8224,0.8058,0.8265,0.8065,0.6871,0.8856,1.272,1.2627,1.1196,1.0577,1.0409,1.0869,1.1213,1.0276,0.9491,0.9409,0.9248,0.9045,0.8864,0.8584,0.8168,0.804,0.8346,0.6585,0.4,0.4498,0.5125,0.4457,0.4,0.3787,0.3545,0.3247,0.3397,0.3594,0.3272,0.5167,0.8186,0.8264,0.7966,0.8371,0.7996,0.7828,0.8539,0.9577,0.9493,0.8937,0.9675,0.8885,0.6794,0.673,0.7567,0.7807,0.7225,0.7448,0.8325,0.8213,0.8352,0.8955,0.8983,0.9395,1.0161,1.0185,1.0134,1.0445,1.0943,1.1744,1.2517,1.2649,1.2512,1.2501,1.2694,1.2811,1.2734,1.259,1.2493,1.2502,1.2628,1.2855,1.303,1.2899,1.2353,1.2057,1.2618,1.1594,0.9653,0.9897,0.9824,0.911,0.9592,0.753,0.3776,0.3349,0.3959,0.415,0.4689,0.4435,0.3758,0.4254,0.4425,0.4001,0.4236,0.4404,0.4222})</x:f>
        <x:v>38587.30795887078</x:v>
      </x:c>
    </x:row>
    <x:row r="249" ht="14" customHeight="1">
      <x:c r="A249" s="3">
        <x:v>45936</x:v>
      </x:c>
      <x:c r="B249" s="23" t="n">
        <x:v>595.3204752604166</x:v>
      </x:c>
      <x:c r="C249" s="23" t="n">
        <x:v>589.9121907552083</x:v>
      </x:c>
      <x:c r="D249" s="23" t="n">
        <x:v>1399.8124186197915</x:v>
      </x:c>
      <x:c r="E249" s="23" t="n">
        <x:v>597.3973388671875</x:v>
      </x:c>
      <x:c r="F249" s="23" t="n">
        <x:v>606.9217122395833</x:v>
      </x:c>
      <x:c r="G249" s="23" t="n">
        <x:v>584.7922770182291</x:v>
      </x:c>
      <x:c r="H249" s="23" t="n">
        <x:v>1419.0704752604165</x:v>
      </x:c>
      <x:c r="I249" s="23" t="n">
        <x:v>583.3041585286458</x:v>
      </x:c>
      <x:c r="J249" s="23" t="n">
        <x:v>586.8043619791666</x:v>
      </x:c>
      <x:c r="K249" s="23" t="n">
        <x:v>593.1939697265625</x:v>
      </x:c>
      <x:c r="L249" s="23" t="n">
        <x:v>1366.718852695275</x:v>
      </x:c>
      <x:c r="M249" s="23" t="n">
        <x:v>588.5850830078125</x:v>
      </x:c>
      <x:c r="N249" s="23" t="n">
        <x:v>583.3825276692708</x:v>
      </x:c>
      <x:c r="O249" s="23" t="n">
        <x:v>586.5712890625</x:v>
      </x:c>
      <x:c r="P249" s="23" t="n">
        <x:v>584.9015706380208</x:v>
      </x:c>
      <x:c r="Q249" s="23" t="n">
        <x:v>597.0568440755208</x:v>
      </x:c>
      <x:c r="R249" s="23" t="n">
        <x:v>601.1945393880208</x:v>
      </x:c>
      <x:c r="S249" s="23" t="n">
        <x:v>601.7774658203125</x:v>
      </x:c>
      <x:c r="T249" s="23" t="n">
        <x:v>616.1278889973958</x:v>
      </x:c>
      <x:c r="U249" s="23" t="n">
        <x:v>605.7864990234375</x:v>
      </x:c>
      <x:c r="V249" s="23" t="n">
        <x:v>605.0544026692708</x:v>
      </x:c>
      <x:c r="W249" s="23" t="n">
        <x:v>603.207275390625</x:v>
      </x:c>
      <x:c r="X249" s="23" t="n">
        <x:v>603.8065999348958</x:v>
      </x:c>
      <x:c r="Y249" s="23" t="n">
        <x:v>591.5312906901041</x:v>
      </x:c>
      <x:c r="Z249" s="23" t="n">
        <x:v>619.5626627604166</x:v>
      </x:c>
      <x:c r="AA249" s="23" t="n">
        <x:v>614.95654296875</x:v>
      </x:c>
      <x:c r="AB249" s="23" t="n">
        <x:v>591.5937906901041</x:v>
      </x:c>
      <x:c r="AC249" s="23" t="n">
        <x:v>592.238525390625</x:v>
      </x:c>
      <x:c r="AD249" s="23" t="n">
        <x:v>589.9766845703125</x:v>
      </x:c>
      <x:c r="AE249" s="23" t="n">
        <x:v>596.994140625</x:v>
      </x:c>
      <x:c r="AF249" s="23" t="n">
        <x:v>606.0821940104166</x:v>
      </x:c>
      <x:c r="AG249" s="23" t="n">
        <x:v>604.3887939453125</x:v>
      </x:c>
      <x:c r="AH249" s="23" t="n">
        <x:v>610.4187418619791</x:v>
      </x:c>
      <x:c r="AI249" s="23" t="n">
        <x:v>1418.1637173740864</x:v>
      </x:c>
      <x:c r="AJ249" s="23" t="n">
        <x:v>651.1370942371361</x:v>
      </x:c>
      <x:c r="AK249" s="23" t="n">
        <x:v>2.4200085527848687</x:v>
      </x:c>
      <x:c r="AL249" s="23" t="n">
        <x:v>17.21260080618625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0</x:v>
      </x:c>
      <x:c r="AT249" s="23" t="n">
        <x:v>123.69486621806307</x:v>
      </x:c>
      <x:c r="AU249" s="23" t="n">
        <x:v>300.5819865378741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22.972103785951653</x:v>
      </x:c>
      <x:c r="BQ249" s="23" t="n">
        <x:v>0</x:v>
      </x:c>
      <x:c r="BR249" s="23" t="n">
        <x:v>0</x:v>
      </x:c>
      <x:c r="BS249" s="23" t="n">
        <x:v>0</x:v>
      </x:c>
      <x:c r="BT249" s="23" t="n">
        <x:v>0</x:v>
      </x:c>
      <x:c r="BU249" s="23" t="n">
        <x:v>318.45010097224315</x:v>
      </x:c>
      <x:c r="BV249" s="23" t="n">
        <x:v>307.1776661327433</x:v>
      </x:c>
      <x:c r="BW249" s="23" t="n">
        <x:v>347.68226930014316</x:v>
      </x:c>
      <x:c r="BX249" s="23" t="n">
        <x:v>351.03332849912476</x:v>
      </x:c>
      <x:c r="BY249" s="23" t="n">
        <x:v>350.72092736193736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167.62115183098337</x:v>
      </x:c>
      <x:c r="CN249" s="23" t="n">
        <x:v>160.6221401398816</x:v>
      </x:c>
      <x:c r="CO249" s="23" t="n">
        <x:v>223.50194626354988</x:v>
      </x:c>
      <x:c r="CP249" s="23" t="n">
        <x:v>276.7712252864847</x:v>
      </x:c>
      <x:c r="CQ249" s="23" t="n">
        <x:v>319.5162184187705</x:v>
      </x:c>
      <x:c r="CR249" s="23" t="n">
        <x:v>359.6439416516608</x:v>
      </x:c>
      <x:c r="CS249" s="23" t="n">
        <x:v>429.2868182524454</x:v>
      </x:c>
      <x:c r="CT249" s="23" t="n">
        <x:v>493.82171798978925</x:v>
      </x:c>
      <x:c r="CU249" s="23" t="n">
        <x:v>565.0296166668825</x:v>
      </x:c>
      <x:c r="CV249" s="23" t="n">
        <x:v>629.0366741669321</x:v>
      </x:c>
      <x:c r="CW249" s="23" t="n">
        <x:v>684.6151805084482</x:v>
      </x:c>
      <x:c r="CX249" s="23" t="n">
        <x:v>719.5887060859138</x:v>
      </x:c>
      <x:c r="CY249" s="23" t="n">
        <x:v>778.2943813525856</x:v>
      </x:c>
      <x:c r="CZ249" s="23" t="n">
        <x:v>852.7284666738321</x:v>
      </x:c>
      <x:c r="DA249" s="23" t="n">
        <x:v>900.2906063252273</x:v>
      </x:c>
      <x:c r="DB249" s="23" t="n">
        <x:v>955.7133301287819</x:v>
      </x:c>
      <x:c r="DC249" s="23" t="n">
        <x:v>1008.7572755049378</x:v>
      </x:c>
      <x:c r="DD249" s="23" t="n">
        <x:v>966.3595308736682</x:v>
      </x:c>
      <x:c r="DE249" s="23" t="n">
        <x:v>747.2112630208333</x:v>
      </x:c>
      <x:c r="DF249" s="23" t="n">
        <x:v>733.1099324437437</x:v>
      </x:c>
      <x:c r="DG249" s="23" t="n">
        <x:v>750.9174083560957</x:v>
      </x:c>
      <x:c r="DH249" s="23" t="n">
        <x:v>11.295253906250005</x:v>
      </x:c>
      <x:c r="DI249" s="23" t="n">
        <x:v>294.4364535026034</x:v>
      </x:c>
      <x:c r="DJ249" s="23" t="n">
        <x:v>812.0978190104166</x:v>
      </x:c>
      <x:c r="DK249" s="23" t="n">
        <x:v>0</x:v>
      </x:c>
      <x:c r="DL249" s="23" t="n">
        <x:v>0</x:v>
      </x:c>
      <x:c r="DM249" s="23" t="n">
        <x:v>0</x:v>
      </x:c>
      <x:c r="DN249" s="23" t="n">
        <x:v>6.814017252604117</x:v>
      </x:c>
      <x:c r="DO249" s="23" t="n">
        <x:v>816.8624674479166</x:v>
      </x:c>
      <x:c r="DP249" s="23" t="n">
        <x:v>768.7937825520833</x:v>
      </x:c>
      <x:c r="DQ249" s="23" t="n">
        <x:v>0</x:v>
      </x:c>
      <x:c r="DR249" s="23" t="n">
        <x:v>0</x:v>
      </x:c>
      <x:c r="DS249" s="23" t="n">
        <x:v>0.04827151041657392</x:v>
      </x:c>
      <x:c r="DT249" s="23" t="n">
        <x:v>3.734356119791755</x:v>
      </x:c>
      <x:c r="DU249" s="23" t="n">
        <x:v>22.862765546874925</x:v>
      </x:c>
      <x:c r="DV249" s="23" t="n">
        <x:v>815.98046875</x:v>
      </x:c>
      <x:c r="DW249" s="23" t="n">
        <x:v>747.3608733764146</x:v>
      </x:c>
      <x:c r="DX249" s="23" t="n">
        <x:v>851.3947852205504</x:v>
      </x:c>
      <x:c r="DY249" s="23" t="n">
        <x:v>797.4192708333333</x:v>
      </x:c>
      <x:c r="DZ249" s="23" t="n">
        <x:v>744.3098958333333</x:v>
      </x:c>
      <x:c r="EA249" s="23" t="n">
        <x:v>838.8087565104166</x:v>
      </x:c>
      <x:c r="EB249" s="23" t="n">
        <x:v>738.1415199479168</x:v>
      </x:c>
      <x:c r="EC249" s="23" t="n">
        <x:v>1413.2587483723958</x:v>
      </x:c>
      <x:c r="ED249" s="23" t="n">
        <x:v>1388.990030924479</x:v>
      </x:c>
      <x:c r="EE249" s="23" t="n">
        <x:v>1392.089152018229</x:v>
      </x:c>
      <x:c r="EF249" s="23" t="n">
        <x:v>1397.0069986979165</x:v>
      </x:c>
      <x:c r="EG249" s="23" t="n">
        <x:v>881.221784706147</x:v>
      </x:c>
      <x:c r="EH249" s="23" t="n">
        <x:v>589.1849772135416</x:v>
      </x:c>
      <x:c r="EI249" s="23" t="n">
        <x:v>607.7471923828125</x:v>
      </x:c>
      <x:c r="EJ249" s="23" t="n">
        <x:v>1419.240030924479</x:v>
      </x:c>
      <x:c r="EK249" s="23" t="n">
        <x:v>1425.4694010416665</x:v>
      </x:c>
      <x:c r="EL249" s="23" t="n">
        <x:v>602.2309163411458</x:v>
      </x:c>
      <x:c r="EM249" s="23" t="n">
        <x:v>588.3804117838541</x:v>
      </x:c>
      <x:c r="EN249" s="23" t="n">
        <x:v>570.2609049479166</x:v>
      </x:c>
      <x:c r="EO249" s="23" t="n">
        <x:v>602.4951171875</x:v>
      </x:c>
      <x:c r="EP249" s="23" t="n">
        <x:f>SUM(B249:EO249)</x:f>
        <x:v>60200.06420972332</x:v>
      </x:c>
      <x:c r="EQ249" s="23" t="n">
        <x:f>SUMPRODUCT(B249:EO249,{0.4215,0.4315,0.4412,0.4476,0.4362,0.4182,0.421,0.4223,0.4295,0.4689,0.4779,0.4452,0.4254,0.4391,0.4633,0.4578,0.4509,0.4726,0.5151,0.4874,0.4077,0.392,0.4284,0.4728,0.4884,0.4658,0.4413,0.4639,0.4797,0.4747,0.4888,0.5142,0.4983,0.4386,0.6374,0.9869,1.0454,0.9757,0.9307,0.8973,0.8641,0.8323,0.8092,0.7876,0.7467,0.7116,0.913,1.2098,1.2027,1.1377,1.1403,1.0875,1.0057,0.9776,1.0457,1.0387,0.9581,0.9604,0.9268,0.8517,0.8613,0.8768,0.8568,0.8291,0.7354,0.5775,0.4416,0.4155,0.486,0.5486,0.5387,0.4761,0.4341,0.4078,0.3936,0.42,0.551,0.7318,0.8245,0.8666,0.8917,0.8898,0.8719,0.8717,0.9172,0.9497,0.97,1.0095,0.9083,0.7183,0.6755,0.7121,0.7448,0.7631,0.792,0.8334,0.8666,0.9024,0.9369,0.9583,1.0128,1.0631,1.0296,1.0461,1.114,1.1087,1.1443,1.2187,1.2119,1.2376,1.3035,1.2899,1.2334,1.2042,1.2378,1.2619,1.2715,1.3222,1.3391,1.303,1.278,1.2996,1.3468,1.3409,1.1775,0.9548,0.8991,0.9166,0.9461,0.9747,0.7446,0.3878,0.3294,0.367,0.3592,0.3698,0.3907,0.4147,0.4454,0.449,0.433,0.4392,0.4428,0.4387})</x:f>
        <x:v>39101.06016062566</x:v>
      </x:c>
    </x:row>
    <x:row r="250" ht="14" customHeight="1">
      <x:c r="A250" s="3">
        <x:v>45937</x:v>
      </x:c>
      <x:c r="B250" s="23" t="n">
        <x:v>590.200439453125</x:v>
      </x:c>
      <x:c r="C250" s="23" t="n">
        <x:v>569.7933756510416</x:v>
      </x:c>
      <x:c r="D250" s="23" t="n">
        <x:v>570.0270589192708</x:v>
      </x:c>
      <x:c r="E250" s="23" t="n">
        <x:v>581.9270833333333</x:v>
      </x:c>
      <x:c r="F250" s="23" t="n">
        <x:v>593.7115885416666</x:v>
      </x:c>
      <x:c r="G250" s="23" t="n">
        <x:v>578.0662434895833</x:v>
      </x:c>
      <x:c r="H250" s="23" t="n">
        <x:v>583.3594563802083</x:v>
      </x:c>
      <x:c r="I250" s="23" t="n">
        <x:v>578.0312906901041</x:v>
      </x:c>
      <x:c r="J250" s="23" t="n">
        <x:v>1398.824503580729</x:v>
      </x:c>
      <x:c r="K250" s="23" t="n">
        <x:v>1410.2654622395833</x:v>
      </x:c>
      <x:c r="L250" s="23" t="n">
        <x:v>1428.9543050130208</x:v>
      </x:c>
      <x:c r="M250" s="23" t="n">
        <x:v>1418.7049967447915</x:v>
      </x:c>
      <x:c r="N250" s="23" t="n">
        <x:v>598.0541178385416</x:v>
      </x:c>
      <x:c r="O250" s="23" t="n">
        <x:v>603.164794921875</x:v>
      </x:c>
      <x:c r="P250" s="23" t="n">
        <x:v>594.7191975911458</x:v>
      </x:c>
      <x:c r="Q250" s="23" t="n">
        <x:v>591.9506429036458</x:v>
      </x:c>
      <x:c r="R250" s="23" t="n">
        <x:v>585.0613199869791</x:v>
      </x:c>
      <x:c r="S250" s="23" t="n">
        <x:v>588.9687093098958</x:v>
      </x:c>
      <x:c r="T250" s="23" t="n">
        <x:v>589.8348388671875</x:v>
      </x:c>
      <x:c r="U250" s="23" t="n">
        <x:v>584.4654134114583</x:v>
      </x:c>
      <x:c r="V250" s="23" t="n">
        <x:v>1105.46986837835</x:v>
      </x:c>
      <x:c r="W250" s="23" t="n">
        <x:v>584.6670328776041</x:v>
      </x:c>
      <x:c r="X250" s="23" t="n">
        <x:v>599.6455485026041</x:v>
      </x:c>
      <x:c r="Y250" s="23" t="n">
        <x:v>610.2810872395833</x:v>
      </x:c>
      <x:c r="Z250" s="23" t="n">
        <x:v>596.7906087239583</x:v>
      </x:c>
      <x:c r="AA250" s="23" t="n">
        <x:v>587.3115234375</x:v>
      </x:c>
      <x:c r="AB250" s="23" t="n">
        <x:v>609.5498046875</x:v>
      </x:c>
      <x:c r="AC250" s="23" t="n">
        <x:v>615.6300455729166</x:v>
      </x:c>
      <x:c r="AD250" s="23" t="n">
        <x:v>616.1894938151041</x:v>
      </x:c>
      <x:c r="AE250" s="23" t="n">
        <x:v>623.7536214192708</x:v>
      </x:c>
      <x:c r="AF250" s="23" t="n">
        <x:v>615.2607828776041</x:v>
      </x:c>
      <x:c r="AG250" s="23" t="n">
        <x:v>614.983154296875</x:v>
      </x:c>
      <x:c r="AH250" s="23" t="n">
        <x:v>600.4385579427083</x:v>
      </x:c>
      <x:c r="AI250" s="23" t="n">
        <x:v>1406.2540356476622</x:v>
      </x:c>
      <x:c r="AJ250" s="23" t="n">
        <x:v>640.7068806132988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0</x:v>
      </x:c>
      <x:c r="AS250" s="23" t="n">
        <x:v>0</x:v>
      </x:c>
      <x:c r="AT250" s="23" t="n">
        <x:v>44.008133365894196</x:v>
      </x:c>
      <x:c r="AU250" s="23" t="n">
        <x:v>285.65400811498114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0</x:v>
      </x:c>
      <x:c r="BQ250" s="23" t="n">
        <x:v>0</x:v>
      </x:c>
      <x:c r="BR250" s="23" t="n">
        <x:v>0</x:v>
      </x:c>
      <x:c r="BS250" s="23" t="n">
        <x:v>0</x:v>
      </x:c>
      <x:c r="BT250" s="23" t="n">
        <x:v>0</x:v>
      </x:c>
      <x:c r="BU250" s="23" t="n">
        <x:v>355.76868969445815</x:v>
      </x:c>
      <x:c r="BV250" s="23" t="n">
        <x:v>350.4418133287636</x:v>
      </x:c>
      <x:c r="BW250" s="23" t="n">
        <x:v>368.47168179602795</x:v>
      </x:c>
      <x:c r="BX250" s="23" t="n">
        <x:v>371.8254531754404</x:v>
      </x:c>
      <x:c r="BY250" s="23" t="n">
        <x:v>385.5790105367387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97.90804960607359</x:v>
      </x:c>
      <x:c r="CN250" s="23" t="n">
        <x:v>204.64907883284843</x:v>
      </x:c>
      <x:c r="CO250" s="23" t="n">
        <x:v>216.85505966624805</x:v>
      </x:c>
      <x:c r="CP250" s="23" t="n">
        <x:v>264.7231150425056</x:v>
      </x:c>
      <x:c r="CQ250" s="23" t="n">
        <x:v>307.3261731767843</x:v>
      </x:c>
      <x:c r="CR250" s="23" t="n">
        <x:v>362.51408727748833</x:v>
      </x:c>
      <x:c r="CS250" s="23" t="n">
        <x:v>433.2612048861971</x:v>
      </x:c>
      <x:c r="CT250" s="23" t="n">
        <x:v>509.2703377527988</x:v>
      </x:c>
      <x:c r="CU250" s="23" t="n">
        <x:v>573.0604907944503</x:v>
      </x:c>
      <x:c r="CV250" s="23" t="n">
        <x:v>620.8636198673075</x:v>
      </x:c>
      <x:c r="CW250" s="23" t="n">
        <x:v>678.8984757475237</x:v>
      </x:c>
      <x:c r="CX250" s="23" t="n">
        <x:v>736.3501891923376</x:v>
      </x:c>
      <x:c r="CY250" s="23" t="n">
        <x:v>776.4867995764249</x:v>
      </x:c>
      <x:c r="CZ250" s="23" t="n">
        <x:v>849.8904580831737</x:v>
      </x:c>
      <x:c r="DA250" s="23" t="n">
        <x:v>900.9046176805423</x:v>
      </x:c>
      <x:c r="DB250" s="23" t="n">
        <x:v>953.0109842080797</x:v>
      </x:c>
      <x:c r="DC250" s="23" t="n">
        <x:v>1019.8636500631388</x:v>
      </x:c>
      <x:c r="DD250" s="23" t="n">
        <x:v>976.4678067263004</x:v>
      </x:c>
      <x:c r="DE250" s="23" t="n">
        <x:v>806.7909342447916</x:v>
      </x:c>
      <x:c r="DF250" s="23" t="n">
        <x:v>742.865269660063</x:v>
      </x:c>
      <x:c r="DG250" s="23" t="n">
        <x:v>813.4262030204891</x:v>
      </x:c>
      <x:c r="DH250" s="23" t="n">
        <x:v>16.77759440104167</x:v>
      </x:c>
      <x:c r="DI250" s="23" t="n">
        <x:v>0</x:v>
      </x:c>
      <x:c r="DJ250" s="23" t="n">
        <x:v>746.12353515625</x:v>
      </x:c>
      <x:c r="DK250" s="23" t="n">
        <x:v>80.01295700520905</x:v>
      </x:c>
      <x:c r="DL250" s="23" t="n">
        <x:v>818.4012858072916</x:v>
      </x:c>
      <x:c r="DM250" s="23" t="n">
        <x:v>761.2129720052083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22.850423177083332</x:v>
      </x:c>
      <x:c r="DS250" s="23" t="n">
        <x:v>52.301770859374905</x:v>
      </x:c>
      <x:c r="DT250" s="23" t="n">
        <x:v>0</x:v>
      </x:c>
      <x:c r="DU250" s="23" t="n">
        <x:v>0</x:v>
      </x:c>
      <x:c r="DV250" s="23" t="n">
        <x:v>852.041748046875</x:v>
      </x:c>
      <x:c r="DW250" s="23" t="n">
        <x:v>843.206657881623</x:v>
      </x:c>
      <x:c r="DX250" s="23" t="n">
        <x:v>841.2171992509003</x:v>
      </x:c>
      <x:c r="DY250" s="23" t="n">
        <x:v>815.1907552083333</x:v>
      </x:c>
      <x:c r="DZ250" s="23" t="n">
        <x:v>742.5118815104166</x:v>
      </x:c>
      <x:c r="EA250" s="23" t="n">
        <x:v>754.7801920572916</x:v>
      </x:c>
      <x:c r="EB250" s="23" t="n">
        <x:v>738.259765625</x:v>
      </x:c>
      <x:c r="EC250" s="23" t="n">
        <x:v>612.2943522135416</x:v>
      </x:c>
      <x:c r="ED250" s="23" t="n">
        <x:v>1404.0592041015625</x:v>
      </x:c>
      <x:c r="EE250" s="23" t="n">
        <x:v>1412.747355143229</x:v>
      </x:c>
      <x:c r="EF250" s="23" t="n">
        <x:v>1441.7782389322915</x:v>
      </x:c>
      <x:c r="EG250" s="23" t="n">
        <x:v>580.9757893880208</x:v>
      </x:c>
      <x:c r="EH250" s="23" t="n">
        <x:v>569.5819091796875</x:v>
      </x:c>
      <x:c r="EI250" s="23" t="n">
        <x:v>578.7571614583333</x:v>
      </x:c>
      <x:c r="EJ250" s="23" t="n">
        <x:v>1404.1017252604165</x:v>
      </x:c>
      <x:c r="EK250" s="23" t="n">
        <x:v>1410.5626627604165</x:v>
      </x:c>
      <x:c r="EL250" s="23" t="n">
        <x:v>589.1311442057291</x:v>
      </x:c>
      <x:c r="EM250" s="23" t="n">
        <x:v>606.2412923177083</x:v>
      </x:c>
      <x:c r="EN250" s="23" t="n">
        <x:v>891.9759350967722</x:v>
      </x:c>
      <x:c r="EO250" s="23" t="n">
        <x:v>1392.7148030598958</x:v>
      </x:c>
      <x:c r="EP250" s="23" t="n">
        <x:f>SUM(B250:EO250)</x:f>
        <x:v>61451.9625911271</x:v>
      </x:c>
      <x:c r="EQ250" s="23" t="n">
        <x:f>SUMPRODUCT(B250:EO250,{0.4431,0.4135,0.3923,0.4599,0.4593,0.3916,0.4167,0.4618,0.4653,0.4415,0.4192,0.4109,0.4137,0.4372,0.4641,0.4664,0.4885,0.5015,0.4339,0.4055,0.4159,0.3644,0.4134,0.5174,0.4553,0.3976,0.4321,0.4722,0.473,0.4503,0.4526,0.4675,0.4418,0.3842,0.6232,1.0116,1.0373,0.9449,0.9119,0.8733,0.8393,0.8323,0.8479,0.8188,0.7335,0.6873,0.9008,1.2302,1.2724,1.1598,1.0897,1.1313,1.1469,1.092,1.0525,1.0575,1.0532,0.9665,0.9078,0.9155,0.9187,0.8861,0.8678,0.904,0.7383,0.4673,0.4646,0.5119,0.4942,0.5064,0.4649,0.3814,0.3736,0.4115,0.4075,0.341,0.5184,0.8301,0.8401,0.7895,0.8212,0.8384,0.8705,0.9066,0.8975,0.9366,1.0286,1.0511,0.8835,0.679,0.7302,0.8076,0.7947,0.7954,0.8129,0.8372,0.8684,0.8897,0.8859,0.8627,0.8814,0.9428,0.9929,1.0553,1.1113,1.1134,1.1413,1.2143,1.2684,1.2807,1.2717,1.2774,1.2718,1.2605,1.2759,1.2742,1.2469,1.2317,1.2296,1.2433,1.2762,1.2902,1.2977,1.3141,1.1391,0.8912,0.9133,0.9658,0.9561,0.9868,0.776,0.4539,0.4633,0.4719,0.3729,0.3956,0.4197,0.4012,0.4236,0.4088,0.3664,0.3982,0.4558,0.4699})</x:f>
        <x:v>39209.16663180455</x:v>
      </x:c>
    </x:row>
    <x:row r="251" ht="14" customHeight="1">
      <x:c r="A251" s="3">
        <x:v>45938</x:v>
      </x:c>
      <x:c r="B251" s="23" t="n">
        <x:v>564.3282877604166</x:v>
      </x:c>
      <x:c r="C251" s="23" t="n">
        <x:v>591.3470458984375</x:v>
      </x:c>
      <x:c r="D251" s="23" t="n">
        <x:v>582.0295003255208</x:v>
      </x:c>
      <x:c r="E251" s="23" t="n">
        <x:v>574.3886311848958</x:v>
      </x:c>
      <x:c r="F251" s="23" t="n">
        <x:v>582.5175374348958</x:v>
      </x:c>
      <x:c r="G251" s="23" t="n">
        <x:v>1400.7929280598958</x:v>
      </x:c>
      <x:c r="H251" s="23" t="n">
        <x:v>1419.3397216796875</x:v>
      </x:c>
      <x:c r="I251" s="23" t="n">
        <x:v>1416.5863037109375</x:v>
      </x:c>
      <x:c r="J251" s="23" t="n">
        <x:v>1101.3396170676901</x:v>
      </x:c>
      <x:c r="K251" s="23" t="n">
        <x:v>595.3294677734375</x:v>
      </x:c>
      <x:c r="L251" s="23" t="n">
        <x:v>583.263916015625</x:v>
      </x:c>
      <x:c r="M251" s="23" t="n">
        <x:v>574.5032145182291</x:v>
      </x:c>
      <x:c r="N251" s="23" t="n">
        <x:v>595.5939534505208</x:v>
      </x:c>
      <x:c r="O251" s="23" t="n">
        <x:v>610.0024820963541</x:v>
      </x:c>
      <x:c r="P251" s="23" t="n">
        <x:v>606.613525390625</x:v>
      </x:c>
      <x:c r="Q251" s="23" t="n">
        <x:v>589.2969970703125</x:v>
      </x:c>
      <x:c r="R251" s="23" t="n">
        <x:v>590.0943196614583</x:v>
      </x:c>
      <x:c r="S251" s="23" t="n">
        <x:v>610.6087239583333</x:v>
      </x:c>
      <x:c r="T251" s="23" t="n">
        <x:v>607.3534749348958</x:v>
      </x:c>
      <x:c r="U251" s="23" t="n">
        <x:v>603.7582600911458</x:v>
      </x:c>
      <x:c r="V251" s="23" t="n">
        <x:v>608.41845703125</x:v>
      </x:c>
      <x:c r="W251" s="23" t="n">
        <x:v>613.4986572265625</x:v>
      </x:c>
      <x:c r="X251" s="23" t="n">
        <x:v>604.979736328125</x:v>
      </x:c>
      <x:c r="Y251" s="23" t="n">
        <x:v>590.5966796875</x:v>
      </x:c>
      <x:c r="Z251" s="23" t="n">
        <x:v>596.3731689453125</x:v>
      </x:c>
      <x:c r="AA251" s="23" t="n">
        <x:v>613.3131510416666</x:v>
      </x:c>
      <x:c r="AB251" s="23" t="n">
        <x:v>618.9956461588541</x:v>
      </x:c>
      <x:c r="AC251" s="23" t="n">
        <x:v>610.9632568359375</x:v>
      </x:c>
      <x:c r="AD251" s="23" t="n">
        <x:v>611.6845703125</x:v>
      </x:c>
      <x:c r="AE251" s="23" t="n">
        <x:v>612.1833089192708</x:v>
      </x:c>
      <x:c r="AF251" s="23" t="n">
        <x:v>609.5565185546875</x:v>
      </x:c>
      <x:c r="AG251" s="23" t="n">
        <x:v>612.6440836588541</x:v>
      </x:c>
      <x:c r="AH251" s="23" t="n">
        <x:v>623.5101318359375</x:v>
      </x:c>
      <x:c r="AI251" s="23" t="n">
        <x:v>1400.4863975204257</x:v>
      </x:c>
      <x:c r="AJ251" s="23" t="n">
        <x:v>636.9784236199675</x:v>
      </x:c>
      <x:c r="AK251" s="23" t="n">
        <x:v>9.538388908941215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0</x:v>
      </x:c>
      <x:c r="AT251" s="23" t="n">
        <x:v>155.21181651140375</x:v>
      </x:c>
      <x:c r="AU251" s="23" t="n">
        <x:v>260.52751641789155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495.2645353628468</x:v>
      </x:c>
      <x:c r="BQ251" s="23" t="n">
        <x:v>486.7320945235715</x:v>
      </x:c>
      <x:c r="BR251" s="23" t="n">
        <x:v>293.30028805559306</x:v>
      </x:c>
      <x:c r="BS251" s="23" t="n">
        <x:v>0</x:v>
      </x:c>
      <x:c r="BT251" s="23" t="n">
        <x:v>0</x:v>
      </x:c>
      <x:c r="BU251" s="23" t="n">
        <x:v>0</x:v>
      </x:c>
      <x:c r="BV251" s="23" t="n">
        <x:v>0</x:v>
      </x:c>
      <x:c r="BW251" s="23" t="n">
        <x:v>0</x:v>
      </x:c>
      <x:c r="BX251" s="23" t="n">
        <x:v>379.8699979720853</x:v>
      </x:c>
      <x:c r="BY251" s="23" t="n">
        <x:v>392.93567511623735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77.54822191077119</x:v>
      </x:c>
      <x:c r="CN251" s="23" t="n">
        <x:v>198.52333334581775</x:v>
      </x:c>
      <x:c r="CO251" s="23" t="n">
        <x:v>224.90774906433035</x:v>
      </x:c>
      <x:c r="CP251" s="23" t="n">
        <x:v>263.97306475109883</x:v>
      </x:c>
      <x:c r="CQ251" s="23" t="n">
        <x:v>305.1512025581793</x:v>
      </x:c>
      <x:c r="CR251" s="23" t="n">
        <x:v>359.869448477753</x:v>
      </x:c>
      <x:c r="CS251" s="23" t="n">
        <x:v>437.1475236332717</x:v>
      </x:c>
      <x:c r="CT251" s="23" t="n">
        <x:v>482.80627396787423</x:v>
      </x:c>
      <x:c r="CU251" s="23" t="n">
        <x:v>549.5866755840694</x:v>
      </x:c>
      <x:c r="CV251" s="23" t="n">
        <x:v>615.6232340386952</x:v>
      </x:c>
      <x:c r="CW251" s="23" t="n">
        <x:v>653.2743066876568</x:v>
      </x:c>
      <x:c r="CX251" s="23" t="n">
        <x:v>713.6132942544733</x:v>
      </x:c>
      <x:c r="CY251" s="23" t="n">
        <x:v>780.170550173879</x:v>
      </x:c>
      <x:c r="CZ251" s="23" t="n">
        <x:v>844.1030622274027</x:v>
      </x:c>
      <x:c r="DA251" s="23" t="n">
        <x:v>899.4489072694847</x:v>
      </x:c>
      <x:c r="DB251" s="23" t="n">
        <x:v>953.2958008203357</x:v>
      </x:c>
      <x:c r="DC251" s="23" t="n">
        <x:v>997.7135565039413</x:v>
      </x:c>
      <x:c r="DD251" s="23" t="n">
        <x:v>920.6000982866872</x:v>
      </x:c>
      <x:c r="DE251" s="23" t="n">
        <x:v>726.5282389322916</x:v>
      </x:c>
      <x:c r="DF251" s="23" t="n">
        <x:v>688.1157678064852</x:v>
      </x:c>
      <x:c r="DG251" s="23" t="n">
        <x:v>0</x:v>
      </x:c>
      <x:c r="DH251" s="23" t="n">
        <x:v>0</x:v>
      </x:c>
      <x:c r="DI251" s="23" t="n">
        <x:v>734.820068359375</x:v>
      </x:c>
      <x:c r="DJ251" s="23" t="n">
        <x:v>725.5057779947916</x:v>
      </x:c>
      <x:c r="DK251" s="23" t="n">
        <x:v>0</x:v>
      </x:c>
      <x:c r="DL251" s="23" t="n">
        <x:v>0</x:v>
      </x:c>
      <x:c r="DM251" s="23" t="n">
        <x:v>146.92518751427474</x:v>
      </x:c>
      <x:c r="DN251" s="23" t="n">
        <x:v>0</x:v>
      </x:c>
      <x:c r="DO251" s="23" t="n">
        <x:v>737.39892578125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735.69921875</x:v>
      </x:c>
      <x:c r="DW251" s="23" t="n">
        <x:v>737.8755696614583</x:v>
      </x:c>
      <x:c r="DX251" s="23" t="n">
        <x:v>743.14111328125</x:v>
      </x:c>
      <x:c r="DY251" s="23" t="n">
        <x:v>742.3564453125</x:v>
      </x:c>
      <x:c r="DZ251" s="23" t="n">
        <x:v>738.7898763020833</x:v>
      </x:c>
      <x:c r="EA251" s="23" t="n">
        <x:v>743.1603190104166</x:v>
      </x:c>
      <x:c r="EB251" s="23" t="n">
        <x:v>685.8447265625</x:v>
      </x:c>
      <x:c r="EC251" s="23" t="n">
        <x:v>1405.640380859375</x:v>
      </x:c>
      <x:c r="ED251" s="23" t="n">
        <x:v>1399.957763671875</x:v>
      </x:c>
      <x:c r="EE251" s="23" t="n">
        <x:v>580.8809407552083</x:v>
      </x:c>
      <x:c r="EF251" s="23" t="n">
        <x:v>572.4019368489583</x:v>
      </x:c>
      <x:c r="EG251" s="23" t="n">
        <x:v>1413.6524251302083</x:v>
      </x:c>
      <x:c r="EH251" s="23" t="n">
        <x:v>1413.111612955729</x:v>
      </x:c>
      <x:c r="EI251" s="23" t="n">
        <x:v>911.7759195963541</x:v>
      </x:c>
      <x:c r="EJ251" s="23" t="n">
        <x:v>574.2019449869791</x:v>
      </x:c>
      <x:c r="EK251" s="23" t="n">
        <x:v>1401.5387776692708</x:v>
      </x:c>
      <x:c r="EL251" s="23" t="n">
        <x:v>1402.503946940104</x:v>
      </x:c>
      <x:c r="EM251" s="23" t="n">
        <x:v>581.75048828125</x:v>
      </x:c>
      <x:c r="EN251" s="23" t="n">
        <x:v>596.0301106770833</x:v>
      </x:c>
      <x:c r="EO251" s="23" t="n">
        <x:v>592.9455973307291</x:v>
      </x:c>
      <x:c r="EP251" s="23" t="n">
        <x:f>SUM(B251:EO251)</x:f>
        <x:v>59246.55979315626</x:v>
      </x:c>
      <x:c r="EQ251" s="23" t="n">
        <x:f>SUMPRODUCT(B251:EO251,{0.4191,0.3983,0.4171,0.4059,0.4264,0.4664,0.4414,0.4123,0.4233,0.4544,0.4473,0.4204,0.4423,0.4478,0.4393,0.4807,0.4786,0.4309,0.43,0.4247,0.417,0.4628,0.4791,0.4438,0.4219,0.4396,0.4705,0.4696,0.4819,0.4915,0.4433,0.4519,0.4754,0.3949,0.5589,0.9044,0.989,0.97,0.9653,0.9244,0.8966,0.8988,0.8937,0.8645,0.792,0.7113,0.8879,1.2135,1.2763,1.1736,1.0747,1.0526,1.0407,1.0206,1.0271,0.9819,0.9099,0.9163,0.9043,0.8722,0.9075,0.8786,0.8235,0.8816,0.7151,0.426,0.4756,0.5344,0.47,0.4795,0.4779,0.4444,0.4603,0.4661,0.4211,0.3867,0.5935,0.888,0.8649,0.8039,0.8313,0.8055,0.824,0.8851,0.8703,0.8433,0.8728,0.9363,0.8313,0.6413,0.6636,0.737,0.758,0.7805,0.788,0.7913,0.8278,0.8561,0.8698,0.9051,0.9492,1.0011,1.0705,1.1089,1.0971,1.0809,1.1787,1.3053,1.2583,1.2381,1.2815,1.2335,1.2337,1.2982,1.2903,1.2609,1.2675,1.3032,1.2805,1.2224,1.239,1.2687,1.2926,1.3239,1.1709,0.9197,0.875,0.9085,0.9483,1.0043,0.7649,0.3972,0.415,0.4889,0.4277,0.3725,0.37,0.3912,0.3882,0.4234,0.4552,0.3835,0.3926,0.4704})</x:f>
        <x:v>37092.13371008389</x:v>
      </x:c>
    </x:row>
    <x:row r="252" ht="14" customHeight="1">
      <x:c r="A252" s="3">
        <x:v>45939</x:v>
      </x:c>
      <x:c r="B252" s="23" t="n">
        <x:v>575.458740234375</x:v>
      </x:c>
      <x:c r="C252" s="23" t="n">
        <x:v>1407.2521565755208</x:v>
      </x:c>
      <x:c r="D252" s="23" t="n">
        <x:v>1403.42236328125</x:v>
      </x:c>
      <x:c r="E252" s="23" t="n">
        <x:v>582.6923421223958</x:v>
      </x:c>
      <x:c r="F252" s="23" t="n">
        <x:v>579.7499593098958</x:v>
      </x:c>
      <x:c r="G252" s="23" t="n">
        <x:v>580.7720133463541</x:v>
      </x:c>
      <x:c r="H252" s="23" t="n">
        <x:v>584.0891520182291</x:v>
      </x:c>
      <x:c r="I252" s="23" t="n">
        <x:v>585.6392822265625</x:v>
      </x:c>
      <x:c r="J252" s="23" t="n">
        <x:v>587.3353678385416</x:v>
      </x:c>
      <x:c r="K252" s="23" t="n">
        <x:v>1422.3815511067708</x:v>
      </x:c>
      <x:c r="L252" s="23" t="n">
        <x:v>1419.459513346354</x:v>
      </x:c>
      <x:c r="M252" s="23" t="n">
        <x:v>1417.4182942708333</x:v>
      </x:c>
      <x:c r="N252" s="23" t="n">
        <x:v>595.6740315755208</x:v>
      </x:c>
      <x:c r="O252" s="23" t="n">
        <x:v>599.7305501302083</x:v>
      </x:c>
      <x:c r="P252" s="23" t="n">
        <x:v>596.9342447916666</x:v>
      </x:c>
      <x:c r="Q252" s="23" t="n">
        <x:v>591.8482259114583</x:v>
      </x:c>
      <x:c r="R252" s="23" t="n">
        <x:v>600.5052490234375</x:v>
      </x:c>
      <x:c r="S252" s="23" t="n">
        <x:v>605.4178466796875</x:v>
      </x:c>
      <x:c r="T252" s="23" t="n">
        <x:v>600.271240234375</x:v>
      </x:c>
      <x:c r="U252" s="23" t="n">
        <x:v>599.6131998697916</x:v>
      </x:c>
      <x:c r="V252" s="23" t="n">
        <x:v>600.3376057942708</x:v>
      </x:c>
      <x:c r="W252" s="23" t="n">
        <x:v>599.6607666015625</x:v>
      </x:c>
      <x:c r="X252" s="23" t="n">
        <x:v>599.3572998046875</x:v>
      </x:c>
      <x:c r="Y252" s="23" t="n">
        <x:v>604.564697265625</x:v>
      </x:c>
      <x:c r="Z252" s="23" t="n">
        <x:v>597.0273844401041</x:v>
      </x:c>
      <x:c r="AA252" s="23" t="n">
        <x:v>596.6382649739583</x:v>
      </x:c>
      <x:c r="AB252" s="23" t="n">
        <x:v>602.3653971354166</x:v>
      </x:c>
      <x:c r="AC252" s="23" t="n">
        <x:v>602.3533528645833</x:v>
      </x:c>
      <x:c r="AD252" s="23" t="n">
        <x:v>601.6619466145833</x:v>
      </x:c>
      <x:c r="AE252" s="23" t="n">
        <x:v>600.3026123046875</x:v>
      </x:c>
      <x:c r="AF252" s="23" t="n">
        <x:v>602.1241861979166</x:v>
      </x:c>
      <x:c r="AG252" s="23" t="n">
        <x:v>601.8346354166666</x:v>
      </x:c>
      <x:c r="AH252" s="23" t="n">
        <x:v>579.7873128255208</x:v>
      </x:c>
      <x:c r="AI252" s="23" t="n">
        <x:v>1257.6542660345795</x:v>
      </x:c>
      <x:c r="AJ252" s="23" t="n">
        <x:v>625.6526994926651</x:v>
      </x:c>
      <x:c r="AK252" s="23" t="n">
        <x:v>13.351639428051081</x:v>
      </x:c>
      <x:c r="AL252" s="23" t="n">
        <x:v>6.468857089582646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0</x:v>
      </x:c>
      <x:c r="AS252" s="23" t="n">
        <x:v>455.1108771339226</x:v>
      </x:c>
      <x:c r="AT252" s="23" t="n">
        <x:v>0</x:v>
      </x:c>
      <x:c r="AU252" s="23" t="n">
        <x:v>267.4930098641835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506.5868759658354</x:v>
      </x:c>
      <x:c r="BQ252" s="23" t="n">
        <x:v>0</x:v>
      </x:c>
      <x:c r="BR252" s="23" t="n">
        <x:v>488.06673538803045</x:v>
      </x:c>
      <x:c r="BS252" s="23" t="n">
        <x:v>0</x:v>
      </x:c>
      <x:c r="BT252" s="23" t="n">
        <x:v>0</x:v>
      </x:c>
      <x:c r="BU252" s="23" t="n">
        <x:v>335.14322653174906</x:v>
      </x:c>
      <x:c r="BV252" s="23" t="n">
        <x:v>0</x:v>
      </x:c>
      <x:c r="BW252" s="23" t="n">
        <x:v>0</x:v>
      </x:c>
      <x:c r="BX252" s="23" t="n">
        <x:v>399.4380493557783</x:v>
      </x:c>
      <x:c r="BY252" s="23" t="n">
        <x:v>373.21448300078646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77.29778537860057</x:v>
      </x:c>
      <x:c r="CN252" s="23" t="n">
        <x:v>155.91878224352885</x:v>
      </x:c>
      <x:c r="CO252" s="23" t="n">
        <x:v>197.5907845939937</x:v>
      </x:c>
      <x:c r="CP252" s="23" t="n">
        <x:v>256.96606771923143</x:v>
      </x:c>
      <x:c r="CQ252" s="23" t="n">
        <x:v>312.05976767337495</x:v>
      </x:c>
      <x:c r="CR252" s="23" t="n">
        <x:v>367.60414560395157</x:v>
      </x:c>
      <x:c r="CS252" s="23" t="n">
        <x:v>427.0455263925763</x:v>
      </x:c>
      <x:c r="CT252" s="23" t="n">
        <x:v>479.9604731783396</x:v>
      </x:c>
      <x:c r="CU252" s="23" t="n">
        <x:v>544.8907233416064</x:v>
      </x:c>
      <x:c r="CV252" s="23" t="n">
        <x:v>595.8873709645118</x:v>
      </x:c>
      <x:c r="CW252" s="23" t="n">
        <x:v>651.9990410968262</x:v>
      </x:c>
      <x:c r="CX252" s="23" t="n">
        <x:v>703.8329225855323</x:v>
      </x:c>
      <x:c r="CY252" s="23" t="n">
        <x:v>768.5857568610378</x:v>
      </x:c>
      <x:c r="CZ252" s="23" t="n">
        <x:v>849.7310106876982</x:v>
      </x:c>
      <x:c r="DA252" s="23" t="n">
        <x:v>898.2978651175406</x:v>
      </x:c>
      <x:c r="DB252" s="23" t="n">
        <x:v>935.3924869963412</x:v>
      </x:c>
      <x:c r="DC252" s="23" t="n">
        <x:v>1000.8689271678915</x:v>
      </x:c>
      <x:c r="DD252" s="23" t="n">
        <x:v>868.6032924854323</x:v>
      </x:c>
      <x:c r="DE252" s="23" t="n">
        <x:v>686.94677734375</x:v>
      </x:c>
      <x:c r="DF252" s="23" t="n">
        <x:v>632.7264047653019</x:v>
      </x:c>
      <x:c r="DG252" s="23" t="n">
        <x:v>652.7739889022984</x:v>
      </x:c>
      <x:c r="DH252" s="23" t="n">
        <x:v>473.9012730989567</x:v>
      </x:c>
      <x:c r="DI252" s="23" t="n">
        <x:v>0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676.9317626953125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704.0462239583333</x:v>
      </x:c>
      <x:c r="DW252" s="23" t="n">
        <x:v>731.3001096322016</x:v>
      </x:c>
      <x:c r="DX252" s="23" t="n">
        <x:v>731.200927734375</x:v>
      </x:c>
      <x:c r="DY252" s="23" t="n">
        <x:v>731.314453125</x:v>
      </x:c>
      <x:c r="DZ252" s="23" t="n">
        <x:v>719.673828125</x:v>
      </x:c>
      <x:c r="EA252" s="23" t="n">
        <x:v>720.546630859375</x:v>
      </x:c>
      <x:c r="EB252" s="23" t="n">
        <x:v>614.1068519661458</x:v>
      </x:c>
      <x:c r="EC252" s="23" t="n">
        <x:v>1406.152628580729</x:v>
      </x:c>
      <x:c r="ED252" s="23" t="n">
        <x:v>1387.5603841145833</x:v>
      </x:c>
      <x:c r="EE252" s="23" t="n">
        <x:v>561.9876302083333</x:v>
      </x:c>
      <x:c r="EF252" s="23" t="n">
        <x:v>1403.5419514973958</x:v>
      </x:c>
      <x:c r="EG252" s="23" t="n">
        <x:v>1402.4215494791665</x:v>
      </x:c>
      <x:c r="EH252" s="23" t="n">
        <x:v>898.2785774136765</x:v>
      </x:c>
      <x:c r="EI252" s="23" t="n">
        <x:v>576.9095458984375</x:v>
      </x:c>
      <x:c r="EJ252" s="23" t="n">
        <x:v>580.979736328125</x:v>
      </x:c>
      <x:c r="EK252" s="23" t="n">
        <x:v>1403.672403971354</x:v>
      </x:c>
      <x:c r="EL252" s="23" t="n">
        <x:v>566.6047770182291</x:v>
      </x:c>
      <x:c r="EM252" s="23" t="n">
        <x:v>581.3658447265625</x:v>
      </x:c>
      <x:c r="EN252" s="23" t="n">
        <x:v>528.0558268229166</x:v>
      </x:c>
      <x:c r="EO252" s="23" t="n">
        <x:v>1270.1707763671875</x:v>
      </x:c>
      <x:c r="EP252" s="23" t="n">
        <x:f>SUM(B252:EO252)</x:f>
        <x:v>59187.56510013874</x:v>
      </x:c>
      <x:c r="EQ252" s="23" t="n">
        <x:f>SUMPRODUCT(B252:EO252,{0.4222,0.3935,0.4282,0.4197,0.4146,0.4471,0.4872,0.4648,0.4177,0.4472,0.4465,0.4178,0.4708,0.5015,0.4731,0.4576,0.4688,0.4863,0.4852,0.493,0.4899,0.4286,0.394,0.4133,0.4365,0.4668,0.4861,0.4614,0.4401,0.4354,0.4291,0.4873,0.5276,0.4307,0.5865,0.9338,0.9948,0.9385,0.928,0.9461,0.9528,0.9183,0.847,0.8175,0.8097,0.7667,0.9346,1.215,1.2316,1.175,1.1718,1.1488,1.0783,1.0192,1.0477,1.0255,0.945,0.9306,0.8993,0.8462,0.8561,0.8523,0.8414,0.8816,0.7543,0.5286,0.504,0.48,0.3961,0.3995,0.4,0.367,0.3692,0.3846,0.3701,0.3337,0.4638,0.6875,0.7319,0.74,0.768,0.7368,0.7957,0.9094,0.8829,0.8509,0.9157,1.0113,0.8844,0.6344,0.6281,0.7147,0.7713,0.8219,0.834,0.8222,0.8461,0.8958,0.9416,0.9586,0.9485,0.9522,1.0153,1.0745,1.078,1.0481,1.1364,1.2882,1.2932,1.2694,1.2737,1.2473,1.244,1.2782,1.2992,1.2745,1.2213,1.1957,1.2293,1.2698,1.2415,1.2742,1.3738,1.3793,1.1779,0.929,0.9217,0.9432,0.9275,0.969,0.7307,0.3568,0.3686,0.4422,0.3955,0.3737,0.3917,0.4066,0.3826,0.3937,0.4439,0.4542,0.4106,0.3556})</x:f>
        <x:v>36253.632739432935</x:v>
      </x:c>
    </x:row>
    <x:row r="253" ht="14" customHeight="1">
      <x:c r="A253" s="3">
        <x:v>45940</x:v>
      </x:c>
      <x:c r="B253" s="23" t="n">
        <x:v>413.01127115885413</x:v>
      </x:c>
      <x:c r="C253" s="23" t="n">
        <x:v>1096.4039284655341</x:v>
      </x:c>
      <x:c r="D253" s="23" t="n">
        <x:v>418.31689453125</x:v>
      </x:c>
      <x:c r="E253" s="23" t="n">
        <x:v>416.4371337890625</x:v>
      </x:c>
      <x:c r="F253" s="23" t="n">
        <x:v>416.4371337890625</x:v>
      </x:c>
      <x:c r="G253" s="23" t="n">
        <x:v>421.7823486328125</x:v>
      </x:c>
      <x:c r="H253" s="23" t="n">
        <x:v>1252.430704752604</x:v>
      </x:c>
      <x:c r="I253" s="23" t="n">
        <x:v>1253.444580078125</x:v>
      </x:c>
      <x:c r="J253" s="23" t="n">
        <x:v>419.47867838541663</x:v>
      </x:c>
      <x:c r="K253" s="23" t="n">
        <x:v>423.6234944661458</x:v>
      </x:c>
      <x:c r="L253" s="23" t="n">
        <x:v>419.9677327473958</x:v>
      </x:c>
      <x:c r="M253" s="23" t="n">
        <x:v>424.5120442708333</x:v>
      </x:c>
      <x:c r="N253" s="23" t="n">
        <x:v>428.63407389322913</x:v>
      </x:c>
      <x:c r="O253" s="23" t="n">
        <x:v>433.71390787760413</x:v>
      </x:c>
      <x:c r="P253" s="23" t="n">
        <x:v>431.83841959635413</x:v>
      </x:c>
      <x:c r="Q253" s="23" t="n">
        <x:v>431.4468994140625</x:v>
      </x:c>
      <x:c r="R253" s="23" t="n">
        <x:v>0</x:v>
      </x:c>
      <x:c r="S253" s="23" t="n">
        <x:v>439.1070149739583</x:v>
      </x:c>
      <x:c r="T253" s="23" t="n">
        <x:v>436.6788330078125</x:v>
      </x:c>
      <x:c r="U253" s="23" t="n">
        <x:v>434.3684895833333</x:v>
      </x:c>
      <x:c r="V253" s="23" t="n">
        <x:v>0</x:v>
      </x:c>
      <x:c r="W253" s="23" t="n">
        <x:v>430.4498291015625</x:v>
      </x:c>
      <x:c r="X253" s="23" t="n">
        <x:v>431.9912923177083</x:v>
      </x:c>
      <x:c r="Y253" s="23" t="n">
        <x:v>0</x:v>
      </x:c>
      <x:c r="Z253" s="23" t="n">
        <x:v>0</x:v>
      </x:c>
      <x:c r="AA253" s="23" t="n">
        <x:v>436.0376790364583</x:v>
      </x:c>
      <x:c r="AB253" s="23" t="n">
        <x:v>442.8680419921875</x:v>
      </x:c>
      <x:c r="AC253" s="23" t="n">
        <x:v>438.8150634765625</x:v>
      </x:c>
      <x:c r="AD253" s="23" t="n">
        <x:v>0</x:v>
      </x:c>
      <x:c r="AE253" s="23" t="n">
        <x:v>0</x:v>
      </x:c>
      <x:c r="AF253" s="23" t="n">
        <x:v>441.3423665364583</x:v>
      </x:c>
      <x:c r="AG253" s="23" t="n">
        <x:v>439.57230631510413</x:v>
      </x:c>
      <x:c r="AH253" s="23" t="n">
        <x:v>440.94889322916663</x:v>
      </x:c>
      <x:c r="AI253" s="23" t="n">
        <x:v>425.7868039433584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0</x:v>
      </x:c>
      <x:c r="CT253" s="23" t="n">
        <x:v>28.86121735053401</x:v>
      </x:c>
      <x:c r="CU253" s="23" t="n">
        <x:v>97.97503965740657</x:v>
      </x:c>
      <x:c r="CV253" s="23" t="n">
        <x:v>170.46133924758365</x:v>
      </x:c>
      <x:c r="CW253" s="23" t="n">
        <x:v>224.0547595979124</x:v>
      </x:c>
      <x:c r="CX253" s="23" t="n">
        <x:v>224.20351339166706</x:v>
      </x:c>
      <x:c r="CY253" s="23" t="n">
        <x:v>233.93781374750898</x:v>
      </x:c>
      <x:c r="CZ253" s="23" t="n">
        <x:v>281.0838286500988</x:v>
      </x:c>
      <x:c r="DA253" s="23" t="n">
        <x:v>334.43528302579807</x:v>
      </x:c>
      <x:c r="DB253" s="23" t="n">
        <x:v>384.73427937177337</x:v>
      </x:c>
      <x:c r="DC253" s="23" t="n">
        <x:v>423.42475253390063</x:v>
      </x:c>
      <x:c r="DD253" s="23" t="n">
        <x:v>126.26746961191338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458.40030924479163</x:v>
      </x:c>
      <x:c r="DX253" s="23" t="n">
        <x:v>471.45707194010413</x:v>
      </x:c>
      <x:c r="DY253" s="23" t="n">
        <x:v>464.7711995442708</x:v>
      </x:c>
      <x:c r="DZ253" s="23" t="n">
        <x:v>458.3173828125</x:v>
      </x:c>
      <x:c r="EA253" s="23" t="n">
        <x:v>473.82889811197913</x:v>
      </x:c>
      <x:c r="EB253" s="23" t="n">
        <x:v>449.59072403645837</x:v>
      </x:c>
      <x:c r="EC253" s="23" t="n">
        <x:v>1243.2868245442708</x:v>
      </x:c>
      <x:c r="ED253" s="23" t="n">
        <x:v>1227.758544921875</x:v>
      </x:c>
      <x:c r="EE253" s="23" t="n">
        <x:v>1245.9178466796875</x:v>
      </x:c>
      <x:c r="EF253" s="23" t="n">
        <x:v>1236.6304524739583</x:v>
      </x:c>
      <x:c r="EG253" s="23" t="n">
        <x:v>721.2580739213606</x:v>
      </x:c>
      <x:c r="EH253" s="23" t="n">
        <x:v>403.002197265625</x:v>
      </x:c>
      <x:c r="EI253" s="23" t="n">
        <x:v>403.3513997395833</x:v>
      </x:c>
      <x:c r="EJ253" s="23" t="n">
        <x:v>411.4241943359375</x:v>
      </x:c>
      <x:c r="EK253" s="23" t="n">
        <x:v>1244.0281575520833</x:v>
      </x:c>
      <x:c r="EL253" s="23" t="n">
        <x:v>413.9689534505208</x:v>
      </x:c>
      <x:c r="EM253" s="23" t="n">
        <x:v>417.98673502604163</x:v>
      </x:c>
      <x:c r="EN253" s="23" t="n">
        <x:v>418.048828125</x:v>
      </x:c>
      <x:c r="EO253" s="23" t="n">
        <x:v>1246.7820638020833</x:v>
      </x:c>
      <x:c r="EP253" s="23" t="n">
        <x:f>SUM(B253:EO253)</x:f>
        <x:v>30278.69501307624</x:v>
      </x:c>
      <x:c r="EQ253" s="23" t="n">
        <x:f>SUMPRODUCT(B253:EO253,{0.3505,0.3746,0.3723,0.3099,0.2894,0.3249,0.3332,0.3255,0.3249,0.3343,0.3324,0.3204,0.3206,0.3243,0.3366,0.3678,0.367,0.3226,0.282,0.3053,0.3622,0.3614,0.3403,0.334,0.3382,0.3363,0.3459,0.3936,0.3997,0.3574,0.3415,0.351,0.3303,0.2713,0.4715,0.807,0.8254,0.7467,0.7343,0.7317,0.7249,0.7231,0.7363,0.7384,0.6742,0.5454,0.6398,0.8782,0.879,0.7998,0.7693,0.7585,0.7791,0.7873,0.7134,0.6511,0.648,0.6656,0.6738,0.6411,0.5639,0.5622,0.6149,0.562,0.3775,0.1769,0.1193,0.1214,0.1279,0.1545,0.1482,0.1,0.0631,0.085,0.1035,0.039,0.1533,0.405,0.4712,0.4562,0.4711,0.5124,0.5358,0.5306,0.5327,0.5863,0.6699,0.6935,0.5722,0.4202,0.4503,0.4901,0.4724,0.5026,0.5619,0.5929,0.5706,0.6169,0.7174,0.7307,0.6965,0.6883,0.7368,0.7598,0.7252,0.7023,0.8425,1.067,1.134,1.1438,1.1569,1.1281,1.0971,1.0808,1.0657,1.095,1.1447,1.1343,1.0862,1.0643,1.1051,1.0878,1.0582,1.1499,1.0469,0.79,0.756,0.7867,0.7929,0.8128,0.5871,0.2668,0.3009,0.3938,0.3651,0.3234,0.3073,0.2999,0.2748,0.3002,0.3526,0.3357,0.3218,0.3476})</x:f>
        <x:v>12180.24343158668</x:v>
      </x:c>
    </x:row>
    <x:row r="254" ht="14" customHeight="1">
      <x:c r="A254" s="3">
        <x:v>45941</x:v>
      </x:c>
      <x:c r="B254" s="23" t="n">
        <x:v>417.4477132161458</x:v>
      </x:c>
      <x:c r="C254" s="23" t="n">
        <x:v>417.9544677734375</x:v>
      </x:c>
      <x:c r="D254" s="23" t="n">
        <x:v>417.2396240234375</x:v>
      </x:c>
      <x:c r="E254" s="23" t="n">
        <x:v>419.7072347005208</x:v>
      </x:c>
      <x:c r="F254" s="23" t="n">
        <x:v>420.140625</x:v>
      </x:c>
      <x:c r="G254" s="23" t="n">
        <x:v>422.44559733072913</x:v>
      </x:c>
      <x:c r="H254" s="23" t="n">
        <x:v>423.2047119140625</x:v>
      </x:c>
      <x:c r="I254" s="23" t="n">
        <x:v>422.27360026041663</x:v>
      </x:c>
      <x:c r="J254" s="23" t="n">
        <x:v>419.5413818359375</x:v>
      </x:c>
      <x:c r="K254" s="23" t="n">
        <x:v>419.5649007161458</x:v>
      </x:c>
      <x:c r="L254" s="23" t="n">
        <x:v>419.5649007161458</x:v>
      </x:c>
      <x:c r="M254" s="23" t="n">
        <x:v>421.3082275390625</x:v>
      </x:c>
      <x:c r="N254" s="23" t="n">
        <x:v>431.2036946614583</x:v>
      </x:c>
      <x:c r="O254" s="23" t="n">
        <x:v>433.37125651041663</x:v>
      </x:c>
      <x:c r="P254" s="23" t="n">
        <x:v>434.9284261067708</x:v>
      </x:c>
      <x:c r="Q254" s="23" t="n">
        <x:v>432.285400390625</x:v>
      </x:c>
      <x:c r="R254" s="23" t="n">
        <x:v>439.95109049479163</x:v>
      </x:c>
      <x:c r="S254" s="23" t="n">
        <x:v>442.53759765625</x:v>
      </x:c>
      <x:c r="T254" s="23" t="n">
        <x:v>442.74442545572913</x:v>
      </x:c>
      <x:c r="U254" s="23" t="n">
        <x:v>437.5049641927083</x:v>
      </x:c>
      <x:c r="V254" s="23" t="n">
        <x:v>436.3358968098958</x:v>
      </x:c>
      <x:c r="W254" s="23" t="n">
        <x:v>435.93603515625</x:v>
      </x:c>
      <x:c r="X254" s="23" t="n">
        <x:v>438.2969563802083</x:v>
      </x:c>
      <x:c r="Y254" s="23" t="n">
        <x:v>441.71268717447913</x:v>
      </x:c>
      <x:c r="Z254" s="23" t="n">
        <x:v>434.1617024739583</x:v>
      </x:c>
      <x:c r="AA254" s="23" t="n">
        <x:v>1015.1730457993046</x:v>
      </x:c>
      <x:c r="AB254" s="23" t="n">
        <x:v>450.5049641927083</x:v>
      </x:c>
      <x:c r="AC254" s="23" t="n">
        <x:v>0</x:v>
      </x:c>
      <x:c r="AD254" s="23" t="n">
        <x:v>0</x:v>
      </x:c>
      <x:c r="AE254" s="23" t="n">
        <x:v>454.03702799479163</x:v>
      </x:c>
      <x:c r="AF254" s="23" t="n">
        <x:v>445.27335611979163</x:v>
      </x:c>
      <x:c r="AG254" s="23" t="n">
        <x:v>442.6386311848958</x:v>
      </x:c>
      <x:c r="AH254" s="23" t="n">
        <x:v>444.61100260416663</x:v>
      </x:c>
      <x:c r="AI254" s="23" t="n">
        <x:v>439.8789205766051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0</x:v>
      </x:c>
      <x:c r="CT254" s="23" t="n">
        <x:v>47.15957517617926</x:v>
      </x:c>
      <x:c r="CU254" s="23" t="n">
        <x:v>82.82807644461795</x:v>
      </x:c>
      <x:c r="CV254" s="23" t="n">
        <x:v>132.60590448871872</x:v>
      </x:c>
      <x:c r="CW254" s="23" t="n">
        <x:v>230.78127123100495</x:v>
      </x:c>
      <x:c r="CX254" s="23" t="n">
        <x:v>266.9878287460478</x:v>
      </x:c>
      <x:c r="CY254" s="23" t="n">
        <x:v>230.40774652864843</x:v>
      </x:c>
      <x:c r="CZ254" s="23" t="n">
        <x:v>285.6710410051446</x:v>
      </x:c>
      <x:c r="DA254" s="23" t="n">
        <x:v>337.3410190088877</x:v>
      </x:c>
      <x:c r="DB254" s="23" t="n">
        <x:v>383.9819617533044</x:v>
      </x:c>
      <x:c r="DC254" s="23" t="n">
        <x:v>431.55151842470883</x:v>
      </x:c>
      <x:c r="DD254" s="23" t="n">
        <x:v>151.25955080610916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457.86161295572913</x:v>
      </x:c>
      <x:c r="DX254" s="23" t="n">
        <x:v>471.02197265625</x:v>
      </x:c>
      <x:c r="DY254" s="23" t="n">
        <x:v>475.720703125</x:v>
      </x:c>
      <x:c r="DZ254" s="23" t="n">
        <x:v>469.2100423177083</x:v>
      </x:c>
      <x:c r="EA254" s="23" t="n">
        <x:v>479.537109375</x:v>
      </x:c>
      <x:c r="EB254" s="23" t="n">
        <x:v>453.2940266927083</x:v>
      </x:c>
      <x:c r="EC254" s="23" t="n">
        <x:v>1231.7596842447915</x:v>
      </x:c>
      <x:c r="ED254" s="23" t="n">
        <x:v>1231.7596842447915</x:v>
      </x:c>
      <x:c r="EE254" s="23" t="n">
        <x:v>559.5830304583011</x:v>
      </x:c>
      <x:c r="EF254" s="23" t="n">
        <x:v>401.59952799479163</x:v>
      </x:c>
      <x:c r="EG254" s="23" t="n">
        <x:v>402.57645670572913</x:v>
      </x:c>
      <x:c r="EH254" s="23" t="n">
        <x:v>1236.6160888671875</x:v>
      </x:c>
      <x:c r="EI254" s="23" t="n">
        <x:v>1234.932861328125</x:v>
      </x:c>
      <x:c r="EJ254" s="23" t="n">
        <x:v>1237.0109456380208</x:v>
      </x:c>
      <x:c r="EK254" s="23" t="n">
        <x:v>1250.616251627604</x:v>
      </x:c>
      <x:c r="EL254" s="23" t="n">
        <x:v>414.5111897786458</x:v>
      </x:c>
      <x:c r="EM254" s="23" t="n">
        <x:v>1249.5919596354165</x:v>
      </x:c>
      <x:c r="EN254" s="23" t="n">
        <x:v>462.1265462239583</x:v>
      </x:c>
      <x:c r="EO254" s="23" t="n">
        <x:v>0</x:v>
      </x:c>
      <x:c r="EP254" s="23" t="n">
        <x:f>SUM(B254:EO254)</x:f>
        <x:v>30713.385254444976</x:v>
      </x:c>
      <x:c r="EQ254" s="23" t="n">
        <x:f>SUMPRODUCT(B254:EO254,{0.3707,0.3501,0.3109,0.3128,0.3016,0.2894,0.3443,0.3802,0.3544,0.3116,0.3093,0.3374,0.3392,0.3466,0.3726,0.3878,0.3674,0.3468,0.3751,0.3263,0.2466,0.3155,0.3841,0.3773,0.3635,0.3559,0.3583,0.3693,0.3448,0.3048,0.3209,0.3703,0.3775,0.3247,0.513,0.8254,0.8257,0.7776,0.8091,0.78,0.7394,0.7285,0.7268,0.7045,0.6375,0.5562,0.6643,0.8715,0.8701,0.8254,0.8195,0.7743,0.7835,0.8271,0.7805,0.7282,0.7136,0.7021,0.7253,0.7506,0.6975,0.6217,0.5977,0.6261,0.4888,0.2351,0.155,0.2134,0.2824,0.2666,0.2316,0.2195,0.2105,0.1938,0.1794,0.2037,0.335,0.5043,0.5597,0.5904,0.6266,0.6021,0.5483,0.5263,0.5711,0.6023,0.6176,0.6659,0.584,0.4316,0.4488,0.4952,0.4948,0.5139,0.5392,0.5562,0.5751,0.6231,0.6738,0.6715,0.6689,0.6953,0.7297,0.7538,0.7521,0.7429,0.8627,1.0597,1.1263,1.1036,1.0705,1.0706,1.113,1.1578,1.1517,1.1446,1.1451,1.1173,1.1146,1.1399,1.1421,1.1504,1.1798,1.184,1.0239,0.7987,0.7682,0.7977,0.8046,0.8008,0.5792,0.2784,0.2848,0.3765,0.3869,0.3603,0.3328,0.3146,0.2975,0.2837,0.2888,0.3285,0.381,0.4248})</x:f>
        <x:v>12364.838996872564</x:v>
      </x:c>
    </x:row>
    <x:row r="255" ht="14" customHeight="1">
      <x:c r="A255" s="3">
        <x:v>45942</x:v>
      </x:c>
      <x:c r="B255" s="23" t="n">
        <x:v>588.780029296875</x:v>
      </x:c>
      <x:c r="C255" s="23" t="n">
        <x:v>1413.543212890625</x:v>
      </x:c>
      <x:c r="D255" s="23" t="n">
        <x:v>1410.7884521484375</x:v>
      </x:c>
      <x:c r="E255" s="23" t="n">
        <x:v>574.8368326822916</x:v>
      </x:c>
      <x:c r="F255" s="23" t="n">
        <x:v>579.5807698567708</x:v>
      </x:c>
      <x:c r="G255" s="23" t="n">
        <x:v>587.6839599609375</x:v>
      </x:c>
      <x:c r="H255" s="23" t="n">
        <x:v>582.8126627604166</x:v>
      </x:c>
      <x:c r="I255" s="23" t="n">
        <x:v>587.3207600911458</x:v>
      </x:c>
      <x:c r="J255" s="23" t="n">
        <x:v>571.8710530598958</x:v>
      </x:c>
      <x:c r="K255" s="23" t="n">
        <x:v>875.4951717038008</x:v>
      </x:c>
      <x:c r="L255" s="23" t="n">
        <x:v>1419.0836995442708</x:v>
      </x:c>
      <x:c r="M255" s="23" t="n">
        <x:v>1419.1712646484375</x:v>
      </x:c>
      <x:c r="N255" s="23" t="n">
        <x:v>593.6387939453125</x:v>
      </x:c>
      <x:c r="O255" s="23" t="n">
        <x:v>596.4019368489583</x:v>
      </x:c>
      <x:c r="P255" s="23" t="n">
        <x:v>1421.2716064453125</x:v>
      </x:c>
      <x:c r="Q255" s="23" t="n">
        <x:v>594.5727132161458</x:v>
      </x:c>
      <x:c r="R255" s="23" t="n">
        <x:v>592.4474283854166</x:v>
      </x:c>
      <x:c r="S255" s="23" t="n">
        <x:v>1424.6407877604165</x:v>
      </x:c>
      <x:c r="T255" s="23" t="n">
        <x:v>593.1348470052083</x:v>
      </x:c>
      <x:c r="U255" s="23" t="n">
        <x:v>594.2161051432291</x:v>
      </x:c>
      <x:c r="V255" s="23" t="n">
        <x:v>591.8857421875</x:v>
      </x:c>
      <x:c r="W255" s="23" t="n">
        <x:v>595.7982991536458</x:v>
      </x:c>
      <x:c r="X255" s="23" t="n">
        <x:v>597.0788981119791</x:v>
      </x:c>
      <x:c r="Y255" s="23" t="n">
        <x:v>597.2362874348958</x:v>
      </x:c>
      <x:c r="Z255" s="23" t="n">
        <x:v>594.3254801432291</x:v>
      </x:c>
      <x:c r="AA255" s="23" t="n">
        <x:v>596.0205485026041</x:v>
      </x:c>
      <x:c r="AB255" s="23" t="n">
        <x:v>600.3793131510416</x:v>
      </x:c>
      <x:c r="AC255" s="23" t="n">
        <x:v>598.1893717447916</x:v>
      </x:c>
      <x:c r="AD255" s="23" t="n">
        <x:v>602.5773111979166</x:v>
      </x:c>
      <x:c r="AE255" s="23" t="n">
        <x:v>603.6348470052083</x:v>
      </x:c>
      <x:c r="AF255" s="23" t="n">
        <x:v>593.5908203125</x:v>
      </x:c>
      <x:c r="AG255" s="23" t="n">
        <x:v>597.0574544270833</x:v>
      </x:c>
      <x:c r="AH255" s="23" t="n">
        <x:v>599.265625</x:v>
      </x:c>
      <x:c r="AI255" s="23" t="n">
        <x:v>579.4578889859583</x:v>
      </x:c>
      <x:c r="AJ255" s="23" t="n">
        <x:v>609.672330448247</x:v>
      </x:c>
      <x:c r="AK255" s="23" t="n">
        <x:v>0</x:v>
      </x:c>
      <x:c r="AL255" s="23" t="n">
        <x:v>2.371350533322129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530.4077846031917</x:v>
      </x:c>
      <x:c r="AS255" s="23" t="n">
        <x:v>0</x:v>
      </x:c>
      <x:c r="AT255" s="23" t="n">
        <x:v>401.93582938489504</x:v>
      </x:c>
      <x:c r="AU255" s="23" t="n">
        <x:v>296.3419310155938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0</x:v>
      </x:c>
      <x:c r="BQ255" s="23" t="n">
        <x:v>0</x:v>
      </x:c>
      <x:c r="BR255" s="23" t="n">
        <x:v>0</x:v>
      </x:c>
      <x:c r="BS255" s="23" t="n">
        <x:v>0</x:v>
      </x:c>
      <x:c r="BT255" s="23" t="n">
        <x:v>79.22250213608973</x:v>
      </x:c>
      <x:c r="BU255" s="23" t="n">
        <x:v>368.9425160375152</x:v>
      </x:c>
      <x:c r="BV255" s="23" t="n">
        <x:v>362.75574899359736</x:v>
      </x:c>
      <x:c r="BW255" s="23" t="n">
        <x:v>363.072327561527</x:v>
      </x:c>
      <x:c r="BX255" s="23" t="n">
        <x:v>337.43575101548623</x:v>
      </x:c>
      <x:c r="BY255" s="23" t="n">
        <x:v>0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75.19712151966905</x:v>
      </x:c>
      <x:c r="CN255" s="23" t="n">
        <x:v>182.80804741263822</x:v>
      </x:c>
      <x:c r="CO255" s="23" t="n">
        <x:v>218.6003161003764</x:v>
      </x:c>
      <x:c r="CP255" s="23" t="n">
        <x:v>268.00651765911664</x:v>
      </x:c>
      <x:c r="CQ255" s="23" t="n">
        <x:v>320.5222708559325</x:v>
      </x:c>
      <x:c r="CR255" s="23" t="n">
        <x:v>374.6583012489585</x:v>
      </x:c>
      <x:c r="CS255" s="23" t="n">
        <x:v>440.08507934881715</x:v>
      </x:c>
      <x:c r="CT255" s="23" t="n">
        <x:v>502.9241177510935</x:v>
      </x:c>
      <x:c r="CU255" s="23" t="n">
        <x:v>563.336756473465</x:v>
      </x:c>
      <x:c r="CV255" s="23" t="n">
        <x:v>623.3895003311418</x:v>
      </x:c>
      <x:c r="CW255" s="23" t="n">
        <x:v>680.6007094010863</x:v>
      </x:c>
      <x:c r="CX255" s="23" t="n">
        <x:v>735.0771517820936</x:v>
      </x:c>
      <x:c r="CY255" s="23" t="n">
        <x:v>780.9066159306591</x:v>
      </x:c>
      <x:c r="CZ255" s="23" t="n">
        <x:v>849.4128454532762</x:v>
      </x:c>
      <x:c r="DA255" s="23" t="n">
        <x:v>911.3284029858875</x:v>
      </x:c>
      <x:c r="DB255" s="23" t="n">
        <x:v>961.8231114939192</x:v>
      </x:c>
      <x:c r="DC255" s="23" t="n">
        <x:v>1023.2229262828014</x:v>
      </x:c>
      <x:c r="DD255" s="23" t="n">
        <x:v>910.2091936871681</x:v>
      </x:c>
      <x:c r="DE255" s="23" t="n">
        <x:v>634.3609619140625</x:v>
      </x:c>
      <x:c r="DF255" s="23" t="n">
        <x:v>0</x:v>
      </x:c>
      <x:c r="DG255" s="23" t="n">
        <x:v>0</x:v>
      </x:c>
      <x:c r="DH255" s="23" t="n">
        <x:v>631.1483968098958</x:v>
      </x:c>
      <x:c r="DI255" s="23" t="n">
        <x:v>0</x:v>
      </x:c>
      <x:c r="DJ255" s="23" t="n">
        <x:v>0</x:v>
      </x:c>
      <x:c r="DK255" s="23" t="n">
        <x:v>0</x:v>
      </x:c>
      <x:c r="DL255" s="23" t="n">
        <x:v>56.81784718867167</x:v>
      </x:c>
      <x:c r="DM255" s="23" t="n">
        <x:v>682.0126546223958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694.6205240885416</x:v>
      </x:c>
      <x:c r="DT255" s="23" t="n">
        <x:v>0</x:v>
      </x:c>
      <x:c r="DU255" s="23" t="n">
        <x:v>0</x:v>
      </x:c>
      <x:c r="DV255" s="23" t="n">
        <x:v>706.6031087239583</x:v>
      </x:c>
      <x:c r="DW255" s="23" t="n">
        <x:v>687.786865234375</x:v>
      </x:c>
      <x:c r="DX255" s="23" t="n">
        <x:v>754.1539326212061</x:v>
      </x:c>
      <x:c r="DY255" s="23" t="n">
        <x:v>742.4222005208333</x:v>
      </x:c>
      <x:c r="DZ255" s="23" t="n">
        <x:v>695.69189453125</x:v>
      </x:c>
      <x:c r="EA255" s="23" t="n">
        <x:v>732.3575032552083</x:v>
      </x:c>
      <x:c r="EB255" s="23" t="n">
        <x:v>610.529097747396</x:v>
      </x:c>
      <x:c r="EC255" s="23" t="n">
        <x:v>1387.609130859375</x:v>
      </x:c>
      <x:c r="ED255" s="23" t="n">
        <x:v>1356.284952799479</x:v>
      </x:c>
      <x:c r="EE255" s="23" t="n">
        <x:v>1390.7047119140625</x:v>
      </x:c>
      <x:c r="EF255" s="23" t="n">
        <x:v>577.4914957682291</x:v>
      </x:c>
      <x:c r="EG255" s="23" t="n">
        <x:v>555.0972493489583</x:v>
      </x:c>
      <x:c r="EH255" s="23" t="n">
        <x:v>552.4464925130208</x:v>
      </x:c>
      <x:c r="EI255" s="23" t="n">
        <x:v>854.2927422477817</x:v>
      </x:c>
      <x:c r="EJ255" s="23" t="n">
        <x:v>1394.3665771484375</x:v>
      </x:c>
      <x:c r="EK255" s="23" t="n">
        <x:v>1390.4349365234375</x:v>
      </x:c>
      <x:c r="EL255" s="23" t="n">
        <x:v>567.1537272135416</x:v>
      </x:c>
      <x:c r="EM255" s="23" t="n">
        <x:v>1396.776611328125</x:v>
      </x:c>
      <x:c r="EN255" s="23" t="n">
        <x:v>564.0731201171875</x:v>
      </x:c>
      <x:c r="EO255" s="23" t="n">
        <x:v>584.7973225911458</x:v>
      </x:c>
      <x:c r="EP255" s="23" t="n">
        <x:f>SUM(B255:EO255)</x:f>
        <x:v>59342.091089830414</x:v>
      </x:c>
      <x:c r="EQ255" s="23" t="n">
        <x:f>SUMPRODUCT(B255:EO255,{0.4441,0.4107,0.3719,0.407,0.4169,0.3963,0.4267,0.3907,0.3314,0.4135,0.4524,0.4073,0.423,0.4584,0.4789,0.4921,0.4562,0.4042,0.4169,0.42,0.4045,0.432,0.4333,0.4105,0.4366,0.4508,0.4468,0.4745,0.4567,0.4106,0.436,0.4562,0.4068,0.3471,0.5779,0.9544,1.0045,0.9595,0.9821,0.9928,0.9464,0.8819,0.8696,0.8201,0.738,0.7564,0.9717,1.2293,1.2404,1.1384,1.073,1.0761,1.081,1.0743,1.0903,1.0506,0.9606,0.9153,0.9144,0.9222,0.9025,0.8623,0.8503,0.8838,0.7464,0.5226,0.524,0.544,0.4888,0.4715,0.4492,0.4152,0.4245,0.4672,0.4695,0.4035,0.5883,0.9096,0.9119,0.8429,0.8479,0.8332,0.8778,0.9529,0.9334,0.9211,0.9665,0.9908,0.8503,0.6615,0.6929,0.7285,0.7053,0.7736,0.8339,0.8424,0.8618,0.8976,0.9286,0.9358,0.9496,0.9897,1.0473,1.0926,1.1061,1.0948,1.1092,1.1827,1.2971,1.3451,1.3025,1.248,1.2498,1.2829,1.2673,1.2585,1.2742,1.2752,1.2828,1.2911,1.2707,1.2679,1.2929,1.2851,1.1346,0.9397,0.9227,0.9319,0.9245,0.9671,0.7658,0.4327,0.3971,0.3811,0.3076,0.3835,0.4282,0.3912,0.4071,0.429,0.4288,0.4374,0.4573,0.4671})</x:f>
        <x:v>36131.52111523462</x:v>
      </x:c>
    </x:row>
    <x:row r="256" ht="14" customHeight="1">
      <x:c r="A256" s="3">
        <x:v>45943</x:v>
      </x:c>
      <x:c r="B256" s="23" t="n">
        <x:v>580.8928629557291</x:v>
      </x:c>
      <x:c r="C256" s="23" t="n">
        <x:v>578.5160725911458</x:v>
      </x:c>
      <x:c r="D256" s="23" t="n">
        <x:v>1406.1673990885415</x:v>
      </x:c>
      <x:c r="E256" s="23" t="n">
        <x:v>1407.5485026041665</x:v>
      </x:c>
      <x:c r="F256" s="23" t="n">
        <x:v>1411.0008138020833</x:v>
      </x:c>
      <x:c r="G256" s="23" t="n">
        <x:v>573.2278645833333</x:v>
      </x:c>
      <x:c r="H256" s="23" t="n">
        <x:v>573.3455403645833</x:v>
      </x:c>
      <x:c r="I256" s="23" t="n">
        <x:v>570.03271484375</x:v>
      </x:c>
      <x:c r="J256" s="23" t="n">
        <x:v>568.8749186197916</x:v>
      </x:c>
      <x:c r="K256" s="23" t="n">
        <x:v>581.8328857421875</x:v>
      </x:c>
      <x:c r="L256" s="23" t="n">
        <x:v>587.9355875651041</x:v>
      </x:c>
      <x:c r="M256" s="23" t="n">
        <x:v>587.0351969401041</x:v>
      </x:c>
      <x:c r="N256" s="23" t="n">
        <x:v>596.600830078125</x:v>
      </x:c>
      <x:c r="O256" s="23" t="n">
        <x:v>597.8127848307291</x:v>
      </x:c>
      <x:c r="P256" s="23" t="n">
        <x:v>597.780029296875</x:v>
      </x:c>
      <x:c r="Q256" s="23" t="n">
        <x:v>599.9958089192708</x:v>
      </x:c>
      <x:c r="R256" s="23" t="n">
        <x:v>600.7198893229166</x:v>
      </x:c>
      <x:c r="S256" s="23" t="n">
        <x:v>601.5912272135416</x:v>
      </x:c>
      <x:c r="T256" s="23" t="n">
        <x:v>602.5233561197916</x:v>
      </x:c>
      <x:c r="U256" s="23" t="n">
        <x:v>601.0750732421875</x:v>
      </x:c>
      <x:c r="V256" s="23" t="n">
        <x:v>1097.5215065433704</x:v>
      </x:c>
      <x:c r="W256" s="23" t="n">
        <x:v>1427.183634440104</x:v>
      </x:c>
      <x:c r="X256" s="23" t="n">
        <x:v>1435.0393880208333</x:v>
      </x:c>
      <x:c r="Y256" s="23" t="n">
        <x:v>600.4200032552083</x:v>
      </x:c>
      <x:c r="Z256" s="23" t="n">
        <x:v>601.3626708984375</x:v>
      </x:c>
      <x:c r="AA256" s="23" t="n">
        <x:v>601.0475667317708</x:v>
      </x:c>
      <x:c r="AB256" s="23" t="n">
        <x:v>598.6892496744791</x:v>
      </x:c>
      <x:c r="AC256" s="23" t="n">
        <x:v>600.232177734375</x:v>
      </x:c>
      <x:c r="AD256" s="23" t="n">
        <x:v>600.332275390625</x:v>
      </x:c>
      <x:c r="AE256" s="23" t="n">
        <x:v>601.7086588541666</x:v>
      </x:c>
      <x:c r="AF256" s="23" t="n">
        <x:v>604.7995198567708</x:v>
      </x:c>
      <x:c r="AG256" s="23" t="n">
        <x:v>605.6966145833333</x:v>
      </x:c>
      <x:c r="AH256" s="23" t="n">
        <x:v>602.7560628255208</x:v>
      </x:c>
      <x:c r="AI256" s="23" t="n">
        <x:v>1423.6689691416595</x:v>
      </x:c>
      <x:c r="AJ256" s="23" t="n">
        <x:v>635.4651597886557</x:v>
      </x:c>
      <x:c r="AK256" s="23" t="n">
        <x:v>9.86086672455652</x:v>
      </x:c>
      <x:c r="AL256" s="23" t="n">
        <x:v>27.736069541847428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0</x:v>
      </x:c>
      <x:c r="AS256" s="23" t="n">
        <x:v>437.96349016583724</x:v>
      </x:c>
      <x:c r="AT256" s="23" t="n">
        <x:v>410.0781725550446</x:v>
      </x:c>
      <x:c r="AU256" s="23" t="n">
        <x:v>333.6302627241763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525.1152450412476</x:v>
      </x:c>
      <x:c r="BQ256" s="23" t="n">
        <x:v>0</x:v>
      </x:c>
      <x:c r="BR256" s="23" t="n">
        <x:v>0</x:v>
      </x:c>
      <x:c r="BS256" s="23" t="n">
        <x:v>0</x:v>
      </x:c>
      <x:c r="BT256" s="23" t="n">
        <x:v>0</x:v>
      </x:c>
      <x:c r="BU256" s="23" t="n">
        <x:v>258.24504749195523</x:v>
      </x:c>
      <x:c r="BV256" s="23" t="n">
        <x:v>371.601997437487</x:v>
      </x:c>
      <x:c r="BW256" s="23" t="n">
        <x:v>372.0007325392868</x:v>
      </x:c>
      <x:c r="BX256" s="23" t="n">
        <x:v>333.95860590134146</x:v>
      </x:c>
      <x:c r="BY256" s="23" t="n">
        <x:v>0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96.54631624579602</x:v>
      </x:c>
      <x:c r="CN256" s="23" t="n">
        <x:v>183.84243393151942</x:v>
      </x:c>
      <x:c r="CO256" s="23" t="n">
        <x:v>205.20123417505965</x:v>
      </x:c>
      <x:c r="CP256" s="23" t="n">
        <x:v>256.8945261714358</x:v>
      </x:c>
      <x:c r="CQ256" s="23" t="n">
        <x:v>311.2070180591417</x:v>
      </x:c>
      <x:c r="CR256" s="23" t="n">
        <x:v>377.59653717558723</x:v>
      </x:c>
      <x:c r="CS256" s="23" t="n">
        <x:v>441.1589909039717</x:v>
      </x:c>
      <x:c r="CT256" s="23" t="n">
        <x:v>506.5827276795818</x:v>
      </x:c>
      <x:c r="CU256" s="23" t="n">
        <x:v>559.3185786800254</x:v>
      </x:c>
      <x:c r="CV256" s="23" t="n">
        <x:v>614.3038075146233</x:v>
      </x:c>
      <x:c r="CW256" s="23" t="n">
        <x:v>673.6175139446194</x:v>
      </x:c>
      <x:c r="CX256" s="23" t="n">
        <x:v>744.2008786045121</x:v>
      </x:c>
      <x:c r="CY256" s="23" t="n">
        <x:v>804.2723199552809</x:v>
      </x:c>
      <x:c r="CZ256" s="23" t="n">
        <x:v>862.0378875137676</x:v>
      </x:c>
      <x:c r="DA256" s="23" t="n">
        <x:v>913.1135037285927</x:v>
      </x:c>
      <x:c r="DB256" s="23" t="n">
        <x:v>955.7074862093261</x:v>
      </x:c>
      <x:c r="DC256" s="23" t="n">
        <x:v>1003.2621228778208</x:v>
      </x:c>
      <x:c r="DD256" s="23" t="n">
        <x:v>849.213558210251</x:v>
      </x:c>
      <x:c r="DE256" s="23" t="n">
        <x:v>685.0712076822916</x:v>
      </x:c>
      <x:c r="DF256" s="23" t="n">
        <x:v>644.1247900906928</x:v>
      </x:c>
      <x:c r="DG256" s="23" t="n">
        <x:v>0</x:v>
      </x:c>
      <x:c r="DH256" s="23" t="n">
        <x:v>0</x:v>
      </x:c>
      <x:c r="DI256" s="23" t="n">
        <x:v>0</x:v>
      </x:c>
      <x:c r="DJ256" s="23" t="n">
        <x:v>0</x:v>
      </x:c>
      <x:c r="DK256" s="23" t="n">
        <x:v>0</x:v>
      </x:c>
      <x:c r="DL256" s="23" t="n">
        <x:v>582.8164724816459</x:v>
      </x:c>
      <x:c r="DM256" s="23" t="n">
        <x:v>737.9864908854166</x:v>
      </x:c>
      <x:c r="DN256" s="23" t="n">
        <x:v>0</x:v>
      </x:c>
      <x:c r="DO256" s="23" t="n">
        <x:v>697.9441731770833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700.8999837239583</x:v>
      </x:c>
      <x:c r="DW256" s="23" t="n">
        <x:v>684.7742513020833</x:v>
      </x:c>
      <x:c r="DX256" s="23" t="n">
        <x:v>710.1140368923612</x:v>
      </x:c>
      <x:c r="DY256" s="23" t="n">
        <x:v>695.9305826822916</x:v>
      </x:c>
      <x:c r="DZ256" s="23" t="n">
        <x:v>687.5814615885416</x:v>
      </x:c>
      <x:c r="EA256" s="23" t="n">
        <x:v>749.4097493489583</x:v>
      </x:c>
      <x:c r="EB256" s="23" t="n">
        <x:v>630.6990148828123</x:v>
      </x:c>
      <x:c r="EC256" s="23" t="n">
        <x:v>1382.071329752604</x:v>
      </x:c>
      <x:c r="ED256" s="23" t="n">
        <x:v>1378.51416015625</x:v>
      </x:c>
      <x:c r="EE256" s="23" t="n">
        <x:v>1406.4032796223958</x:v>
      </x:c>
      <x:c r="EF256" s="23" t="n">
        <x:v>1376.4466145833333</x:v>
      </x:c>
      <x:c r="EG256" s="23" t="n">
        <x:v>1399.4697265625</x:v>
      </x:c>
      <x:c r="EH256" s="23" t="n">
        <x:v>576.9681803385416</x:v>
      </x:c>
      <x:c r="EI256" s="23" t="n">
        <x:v>580.8675130208333</x:v>
      </x:c>
      <x:c r="EJ256" s="23" t="n">
        <x:v>889.5460261421367</x:v>
      </x:c>
      <x:c r="EK256" s="23" t="n">
        <x:v>1405.4464518229165</x:v>
      </x:c>
      <x:c r="EL256" s="23" t="n">
        <x:v>585.8122965494791</x:v>
      </x:c>
      <x:c r="EM256" s="23" t="n">
        <x:v>583.7191162109375</x:v>
      </x:c>
      <x:c r="EN256" s="23" t="n">
        <x:v>582.3460286458333</x:v>
      </x:c>
      <x:c r="EO256" s="23" t="n">
        <x:v>579.4049479166666</x:v>
      </x:c>
      <x:c r="EP256" s="23" t="n">
        <x:f>SUM(B256:EO256)</x:f>
        <x:v>60633.06863422952</x:v>
      </x:c>
      <x:c r="EQ256" s="23" t="n">
        <x:f>SUMPRODUCT(B256:EO256,{0.4457,0.4329,0.4404,0.4478,0.476,0.4796,0.3943,0.3793,0.4559,0.485,0.4642,0.4313,0.4209,0.4414,0.4694,0.466,0.4335,0.4177,0.4612,0.4662,0.4188,0.4029,0.4173,0.4337,0.4352,0.4626,0.4938,0.4678,0.4735,0.4974,0.4424,0.4313,0.4433,0.3769,0.5817,0.9713,1.0633,0.9893,0.941,0.9672,0.9489,0.862,0.799,0.7742,0.7542,0.7348,0.9208,1.2014,1.2307,1.1871,1.1699,1.1044,1.0692,1.0686,1.031,1.0363,1.0595,0.9845,0.9023,0.8748,0.8771,0.8682,0.8579,0.8624,0.7175,0.4952,0.4495,0.4443,0.4041,0.3931,0.3907,0.3974,0.4368,0.4466,0.4015,0.376,0.5904,0.8781,0.833,0.7697,0.8417,0.8916,0.9015,0.8917,0.8802,0.8775,0.9183,1.0035,0.9121,0.7045,0.6707,0.6766,0.6712,0.7488,0.8167,0.8438,0.8873,0.9183,0.9302,0.9598,1.0346,1.0839,1.0153,1.0218,1.1021,1.0814,1.1483,1.3008,1.3218,1.2673,1.2268,1.2336,1.2512,1.2431,1.2137,1.2554,1.323,1.2807,1.2611,1.2883,1.2577,1.2499,1.2999,1.3254,1.1622,0.9275,0.9183,0.9588,0.9658,0.9889,0.7683,0.4237,0.3725,0.4008,0.3805,0.3968,0.3948,0.3856,0.4374,0.4383,0.3767,0.3599,0.3854,0.412})</x:f>
        <x:v>37572.27477891113</x:v>
      </x:c>
    </x:row>
    <x:row r="257" ht="14" customHeight="1">
      <x:c r="A257" s="3">
        <x:v>45944</x:v>
      </x:c>
      <x:c r="B257" s="23" t="n">
        <x:v>582.5708414713541</x:v>
      </x:c>
      <x:c r="C257" s="23" t="n">
        <x:v>581.1294352213541</x:v>
      </x:c>
      <x:c r="D257" s="23" t="n">
        <x:v>630.4004261196282</x:v>
      </x:c>
      <x:c r="E257" s="23" t="n">
        <x:v>582.2774658203125</x:v>
      </x:c>
      <x:c r="F257" s="23" t="n">
        <x:v>584.1055094401041</x:v>
      </x:c>
      <x:c r="G257" s="23" t="n">
        <x:v>1416.0974934895833</x:v>
      </x:c>
      <x:c r="H257" s="23" t="n">
        <x:v>582.6663411458333</x:v>
      </x:c>
      <x:c r="I257" s="23" t="n">
        <x:v>581.2689615885416</x:v>
      </x:c>
      <x:c r="J257" s="23" t="n">
        <x:v>583.5843098958333</x:v>
      </x:c>
      <x:c r="K257" s="23" t="n">
        <x:v>1412.4872233072915</x:v>
      </x:c>
      <x:c r="L257" s="23" t="n">
        <x:v>1422.3338623046875</x:v>
      </x:c>
      <x:c r="M257" s="23" t="n">
        <x:v>1424.681437174479</x:v>
      </x:c>
      <x:c r="N257" s="23" t="n">
        <x:v>1421.9515380859375</x:v>
      </x:c>
      <x:c r="O257" s="23" t="n">
        <x:v>593.1428629557291</x:v>
      </x:c>
      <x:c r="P257" s="23" t="n">
        <x:v>592.599853515625</x:v>
      </x:c>
      <x:c r="Q257" s="23" t="n">
        <x:v>596.494873046875</x:v>
      </x:c>
      <x:c r="R257" s="23" t="n">
        <x:v>601.4345296223958</x:v>
      </x:c>
      <x:c r="S257" s="23" t="n">
        <x:v>601.52099609375</x:v>
      </x:c>
      <x:c r="T257" s="23" t="n">
        <x:v>599.8413492838541</x:v>
      </x:c>
      <x:c r="U257" s="23" t="n">
        <x:v>597.3334554036458</x:v>
      </x:c>
      <x:c r="V257" s="23" t="n">
        <x:v>593.1814778645833</x:v>
      </x:c>
      <x:c r="W257" s="23" t="n">
        <x:v>1424.092529296875</x:v>
      </x:c>
      <x:c r="X257" s="23" t="n">
        <x:v>594.4267578125</x:v>
      </x:c>
      <x:c r="Y257" s="23" t="n">
        <x:v>597.77880859375</x:v>
      </x:c>
      <x:c r="Z257" s="23" t="n">
        <x:v>600.9385986328125</x:v>
      </x:c>
      <x:c r="AA257" s="23" t="n">
        <x:v>599.0814208984375</x:v>
      </x:c>
      <x:c r="AB257" s="23" t="n">
        <x:v>603.8509114583333</x:v>
      </x:c>
      <x:c r="AC257" s="23" t="n">
        <x:v>606.8958333333333</x:v>
      </x:c>
      <x:c r="AD257" s="23" t="n">
        <x:v>0</x:v>
      </x:c>
      <x:c r="AE257" s="23" t="n">
        <x:v>606.9022216796875</x:v>
      </x:c>
      <x:c r="AF257" s="23" t="n">
        <x:v>607.2568359375</x:v>
      </x:c>
      <x:c r="AG257" s="23" t="n">
        <x:v>606.0746256510416</x:v>
      </x:c>
      <x:c r="AH257" s="23" t="n">
        <x:v>604.1649169921875</x:v>
      </x:c>
      <x:c r="AI257" s="23" t="n">
        <x:v>1428.0452880859375</x:v>
      </x:c>
      <x:c r="AJ257" s="23" t="n">
        <x:v>641.7221113685839</x:v>
      </x:c>
      <x:c r="AK257" s="23" t="n">
        <x:v>7.670951404731264</x:v>
      </x:c>
      <x:c r="AL257" s="23" t="n">
        <x:v>5.769627436340821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0</x:v>
      </x:c>
      <x:c r="AS257" s="23" t="n">
        <x:v>430.43263951474535</x:v>
      </x:c>
      <x:c r="AT257" s="23" t="n">
        <x:v>402.0447909955574</x:v>
      </x:c>
      <x:c r="AU257" s="23" t="n">
        <x:v>337.9877207008277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0</x:v>
      </x:c>
      <x:c r="BQ257" s="23" t="n">
        <x:v>0</x:v>
      </x:c>
      <x:c r="BR257" s="23" t="n">
        <x:v>0</x:v>
      </x:c>
      <x:c r="BS257" s="23" t="n">
        <x:v>0</x:v>
      </x:c>
      <x:c r="BT257" s="23" t="n">
        <x:v>0</x:v>
      </x:c>
      <x:c r="BU257" s="23" t="n">
        <x:v>199.73223989315488</x:v>
      </x:c>
      <x:c r="BV257" s="23" t="n">
        <x:v>381.43078992051534</x:v>
      </x:c>
      <x:c r="BW257" s="23" t="n">
        <x:v>396.0787913642601</x:v>
      </x:c>
      <x:c r="BX257" s="23" t="n">
        <x:v>381.93481621303965</x:v>
      </x:c>
      <x:c r="BY257" s="23" t="n">
        <x:v>392.7685377567301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83.39699162451052</x:v>
      </x:c>
      <x:c r="CN257" s="23" t="n">
        <x:v>162.1422005136693</x:v>
      </x:c>
      <x:c r="CO257" s="23" t="n">
        <x:v>182.4680150812328</x:v>
      </x:c>
      <x:c r="CP257" s="23" t="n">
        <x:v>244.16729725109263</x:v>
      </x:c>
      <x:c r="CQ257" s="23" t="n">
        <x:v>296.6966087580602</x:v>
      </x:c>
      <x:c r="CR257" s="23" t="n">
        <x:v>367.6948965071272</x:v>
      </x:c>
      <x:c r="CS257" s="23" t="n">
        <x:v>439.8534390607539</x:v>
      </x:c>
      <x:c r="CT257" s="23" t="n">
        <x:v>499.0787834149972</x:v>
      </x:c>
      <x:c r="CU257" s="23" t="n">
        <x:v>550.983202865116</x:v>
      </x:c>
      <x:c r="CV257" s="23" t="n">
        <x:v>618.8477078470081</x:v>
      </x:c>
      <x:c r="CW257" s="23" t="n">
        <x:v>694.7365332668702</x:v>
      </x:c>
      <x:c r="CX257" s="23" t="n">
        <x:v>754.5613779114076</x:v>
      </x:c>
      <x:c r="CY257" s="23" t="n">
        <x:v>809.4918818738072</x:v>
      </x:c>
      <x:c r="CZ257" s="23" t="n">
        <x:v>867.296441023318</x:v>
      </x:c>
      <x:c r="DA257" s="23" t="n">
        <x:v>913.1923568417346</x:v>
      </x:c>
      <x:c r="DB257" s="23" t="n">
        <x:v>962.2206826007232</x:v>
      </x:c>
      <x:c r="DC257" s="23" t="n">
        <x:v>1011.3299461044578</x:v>
      </x:c>
      <x:c r="DD257" s="23" t="n">
        <x:v>860.6240460952528</x:v>
      </x:c>
      <x:c r="DE257" s="23" t="n">
        <x:v>682.4337565104166</x:v>
      </x:c>
      <x:c r="DF257" s="23" t="n">
        <x:v>632.1331727702709</x:v>
      </x:c>
      <x:c r="DG257" s="23" t="n">
        <x:v>0</x:v>
      </x:c>
      <x:c r="DH257" s="23" t="n">
        <x:v>0</x:v>
      </x:c>
      <x:c r="DI257" s="23" t="n">
        <x:v>0</x:v>
      </x:c>
      <x:c r="DJ257" s="23" t="n">
        <x:v>0</x:v>
      </x:c>
      <x:c r="DK257" s="23" t="n">
        <x:v>0</x:v>
      </x:c>
      <x:c r="DL257" s="23" t="n">
        <x:v>0</x:v>
      </x:c>
      <x:c r="DM257" s="23" t="n">
        <x:v>692.429931640625</x:v>
      </x:c>
      <x:c r="DN257" s="23" t="n">
        <x:v>0</x:v>
      </x:c>
      <x:c r="DO257" s="23" t="n">
        <x:v>716.9087727864583</x:v>
      </x:c>
      <x:c r="DP257" s="23" t="n">
        <x:v>566.5067135416668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728.1905110677083</x:v>
      </x:c>
      <x:c r="DW257" s="23" t="n">
        <x:v>710.5083821614583</x:v>
      </x:c>
      <x:c r="DX257" s="23" t="n">
        <x:v>741.8595536747684</x:v>
      </x:c>
      <x:c r="DY257" s="23" t="n">
        <x:v>722.2060546875</x:v>
      </x:c>
      <x:c r="DZ257" s="23" t="n">
        <x:v>688.0945638020833</x:v>
      </x:c>
      <x:c r="EA257" s="23" t="n">
        <x:v>743.8992513020833</x:v>
      </x:c>
      <x:c r="EB257" s="23" t="n">
        <x:v>636.5978974999999</x:v>
      </x:c>
      <x:c r="EC257" s="23" t="n">
        <x:v>570.5475667317708</x:v>
      </x:c>
      <x:c r="ED257" s="23" t="n">
        <x:v>554.4615071614583</x:v>
      </x:c>
      <x:c r="EE257" s="23" t="n">
        <x:v>560.167724609375</x:v>
      </x:c>
      <x:c r="EF257" s="23" t="n">
        <x:v>1384.588419596354</x:v>
      </x:c>
      <x:c r="EG257" s="23" t="n">
        <x:v>1394.2921956380208</x:v>
      </x:c>
      <x:c r="EH257" s="23" t="n">
        <x:v>563.0469970703125</x:v>
      </x:c>
      <x:c r="EI257" s="23" t="n">
        <x:v>1404.5619303385415</x:v>
      </x:c>
      <x:c r="EJ257" s="23" t="n">
        <x:v>1405.1017659505208</x:v>
      </x:c>
      <x:c r="EK257" s="23" t="n">
        <x:v>1403.052286783854</x:v>
      </x:c>
      <x:c r="EL257" s="23" t="n">
        <x:v>1392.33935546875</x:v>
      </x:c>
      <x:c r="EM257" s="23" t="n">
        <x:v>888.2532035791216</x:v>
      </x:c>
      <x:c r="EN257" s="23" t="n">
        <x:v>574.7505289713541</x:v>
      </x:c>
      <x:c r="EO257" s="23" t="n">
        <x:v>574.0438232421875</x:v>
      </x:c>
      <x:c r="EP257" s="23" t="n">
        <x:f>SUM(B257:EO257)</x:f>
        <x:v>60287.94428302009</x:v>
      </x:c>
      <x:c r="EQ257" s="23" t="n">
        <x:f>SUMPRODUCT(B257:EO257,{0.4111,0.438,0.4625,0.4039,0.3979,0.465,0.4847,0.4534,0.4292,0.4647,0.4745,0.433,0.4019,0.411,0.4247,0.3915,0.4135,0.4715,0.444,0.4342,0.4558,0.4234,0.4382,0.4751,0.4088,0.4,0.457,0.4333,0.4555,0.5191,0.4845,0.4729,0.4757,0.4001,0.5815,0.9519,1.0655,1.0121,0.9395,0.9005,0.8904,0.8901,0.8815,0.8563,0.7984,0.7443,0.9567,1.2606,1.1972,1.1298,1.1901,1.1512,1.1154,1.1193,1.0795,1.0425,1.0276,0.9994,0.9498,0.9006,0.8789,0.8488,0.856,0.9465,0.7988,0.5041,0.4947,0.5531,0.5275,0.4867,0.4492,0.4127,0.3813,0.4042,0.4277,0.3802,0.5536,0.8527,0.8675,0.8342,0.8904,0.9284,0.9194,0.8999,0.9201,0.92,0.9102,0.9433,0.8564,0.6914,0.6743,0.7347,0.7814,0.7953,0.816,0.8522,0.8825,0.9425,1.0061,1.0005,0.9686,0.9721,1.0349,1.0756,1.0635,1.0538,1.133,1.2424,1.2371,1.2302,1.2643,1.2672,1.2551,1.2697,1.3167,1.2612,1.1853,1.3048,1.3729,1.2959,1.2357,1.2802,1.3664,1.3306,1.1311,0.9195,0.9124,0.9476,0.9688,1.0207,0.7702,0.3605,0.3194,0.4273,0.4578,0.4008,0.3619,0.3765,0.3959,0.423,0.4429,0.4236,0.3905,0.3893})</x:f>
        <x:v>37490.48394375229</x:v>
      </x:c>
    </x:row>
    <x:row r="258" ht="14" customHeight="1">
      <x:c r="A258" s="3">
        <x:v>45945</x:v>
      </x:c>
      <x:c r="B258" s="23" t="n">
        <x:v>565.2086588541666</x:v>
      </x:c>
      <x:c r="C258" s="23" t="n">
        <x:v>950.4126089859843</x:v>
      </x:c>
      <x:c r="D258" s="23" t="n">
        <x:v>1411.7482096354165</x:v>
      </x:c>
      <x:c r="E258" s="23" t="n">
        <x:v>1405.0289306640625</x:v>
      </x:c>
      <x:c r="F258" s="23" t="n">
        <x:v>570.3663736979166</x:v>
      </x:c>
      <x:c r="G258" s="23" t="n">
        <x:v>586.625244140625</x:v>
      </x:c>
      <x:c r="H258" s="23" t="n">
        <x:v>585.7731119791666</x:v>
      </x:c>
      <x:c r="I258" s="23" t="n">
        <x:v>1408.8114013671875</x:v>
      </x:c>
      <x:c r="J258" s="23" t="n">
        <x:v>1399.403605143229</x:v>
      </x:c>
      <x:c r="K258" s="23" t="n">
        <x:v>589.1886393229166</x:v>
      </x:c>
      <x:c r="L258" s="23" t="n">
        <x:v>593.5119222005208</x:v>
      </x:c>
      <x:c r="M258" s="23" t="n">
        <x:v>1420.060587565104</x:v>
      </x:c>
      <x:c r="N258" s="23" t="n">
        <x:v>597.9209798177083</x:v>
      </x:c>
      <x:c r="O258" s="23" t="n">
        <x:v>601.2117513020833</x:v>
      </x:c>
      <x:c r="P258" s="23" t="n">
        <x:v>597.8177490234375</x:v>
      </x:c>
      <x:c r="Q258" s="23" t="n">
        <x:v>596.7134602864583</x:v>
      </x:c>
      <x:c r="R258" s="23" t="n">
        <x:v>601.1431477864583</x:v>
      </x:c>
      <x:c r="S258" s="23" t="n">
        <x:v>596.1328531901041</x:v>
      </x:c>
      <x:c r="T258" s="23" t="n">
        <x:v>600.4416910807291</x:v>
      </x:c>
      <x:c r="U258" s="23" t="n">
        <x:v>602.3311767578125</x:v>
      </x:c>
      <x:c r="V258" s="23" t="n">
        <x:v>601.1107177734375</x:v>
      </x:c>
      <x:c r="W258" s="23" t="n">
        <x:v>602.7829996744791</x:v>
      </x:c>
      <x:c r="X258" s="23" t="n">
        <x:v>601.2975260416666</x:v>
      </x:c>
      <x:c r="Y258" s="23" t="n">
        <x:v>601.8424072265625</x:v>
      </x:c>
      <x:c r="Z258" s="23" t="n">
        <x:v>600.6406656901041</x:v>
      </x:c>
      <x:c r="AA258" s="23" t="n">
        <x:v>600.0015055338541</x:v>
      </x:c>
      <x:c r="AB258" s="23" t="n">
        <x:v>603.32275390625</x:v>
      </x:c>
      <x:c r="AC258" s="23" t="n">
        <x:v>606.3813883463541</x:v>
      </x:c>
      <x:c r="AD258" s="23" t="n">
        <x:v>609.2705891927083</x:v>
      </x:c>
      <x:c r="AE258" s="23" t="n">
        <x:v>609.6159261067708</x:v>
      </x:c>
      <x:c r="AF258" s="23" t="n">
        <x:v>604.0981038411458</x:v>
      </x:c>
      <x:c r="AG258" s="23" t="n">
        <x:v>603.9785563151041</x:v>
      </x:c>
      <x:c r="AH258" s="23" t="n">
        <x:v>604.7247314453125</x:v>
      </x:c>
      <x:c r="AI258" s="23" t="n">
        <x:v>1416.284464518229</x:v>
      </x:c>
      <x:c r="AJ258" s="23" t="n">
        <x:v>638.9647348748924</x:v>
      </x:c>
      <x:c r="AK258" s="23" t="n">
        <x:v>6.996228097439598</x:v>
      </x:c>
      <x:c r="AL258" s="23" t="n">
        <x:v>5.951589016163021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0</x:v>
      </x:c>
      <x:c r="AR258" s="23" t="n">
        <x:v>300.173883507908</x:v>
      </x:c>
      <x:c r="AS258" s="23" t="n">
        <x:v>494.35637160541205</x:v>
      </x:c>
      <x:c r="AT258" s="23" t="n">
        <x:v>421.81175540464307</x:v>
      </x:c>
      <x:c r="AU258" s="23" t="n">
        <x:v>357.4092198322824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537.321021919701</x:v>
      </x:c>
      <x:c r="BQ258" s="23" t="n">
        <x:v>0</x:v>
      </x:c>
      <x:c r="BR258" s="23" t="n">
        <x:v>489.0525872156028</x:v>
      </x:c>
      <x:c r="BS258" s="23" t="n">
        <x:v>0</x:v>
      </x:c>
      <x:c r="BT258" s="23" t="n">
        <x:v>0</x:v>
      </x:c>
      <x:c r="BU258" s="23" t="n">
        <x:v>166.43975521233938</x:v>
      </x:c>
      <x:c r="BV258" s="23" t="n">
        <x:v>0</x:v>
      </x:c>
      <x:c r="BW258" s="23" t="n">
        <x:v>375.7862004852292</x:v>
      </x:c>
      <x:c r="BX258" s="23" t="n">
        <x:v>380.519445532978</x:v>
      </x:c>
      <x:c r="BY258" s="23" t="n">
        <x:v>368.1677219592178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71.6319126224395</x:v>
      </x:c>
      <x:c r="CN258" s="23" t="n">
        <x:v>185.8202555505003</x:v>
      </x:c>
      <x:c r="CO258" s="23" t="n">
        <x:v>213.61267585615678</x:v>
      </x:c>
      <x:c r="CP258" s="23" t="n">
        <x:v>268.54829746940675</x:v>
      </x:c>
      <x:c r="CQ258" s="23" t="n">
        <x:v>328.92522745575053</x:v>
      </x:c>
      <x:c r="CR258" s="23" t="n">
        <x:v>393.74712327211256</x:v>
      </x:c>
      <x:c r="CS258" s="23" t="n">
        <x:v>459.07100295827354</x:v>
      </x:c>
      <x:c r="CT258" s="23" t="n">
        <x:v>526.425158442323</x:v>
      </x:c>
      <x:c r="CU258" s="23" t="n">
        <x:v>583.0618377616915</x:v>
      </x:c>
      <x:c r="CV258" s="23" t="n">
        <x:v>634.8217720713141</x:v>
      </x:c>
      <x:c r="CW258" s="23" t="n">
        <x:v>683.1610858960203</x:v>
      </x:c>
      <x:c r="CX258" s="23" t="n">
        <x:v>737.3478280528968</x:v>
      </x:c>
      <x:c r="CY258" s="23" t="n">
        <x:v>813.1837220986523</x:v>
      </x:c>
      <x:c r="CZ258" s="23" t="n">
        <x:v>871.0682264167051</x:v>
      </x:c>
      <x:c r="DA258" s="23" t="n">
        <x:v>914.2607218831154</x:v>
      </x:c>
      <x:c r="DB258" s="23" t="n">
        <x:v>950.0941809696264</x:v>
      </x:c>
      <x:c r="DC258" s="23" t="n">
        <x:v>1013.2564560170364</x:v>
      </x:c>
      <x:c r="DD258" s="23" t="n">
        <x:v>862.1460916091656</x:v>
      </x:c>
      <x:c r="DE258" s="23" t="n">
        <x:v>47.522487572549835</x:v>
      </x:c>
      <x:c r="DF258" s="23" t="n">
        <x:v>0</x:v>
      </x:c>
      <x:c r="DG258" s="23" t="n">
        <x:v>0</x:v>
      </x:c>
      <x:c r="DH258" s="23" t="n">
        <x:v>0</x:v>
      </x:c>
      <x:c r="DI258" s="23" t="n">
        <x:v>654.2149251302083</x:v>
      </x:c>
      <x:c r="DJ258" s="23" t="n">
        <x:v>653.02490234375</x:v>
      </x:c>
      <x:c r="DK258" s="23" t="n">
        <x:v>0</x:v>
      </x:c>
      <x:c r="DL258" s="23" t="n">
        <x:v>0</x:v>
      </x:c>
      <x:c r="DM258" s="23" t="n">
        <x:v>662.1229248046875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674.2332763671875</x:v>
      </x:c>
      <x:c r="DT258" s="23" t="n">
        <x:v>0</x:v>
      </x:c>
      <x:c r="DU258" s="23" t="n">
        <x:v>0</x:v>
      </x:c>
      <x:c r="DV258" s="23" t="n">
        <x:v>650.0584309895833</x:v>
      </x:c>
      <x:c r="DW258" s="23" t="n">
        <x:v>662.62841796875</x:v>
      </x:c>
      <x:c r="DX258" s="23" t="n">
        <x:v>685.6914869590728</x:v>
      </x:c>
      <x:c r="DY258" s="23" t="n">
        <x:v>679.0424397786458</x:v>
      </x:c>
      <x:c r="DZ258" s="23" t="n">
        <x:v>681.9007568359375</x:v>
      </x:c>
      <x:c r="EA258" s="23" t="n">
        <x:v>705.4766438802083</x:v>
      </x:c>
      <x:c r="EB258" s="23" t="n">
        <x:v>629.6998291015625</x:v>
      </x:c>
      <x:c r="EC258" s="23" t="n">
        <x:v>1376.1988118489583</x:v>
      </x:c>
      <x:c r="ED258" s="23" t="n">
        <x:v>1377.5560709635415</x:v>
      </x:c>
      <x:c r="EE258" s="23" t="n">
        <x:v>568.9052734375</x:v>
      </x:c>
      <x:c r="EF258" s="23" t="n">
        <x:v>563.3752034505208</x:v>
      </x:c>
      <x:c r="EG258" s="23" t="n">
        <x:v>1383.5335286458333</x:v>
      </x:c>
      <x:c r="EH258" s="23" t="n">
        <x:v>1382.7716064453125</x:v>
      </x:c>
      <x:c r="EI258" s="23" t="n">
        <x:v>853.6485676761828</x:v>
      </x:c>
      <x:c r="EJ258" s="23" t="n">
        <x:v>549.4693196614583</x:v>
      </x:c>
      <x:c r="EK258" s="23" t="n">
        <x:v>1387.1702473958333</x:v>
      </x:c>
      <x:c r="EL258" s="23" t="n">
        <x:v>567.6660563151041</x:v>
      </x:c>
      <x:c r="EM258" s="23" t="n">
        <x:v>1407.379638671875</x:v>
      </x:c>
      <x:c r="EN258" s="23" t="n">
        <x:v>572.7403564453125</x:v>
      </x:c>
      <x:c r="EO258" s="23" t="n">
        <x:v>580.3310953776041</x:v>
      </x:c>
      <x:c r="EP258" s="23" t="n">
        <x:f>SUM(B258:EO258)</x:f>
        <x:v>60554.70082754725</x:v>
      </x:c>
      <x:c r="EQ258" s="23" t="n">
        <x:f>SUMPRODUCT(B258:EO258,{0.4392,0.4377,0.3942,0.4209,0.4717,0.4959,0.4826,0.4359,0.3974,0.4142,0.4235,0.4182,0.4551,0.5145,0.5306,0.4572,0.4236,0.4698,0.5068,0.4677,0.3994,0.4105,0.4299,0.4254,0.437,0.4565,0.4861,0.5289,0.5008,0.4188,0.3941,0.4211,0.4352,0.4208,0.6522,0.9979,1.0217,0.9697,0.9807,0.9457,0.8999,0.8938,0.9237,0.8714,0.7449,0.7115,0.9407,1.2504,1.2604,1.1881,1.163,1.1139,1.1239,1.1486,1.0537,1.0086,1.0116,0.9045,0.8845,0.9642,0.9466,0.8969,0.8911,0.9037,0.7481,0.5049,0.4622,0.5152,0.5359,0.494,0.4343,0.3925,0.3797,0.4111,0.4284,0.3852,0.5598,0.8677,0.9235,0.9091,0.9245,0.8844,0.871,0.9244,0.9862,0.957,0.9201,1.024,0.9366,0.6851,0.6517,0.7197,0.7664,0.7946,0.8142,0.8328,0.8558,0.8875,0.9194,0.94,0.9752,1.0255,1.0612,1.0734,1.0889,1.1426,1.1865,1.2266,1.3027,1.2954,1.23,1.2561,1.2797,1.2695,1.2903,1.2944,1.2731,1.2694,1.2582,1.2479,1.2803,1.3266,1.3505,1.3153,1.1483,0.958,0.9481,0.9523,0.9226,0.9378,0.7497,0.4469,0.3972,0.4161,0.3724,0.3279,0.3281,0.3681,0.4037,0.4148,0.408,0.4039,0.3982,0.3949})</x:f>
        <x:v>37166.86909192978</x:v>
      </x:c>
    </x:row>
    <x:row r="259" ht="14" customHeight="1">
      <x:c r="A259" s="3">
        <x:v>45946</x:v>
      </x:c>
      <x:c r="B259" s="23" t="n">
        <x:v>867.285221248876</x:v>
      </x:c>
      <x:c r="C259" s="23" t="n">
        <x:v>1400.9451904296875</x:v>
      </x:c>
      <x:c r="D259" s="23" t="n">
        <x:v>1396.105265299479</x:v>
      </x:c>
      <x:c r="E259" s="23" t="n">
        <x:v>570.6605224609375</x:v>
      </x:c>
      <x:c r="F259" s="23" t="n">
        <x:v>581.0381673177083</x:v>
      </x:c>
      <x:c r="G259" s="23" t="n">
        <x:v>577.3356526692708</x:v>
      </x:c>
      <x:c r="H259" s="23" t="n">
        <x:v>584.224853515625</x:v>
      </x:c>
      <x:c r="I259" s="23" t="n">
        <x:v>589.2065836588541</x:v>
      </x:c>
      <x:c r="J259" s="23" t="n">
        <x:v>1419.251261393229</x:v>
      </x:c>
      <x:c r="K259" s="23" t="n">
        <x:v>1418.958780924479</x:v>
      </x:c>
      <x:c r="L259" s="23" t="n">
        <x:v>588.1604410807291</x:v>
      </x:c>
      <x:c r="M259" s="23" t="n">
        <x:v>1424.632568359375</x:v>
      </x:c>
      <x:c r="N259" s="23" t="n">
        <x:v>599.6183675130208</x:v>
      </x:c>
      <x:c r="O259" s="23" t="n">
        <x:v>601.4036865234375</x:v>
      </x:c>
      <x:c r="P259" s="23" t="n">
        <x:v>596.3443196614583</x:v>
      </x:c>
      <x:c r="Q259" s="23" t="n">
        <x:v>595.7969156901041</x:v>
      </x:c>
      <x:c r="R259" s="23" t="n">
        <x:v>599.2904459635416</x:v>
      </x:c>
      <x:c r="S259" s="23" t="n">
        <x:v>601.1128743489583</x:v>
      </x:c>
      <x:c r="T259" s="23" t="n">
        <x:v>601.6370442708333</x:v>
      </x:c>
      <x:c r="U259" s="23" t="n">
        <x:v>600.4401448567708</x:v>
      </x:c>
      <x:c r="V259" s="23" t="n">
        <x:v>595.9902750651041</x:v>
      </x:c>
      <x:c r="W259" s="23" t="n">
        <x:v>600.6813557942708</x:v>
      </x:c>
      <x:c r="X259" s="23" t="n">
        <x:v>1433.9322102864583</x:v>
      </x:c>
      <x:c r="Y259" s="23" t="n">
        <x:v>596.1146240234375</x:v>
      </x:c>
      <x:c r="Z259" s="23" t="n">
        <x:v>596.1832275390625</x:v>
      </x:c>
      <x:c r="AA259" s="23" t="n">
        <x:v>601.8539632161458</x:v>
      </x:c>
      <x:c r="AB259" s="23" t="n">
        <x:v>603.638671875</x:v>
      </x:c>
      <x:c r="AC259" s="23" t="n">
        <x:v>604.8450113932291</x:v>
      </x:c>
      <x:c r="AD259" s="23" t="n">
        <x:v>609.4881184895833</x:v>
      </x:c>
      <x:c r="AE259" s="23" t="n">
        <x:v>604.7408854166666</x:v>
      </x:c>
      <x:c r="AF259" s="23" t="n">
        <x:v>597.6032307942708</x:v>
      </x:c>
      <x:c r="AG259" s="23" t="n">
        <x:v>595.6405843098958</x:v>
      </x:c>
      <x:c r="AH259" s="23" t="n">
        <x:v>605.1563313802083</x:v>
      </x:c>
      <x:c r="AI259" s="23" t="n">
        <x:v>599.583984375</x:v>
      </x:c>
      <x:c r="AJ259" s="23" t="n">
        <x:v>636.9869507826717</x:v>
      </x:c>
      <x:c r="AK259" s="23" t="n">
        <x:v>5.802054920356264</x:v>
      </x:c>
      <x:c r="AL259" s="23" t="n">
        <x:v>2.392124718577785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0</x:v>
      </x:c>
      <x:c r="AR259" s="23" t="n">
        <x:v>354.8950576621658</x:v>
      </x:c>
      <x:c r="AS259" s="23" t="n">
        <x:v>492.30570063361176</x:v>
      </x:c>
      <x:c r="AT259" s="23" t="n">
        <x:v>428.6606120102838</x:v>
      </x:c>
      <x:c r="AU259" s="23" t="n">
        <x:v>336.7569844849153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0</x:v>
      </x:c>
      <x:c r="BQ259" s="23" t="n">
        <x:v>0</x:v>
      </x:c>
      <x:c r="BR259" s="23" t="n">
        <x:v>488.47495858473513</x:v>
      </x:c>
      <x:c r="BS259" s="23" t="n">
        <x:v>84.02090695612112</x:v>
      </x:c>
      <x:c r="BT259" s="23" t="n">
        <x:v>431.4725984524084</x:v>
      </x:c>
      <x:c r="BU259" s="23" t="n">
        <x:v>386.5793890540884</x:v>
      </x:c>
      <x:c r="BV259" s="23" t="n">
        <x:v>394.83360255031766</x:v>
      </x:c>
      <x:c r="BW259" s="23" t="n">
        <x:v>401.3715758535803</x:v>
      </x:c>
      <x:c r="BX259" s="23" t="n">
        <x:v>408.9804535391989</x:v>
      </x:c>
      <x:c r="BY259" s="23" t="n">
        <x:v>426.80684788761965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120.67933296027695</x:v>
      </x:c>
      <x:c r="CN259" s="23" t="n">
        <x:v>292.99002588911986</x:v>
      </x:c>
      <x:c r="CO259" s="23" t="n">
        <x:v>206.86456947112492</x:v>
      </x:c>
      <x:c r="CP259" s="23" t="n">
        <x:v>261.5400670745796</x:v>
      </x:c>
      <x:c r="CQ259" s="23" t="n">
        <x:v>328.45864540233015</x:v>
      </x:c>
      <x:c r="CR259" s="23" t="n">
        <x:v>395.57152743092297</x:v>
      </x:c>
      <x:c r="CS259" s="23" t="n">
        <x:v>453.6785932029695</x:v>
      </x:c>
      <x:c r="CT259" s="23" t="n">
        <x:v>513.4260108128387</x:v>
      </x:c>
      <x:c r="CU259" s="23" t="n">
        <x:v>580.9854659254971</x:v>
      </x:c>
      <x:c r="CV259" s="23" t="n">
        <x:v>645.7913437572441</x:v>
      </x:c>
      <x:c r="CW259" s="23" t="n">
        <x:v>707.3532944655412</x:v>
      </x:c>
      <x:c r="CX259" s="23" t="n">
        <x:v>746.836241047674</x:v>
      </x:c>
      <x:c r="CY259" s="23" t="n">
        <x:v>798.7111736513366</x:v>
      </x:c>
      <x:c r="CZ259" s="23" t="n">
        <x:v>877.5416476237675</x:v>
      </x:c>
      <x:c r="DA259" s="23" t="n">
        <x:v>931.0382142877372</x:v>
      </x:c>
      <x:c r="DB259" s="23" t="n">
        <x:v>968.9494142305102</x:v>
      </x:c>
      <x:c r="DC259" s="23" t="n">
        <x:v>1023.7792210019994</x:v>
      </x:c>
      <x:c r="DD259" s="23" t="n">
        <x:v>873.8589672219643</x:v>
      </x:c>
      <x:c r="DE259" s="23" t="n">
        <x:v>28.460101609866037</x:v>
      </x:c>
      <x:c r="DF259" s="23" t="n">
        <x:v>0</x:v>
      </x:c>
      <x:c r="DG259" s="23" t="n">
        <x:v>0</x:v>
      </x:c>
      <x:c r="DH259" s="23" t="n">
        <x:v>0</x:v>
      </x:c>
      <x:c r="DI259" s="23" t="n">
        <x:v>0</x:v>
      </x:c>
      <x:c r="DJ259" s="23" t="n">
        <x:v>660.9851481119791</x:v>
      </x:c>
      <x:c r="DK259" s="23" t="n">
        <x:v>0</x:v>
      </x:c>
      <x:c r="DL259" s="23" t="n">
        <x:v>0</x:v>
      </x:c>
      <x:c r="DM259" s="23" t="n">
        <x:v>662.7499186197916</x:v>
      </x:c>
      <x:c r="DN259" s="23" t="n">
        <x:v>0</x:v>
      </x:c>
      <x:c r="DO259" s="23" t="n">
        <x:v>666.575439453125</x:v>
      </x:c>
      <x:c r="DP259" s="23" t="n">
        <x:v>0</x:v>
      </x:c>
      <x:c r="DQ259" s="23" t="n">
        <x:v>0</x:v>
      </x:c>
      <x:c r="DR259" s="23" t="n">
        <x:v>657.168701171875</x:v>
      </x:c>
      <x:c r="DS259" s="23" t="n">
        <x:v>0</x:v>
      </x:c>
      <x:c r="DT259" s="23" t="n">
        <x:v>0</x:v>
      </x:c>
      <x:c r="DU259" s="23" t="n">
        <x:v>0</x:v>
      </x:c>
      <x:c r="DV259" s="23" t="n">
        <x:v>709.588134765625</x:v>
      </x:c>
      <x:c r="DW259" s="23" t="n">
        <x:v>682.6349083759322</x:v>
      </x:c>
      <x:c r="DX259" s="23" t="n">
        <x:v>700.3356590390304</x:v>
      </x:c>
      <x:c r="DY259" s="23" t="n">
        <x:v>681.4215494791666</x:v>
      </x:c>
      <x:c r="DZ259" s="23" t="n">
        <x:v>672.936767578125</x:v>
      </x:c>
      <x:c r="EA259" s="23" t="n">
        <x:v>718.9705403645833</x:v>
      </x:c>
      <x:c r="EB259" s="23" t="n">
        <x:v>625.436279296875</x:v>
      </x:c>
      <x:c r="EC259" s="23" t="n">
        <x:v>1379.48291015625</x:v>
      </x:c>
      <x:c r="ED259" s="23" t="n">
        <x:v>1380.2728678385415</x:v>
      </x:c>
      <x:c r="EE259" s="23" t="n">
        <x:v>569.7465006510416</x:v>
      </x:c>
      <x:c r="EF259" s="23" t="n">
        <x:v>555.291015625</x:v>
      </x:c>
      <x:c r="EG259" s="23" t="n">
        <x:v>1377.3604329427083</x:v>
      </x:c>
      <x:c r="EH259" s="23" t="n">
        <x:v>1381.286173502604</x:v>
      </x:c>
      <x:c r="EI259" s="23" t="n">
        <x:v>1392.784952799479</x:v>
      </x:c>
      <x:c r="EJ259" s="23" t="n">
        <x:v>563.3231201171875</x:v>
      </x:c>
      <x:c r="EK259" s="23" t="n">
        <x:v>841.4987189911268</x:v>
      </x:c>
      <x:c r="EL259" s="23" t="n">
        <x:v>555.2805989583333</x:v>
      </x:c>
      <x:c r="EM259" s="23" t="n">
        <x:v>571.573974609375</x:v>
      </x:c>
      <x:c r="EN259" s="23" t="n">
        <x:v>485.22452799479163</x:v>
      </x:c>
      <x:c r="EO259" s="23" t="n">
        <x:v>1255.3946126302083</x:v>
      </x:c>
      <x:c r="EP259" s="23" t="n">
        <x:f>SUM(B259:EO259)</x:f>
        <x:v>61243.07790937542</x:v>
      </x:c>
      <x:c r="EQ259" s="23" t="n">
        <x:f>SUMPRODUCT(B259:EO259,{0.4035,0.3959,0.398,0.4552,0.4457,0.3939,0.4426,0.4607,0.4207,0.4278,0.4235,0.3999,0.4211,0.4674,0.4888,0.4502,0.4053,0.4039,0.4454,0.4389,0.4049,0.4445,0.4521,0.4153,0.433,0.4636,0.4603,0.4247,0.4223,0.4589,0.4758,0.4595,0.405,0.3643,0.6117,0.9786,0.9934,0.9506,0.9952,0.9723,0.915,0.8892,0.9136,0.8926,0.801,0.7445,0.9396,1.2436,1.2759,1.2391,1.2388,1.1756,1.1147,1.0826,1.039,1.0054,0.9836,0.9486,0.9108,0.8899,0.8959,0.9003,0.9026,0.8971,0.7241,0.4831,0.4623,0.5214,0.5304,0.4875,0.4199,0.3833,0.4275,0.4856,0.4736,0.3989,0.5637,0.8774,0.9281,0.877,0.8725,0.8974,0.9184,0.9414,0.994,1.0268,1.0381,1.0524,0.9417,0.7871,0.8198,0.889,0.8845,0.8417,0.8216,0.8658,0.9636,0.9968,0.9746,1.0102,1.0248,1.0013,1.013,1.0492,1.0796,1.1005,1.1939,1.3098,1.3028,1.2569,1.2401,1.2468,1.2735,1.29,1.2656,1.2765,1.3104,1.2824,1.2745,1.2848,1.2312,1.2138,1.2728,1.3193,1.1877,0.974,0.9458,0.9475,0.9281,0.9593,0.7684,0.4281,0.3224,0.3489,0.3964,0.4567,0.466,0.427,0.4045,0.3876,0.3918,0.4417,0.4209,0.3289})</x:f>
        <x:v>37786.835135401525</x:v>
      </x:c>
    </x:row>
    <x:row r="260" ht="14" customHeight="1">
      <x:c r="A260" s="3">
        <x:v>45947</x:v>
      </x:c>
      <x:c r="B260" s="23" t="n">
        <x:v>402.67399088541663</x:v>
      </x:c>
      <x:c r="C260" s="23" t="n">
        <x:v>404.45853678385413</x:v>
      </x:c>
      <x:c r="D260" s="23" t="n">
        <x:v>404.4603271484375</x:v>
      </x:c>
      <x:c r="E260" s="23" t="n">
        <x:v>414.5439046223958</x:v>
      </x:c>
      <x:c r="F260" s="23" t="n">
        <x:v>421.96268717447913</x:v>
      </x:c>
      <x:c r="G260" s="23" t="n">
        <x:v>419.0973714192708</x:v>
      </x:c>
      <x:c r="H260" s="23" t="n">
        <x:v>420.3499348958333</x:v>
      </x:c>
      <x:c r="I260" s="23" t="n">
        <x:v>422.9149169921875</x:v>
      </x:c>
      <x:c r="J260" s="23" t="n">
        <x:v>421.59037272135413</x:v>
      </x:c>
      <x:c r="K260" s="23" t="n">
        <x:v>421.2587890625</x:v>
      </x:c>
      <x:c r="L260" s="23" t="n">
        <x:v>425.9992268880208</x:v>
      </x:c>
      <x:c r="M260" s="23" t="n">
        <x:v>426.2879638671875</x:v>
      </x:c>
      <x:c r="N260" s="23" t="n">
        <x:v>430.71756998697913</x:v>
      </x:c>
      <x:c r="O260" s="23" t="n">
        <x:v>432.3802490234375</x:v>
      </x:c>
      <x:c r="P260" s="23" t="n">
        <x:v>431.9117024739583</x:v>
      </x:c>
      <x:c r="Q260" s="23" t="n">
        <x:v>0</x:v>
      </x:c>
      <x:c r="R260" s="23" t="n">
        <x:v>0</x:v>
      </x:c>
      <x:c r="S260" s="23" t="n">
        <x:v>434.06437174479163</x:v>
      </x:c>
      <x:c r="T260" s="23" t="n">
        <x:v>1270.5273030598958</x:v>
      </x:c>
      <x:c r="U260" s="23" t="n">
        <x:v>437.03483072916663</x:v>
      </x:c>
      <x:c r="V260" s="23" t="n">
        <x:v>292.88386445590663</x:v>
      </x:c>
      <x:c r="W260" s="23" t="n">
        <x:v>433.1717122395833</x:v>
      </x:c>
      <x:c r="X260" s="23" t="n">
        <x:v>436.03544108072913</x:v>
      </x:c>
      <x:c r="Y260" s="23" t="n">
        <x:v>439.4156087239583</x:v>
      </x:c>
      <x:c r="Z260" s="23" t="n">
        <x:v>441.2457275390625</x:v>
      </x:c>
      <x:c r="AA260" s="23" t="n">
        <x:v>439.00992838541663</x:v>
      </x:c>
      <x:c r="AB260" s="23" t="n">
        <x:v>438.0216064453125</x:v>
      </x:c>
      <x:c r="AC260" s="23" t="n">
        <x:v>442.2791341145833</x:v>
      </x:c>
      <x:c r="AD260" s="23" t="n">
        <x:v>448.951171875</x:v>
      </x:c>
      <x:c r="AE260" s="23" t="n">
        <x:v>438.78076171875</x:v>
      </x:c>
      <x:c r="AF260" s="23" t="n">
        <x:v>440.66141764322913</x:v>
      </x:c>
      <x:c r="AG260" s="23" t="n">
        <x:v>441.8991292317708</x:v>
      </x:c>
      <x:c r="AH260" s="23" t="n">
        <x:v>437.5826009114583</x:v>
      </x:c>
      <x:c r="AI260" s="23" t="n">
        <x:v>434.51676432291663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0</x:v>
      </x:c>
      <x:c r="CS260" s="23" t="n">
        <x:v>45.730146343544675</x:v>
      </x:c>
      <x:c r="CT260" s="23" t="n">
        <x:v>88.74808448968489</x:v>
      </x:c>
      <x:c r="CU260" s="23" t="n">
        <x:v>132.25663160981313</x:v>
      </x:c>
      <x:c r="CV260" s="23" t="n">
        <x:v>222.693987798499</x:v>
      </x:c>
      <x:c r="CW260" s="23" t="n">
        <x:v>277.72349479450315</x:v>
      </x:c>
      <x:c r="CX260" s="23" t="n">
        <x:v>286.50068649473815</x:v>
      </x:c>
      <x:c r="CY260" s="23" t="n">
        <x:v>271.7378983589057</x:v>
      </x:c>
      <x:c r="CZ260" s="23" t="n">
        <x:v>318.12407394158225</x:v>
      </x:c>
      <x:c r="DA260" s="23" t="n">
        <x:v>372.15821200552523</x:v>
      </x:c>
      <x:c r="DB260" s="23" t="n">
        <x:v>416.612496553328</x:v>
      </x:c>
      <x:c r="DC260" s="23" t="n">
        <x:v>440.7040381076134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454.5500081380208</x:v>
      </x:c>
      <x:c r="DX260" s="23" t="n">
        <x:v>451.42338053385413</x:v>
      </x:c>
      <x:c r="DY260" s="23" t="n">
        <x:v>450.25199381510413</x:v>
      </x:c>
      <x:c r="DZ260" s="23" t="n">
        <x:v>470.2899169921875</x:v>
      </x:c>
      <x:c r="EA260" s="23" t="n">
        <x:v>395.33236612987673</x:v>
      </x:c>
      <x:c r="EB260" s="23" t="n">
        <x:v>445.8795166015625</x:v>
      </x:c>
      <x:c r="EC260" s="23" t="n">
        <x:v>1228.9069010416665</x:v>
      </x:c>
      <x:c r="ED260" s="23" t="n">
        <x:v>1223.0408528645833</x:v>
      </x:c>
      <x:c r="EE260" s="23" t="n">
        <x:v>397.7940266927083</x:v>
      </x:c>
      <x:c r="EF260" s="23" t="n">
        <x:v>401.09147135416663</x:v>
      </x:c>
      <x:c r="EG260" s="23" t="n">
        <x:v>389.7747395833333</x:v>
      </x:c>
      <x:c r="EH260" s="23" t="n">
        <x:v>1224.0857747395833</x:v>
      </x:c>
      <x:c r="EI260" s="23" t="n">
        <x:v>1231.3782958984375</x:v>
      </x:c>
      <x:c r="EJ260" s="23" t="n">
        <x:v>1228.393595377604</x:v>
      </x:c>
      <x:c r="EK260" s="23" t="n">
        <x:v>1231.262247721354</x:v>
      </x:c>
      <x:c r="EL260" s="23" t="n">
        <x:v>403.77099609375</x:v>
      </x:c>
      <x:c r="EM260" s="23" t="n">
        <x:v>404.7509765625</x:v>
      </x:c>
      <x:c r="EN260" s="23" t="n">
        <x:v>404.72049967447913</x:v>
      </x:c>
      <x:c r="EO260" s="23" t="n">
        <x:v>697.4477325384194</x:v>
      </x:c>
      <x:c r="EP260" s="23" t="n">
        <x:f>SUM(B260:EO260)</x:f>
        <x:v>30453.823961017777</x:v>
      </x:c>
      <x:c r="EQ260" s="23" t="n">
        <x:f>SUMPRODUCT(B260:EO260,{0.2854,0.2848,0.2951,0.3013,0.3279,0.3606,0.3546,0.3385,0.3518,0.3999,0.3912,0.3219,0.2858,0.3156,0.3634,0.3517,0.3358,0.3325,0.3096,0.3271,0.3613,0.3261,0.3103,0.3342,0.3279,0.3123,0.3172,0.3447,0.3485,0.3449,0.3917,0.4165,0.3704,0.3128,0.4905,0.8037,0.8792,0.8173,0.7548,0.7333,0.7602,0.7844,0.7352,0.6664,0.6061,0.5649,0.6946,0.8928,0.8784,0.8107,0.7857,0.7441,0.7115,0.7217,0.7721,0.7789,0.715,0.6333,0.5949,0.6046,0.6216,0.6493,0.6804,0.6647,0.4804,0.2509,0.2452,0.2743,0.2346,0.2078,0.2028,0.1945,0.1661,0.1861,0.2181,0.1829,0.3158,0.5626,0.6159,0.6259,0.65,0.601,0.6444,0.7652,0.7651,0.6992,0.6854,0.7588,0.654,0.425,0.4045,0.4648,0.4972,0.5301,0.5869,0.6441,0.6512,0.6272,0.6309,0.7015,0.7227,0.6918,0.718,0.7451,0.7361,0.738,0.8774,1.0868,1.1492,1.0999,1.0529,1.0883,1.1045,1.0933,1.1404,1.1538,1.1286,1.1503,1.1426,1.0995,1.0976,1.0959,1.107,1.1647,1.0642,0.8504,0.7896,0.7959,0.8146,0.852,0.685,0.3873,0.2858,0.3035,0.3408,0.3748,0.3625,0.3322,0.3533,0.3583,0.3286,0.3173,0.3268,0.3268})</x:f>
        <x:v>12581.864655222344</x:v>
      </x:c>
    </x:row>
    <x:row r="261" ht="14" customHeight="1">
      <x:c r="A261" s="3">
        <x:v>45948</x:v>
      </x:c>
      <x:c r="B261" s="23" t="n">
        <x:v>415.27884928385413</x:v>
      </x:c>
      <x:c r="C261" s="23" t="n">
        <x:v>413.3647054036458</x:v>
      </x:c>
      <x:c r="D261" s="23" t="n">
        <x:v>407.2453206380208</x:v>
      </x:c>
      <x:c r="E261" s="23" t="n">
        <x:v>418.05192057291663</x:v>
      </x:c>
      <x:c r="F261" s="23" t="n">
        <x:v>1032.0528035174839</x:v>
      </x:c>
      <x:c r="G261" s="23" t="n">
        <x:v>423.35465494791663</x:v>
      </x:c>
      <x:c r="H261" s="23" t="n">
        <x:v>425.0303548177083</x:v>
      </x:c>
      <x:c r="I261" s="23" t="n">
        <x:v>423.20585123697913</x:v>
      </x:c>
      <x:c r="J261" s="23" t="n">
        <x:v>420.866943359375</x:v>
      </x:c>
      <x:c r="K261" s="23" t="n">
        <x:v>428.56754557291663</x:v>
      </x:c>
      <x:c r="L261" s="23" t="n">
        <x:v>431.6097412109375</x:v>
      </x:c>
      <x:c r="M261" s="23" t="n">
        <x:v>431.7311604817708</x:v>
      </x:c>
      <x:c r="N261" s="23" t="n">
        <x:v>431.853271484375</x:v>
      </x:c>
      <x:c r="O261" s="23" t="n">
        <x:v>434.01822916666663</x:v>
      </x:c>
      <x:c r="P261" s="23" t="n">
        <x:v>440.141357421875</x:v>
      </x:c>
      <x:c r="Q261" s="23" t="n">
        <x:v>443.90531412760413</x:v>
      </x:c>
      <x:c r="R261" s="23" t="n">
        <x:v>438.0078125</x:v>
      </x:c>
      <x:c r="S261" s="23" t="n">
        <x:v>433.53214518229163</x:v>
      </x:c>
      <x:c r="T261" s="23" t="n">
        <x:v>438.9921468098958</x:v>
      </x:c>
      <x:c r="U261" s="23" t="n">
        <x:v>438.7969970703125</x:v>
      </x:c>
      <x:c r="V261" s="23" t="n">
        <x:v>433.68119303385413</x:v>
      </x:c>
      <x:c r="W261" s="23" t="n">
        <x:v>437.2840169270833</x:v>
      </x:c>
      <x:c r="X261" s="23" t="n">
        <x:v>442.2544759114583</x:v>
      </x:c>
      <x:c r="Y261" s="23" t="n">
        <x:v>436.6678466796875</x:v>
      </x:c>
      <x:c r="Z261" s="23" t="n">
        <x:v>441.6241455078125</x:v>
      </x:c>
      <x:c r="AA261" s="23" t="n">
        <x:v>444.966796875</x:v>
      </x:c>
      <x:c r="AB261" s="23" t="n">
        <x:v>443.8991292317708</x:v>
      </x:c>
      <x:c r="AC261" s="23" t="n">
        <x:v>449.2934163411458</x:v>
      </x:c>
      <x:c r="AD261" s="23" t="n">
        <x:v>0</x:v>
      </x:c>
      <x:c r="AE261" s="23" t="n">
        <x:v>450.9027913411458</x:v>
      </x:c>
      <x:c r="AF261" s="23" t="n">
        <x:v>450.439208984375</x:v>
      </x:c>
      <x:c r="AG261" s="23" t="n">
        <x:v>449.88517252604163</x:v>
      </x:c>
      <x:c r="AH261" s="23" t="n">
        <x:v>445.1646321614583</x:v>
      </x:c>
      <x:c r="AI261" s="23" t="n">
        <x:v>436.87272135416663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0</x:v>
      </x:c>
      <x:c r="CS261" s="23" t="n">
        <x:v>28.55088840084348</x:v>
      </x:c>
      <x:c r="CT261" s="23" t="n">
        <x:v>95.1433487172106</x:v>
      </x:c>
      <x:c r="CU261" s="23" t="n">
        <x:v>143.06898665964405</x:v>
      </x:c>
      <x:c r="CV261" s="23" t="n">
        <x:v>185.48183143978463</x:v>
      </x:c>
      <x:c r="CW261" s="23" t="n">
        <x:v>265.5287613408076</x:v>
      </x:c>
      <x:c r="CX261" s="23" t="n">
        <x:v>283.5009471469283</x:v>
      </x:c>
      <x:c r="CY261" s="23" t="n">
        <x:v>271.25682856587355</x:v>
      </x:c>
      <x:c r="CZ261" s="23" t="n">
        <x:v>319.00376808614084</x:v>
      </x:c>
      <x:c r="DA261" s="23" t="n">
        <x:v>368.00033171027303</x:v>
      </x:c>
      <x:c r="DB261" s="23" t="n">
        <x:v>409.2186266720171</x:v>
      </x:c>
      <x:c r="DC261" s="23" t="n">
        <x:v>434.93277113745285</x:v>
      </x:c>
      <x:c r="DD261" s="23" t="n">
        <x:v>18.183137230246224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454.58207194010413</x:v>
      </x:c>
      <x:c r="DX261" s="23" t="n">
        <x:v>462.82633463541663</x:v>
      </x:c>
      <x:c r="DY261" s="23" t="n">
        <x:v>465.718994140625</x:v>
      </x:c>
      <x:c r="DZ261" s="23" t="n">
        <x:v>471.879150390625</x:v>
      </x:c>
      <x:c r="EA261" s="23" t="n">
        <x:v>475.0863328125002</x:v>
      </x:c>
      <x:c r="EB261" s="23" t="n">
        <x:v>446.7408447265625</x:v>
      </x:c>
      <x:c r="EC261" s="23" t="n">
        <x:v>1231.335978190104</x:v>
      </x:c>
      <x:c r="ED261" s="23" t="n">
        <x:v>1244.4993489583333</x:v>
      </x:c>
      <x:c r="EE261" s="23" t="n">
        <x:v>409.64371744791663</x:v>
      </x:c>
      <x:c r="EF261" s="23" t="n">
        <x:v>399.5896809895833</x:v>
      </x:c>
      <x:c r="EG261" s="23" t="n">
        <x:v>396.6685791015625</x:v>
      </x:c>
      <x:c r="EH261" s="23" t="n">
        <x:v>1230.7584635416665</x:v>
      </x:c>
      <x:c r="EI261" s="23" t="n">
        <x:v>1230.453409830729</x:v>
      </x:c>
      <x:c r="EJ261" s="23" t="n">
        <x:v>1235.140625</x:v>
      </x:c>
      <x:c r="EK261" s="23" t="n">
        <x:v>1240.0305989583333</x:v>
      </x:c>
      <x:c r="EL261" s="23" t="n">
        <x:v>546.2271397529257</x:v>
      </x:c>
      <x:c r="EM261" s="23" t="n">
        <x:v>1242.3602294921875</x:v>
      </x:c>
      <x:c r="EN261" s="23" t="n">
        <x:v>486.6722005208333</x:v>
      </x:c>
      <x:c r="EO261" s="23" t="n">
        <x:v>0</x:v>
      </x:c>
      <x:c r="EP261" s="23" t="n">
        <x:f>SUM(B261:EO261)</x:f>
        <x:v>31424.626599218787</x:v>
      </x:c>
      <x:c r="EQ261" s="23" t="n">
        <x:f>SUMPRODUCT(B261:EO261,{0.2931,0.2948,0.3419,0.3715,0.3568,0.3036,0.252,0.2815,0.349,0.3321,0.3171,0.3352,0.3297,0.3228,0.3117,0.2794,0.3275,0.4057,0.3578,0.322,0.3515,0.3644,0.3793,0.3845,0.3396,0.3166,0.3369,0.3553,0.3789,0.3972,0.3861,0.3896,0.365,0.2669,0.4326,0.7648,0.8069,0.7755,0.7769,0.6965,0.6681,0.7138,0.7128,0.6798,0.6162,0.5358,0.6802,0.9334,0.9101,0.8034,0.7603,0.7447,0.7611,0.7768,0.7423,0.7322,0.7378,0.6782,0.6402,0.6349,0.5894,0.572,0.6245,0.6778,0.4898,0.2003,0.2101,0.2772,0.2431,0.1916,0.1762,0.1966,0.2145,0.2168,0.2141,0.2472,0.3985,0.5688,0.557,0.5168,0.5444,0.5882,0.6024,0.6173,0.6951,0.7394,0.7478,0.7885,0.6874,0.5004,0.4781,0.4907,0.478,0.5169,0.5628,0.5917,0.6246,0.6531,0.685,0.7337,0.7438,0.7254,0.7495,0.7963,0.7971,0.7245,0.8089,1.0256,1.1084,1.0983,1.0731,1.0635,1.0856,1.1122,1.102,1.1098,1.1302,1.1066,1.1125,1.1522,1.1485,1.1082,1.0909,1.1247,1.004,0.7892,0.7584,0.7721,0.7802,0.8376,0.6483,0.3081,0.2508,0.3391,0.3868,0.3436,0.3017,0.2916,0.2734,0.308,0.3622,0.3422,0.3801,0.4665})</x:f>
        <x:v>12639.586470889286</x:v>
      </x:c>
    </x:row>
    <x:row r="262" ht="14" customHeight="1">
      <x:c r="A262" s="3">
        <x:v>45949</x:v>
      </x:c>
      <x:c r="B262" s="23" t="n">
        <x:v>575.6714274088541</x:v>
      </x:c>
      <x:c r="C262" s="23" t="n">
        <x:v>1394.8993326822915</x:v>
      </x:c>
      <x:c r="D262" s="23" t="n">
        <x:v>1397.20849609375</x:v>
      </x:c>
      <x:c r="E262" s="23" t="n">
        <x:v>999.5086158162926</x:v>
      </x:c>
      <x:c r="F262" s="23" t="n">
        <x:v>568.3214925130208</x:v>
      </x:c>
      <x:c r="G262" s="23" t="n">
        <x:v>569.3855387369791</x:v>
      </x:c>
      <x:c r="H262" s="23" t="n">
        <x:v>588.212890625</x:v>
      </x:c>
      <x:c r="I262" s="23" t="n">
        <x:v>1398.149658203125</x:v>
      </x:c>
      <x:c r="J262" s="23" t="n">
        <x:v>1387.1265869140625</x:v>
      </x:c>
      <x:c r="K262" s="23" t="n">
        <x:v>575.8206787109375</x:v>
      </x:c>
      <x:c r="L262" s="23" t="n">
        <x:v>594.6451416015625</x:v>
      </x:c>
      <x:c r="M262" s="23" t="n">
        <x:v>1422.4409993489583</x:v>
      </x:c>
      <x:c r="N262" s="23" t="n">
        <x:v>587.8341471354166</x:v>
      </x:c>
      <x:c r="O262" s="23" t="n">
        <x:v>587.9061686197916</x:v>
      </x:c>
      <x:c r="P262" s="23" t="n">
        <x:v>597.0391438802083</x:v>
      </x:c>
      <x:c r="Q262" s="23" t="n">
        <x:v>592.1150716145833</x:v>
      </x:c>
      <x:c r="R262" s="23" t="n">
        <x:v>590.2545979817708</x:v>
      </x:c>
      <x:c r="S262" s="23" t="n">
        <x:v>595.3687337239583</x:v>
      </x:c>
      <x:c r="T262" s="23" t="n">
        <x:v>596.0162353515625</x:v>
      </x:c>
      <x:c r="U262" s="23" t="n">
        <x:v>590.9549153645833</x:v>
      </x:c>
      <x:c r="V262" s="23" t="n">
        <x:v>591.6339111328125</x:v>
      </x:c>
      <x:c r="W262" s="23" t="n">
        <x:v>594.7682698567708</x:v>
      </x:c>
      <x:c r="X262" s="23" t="n">
        <x:v>595.5596923828125</x:v>
      </x:c>
      <x:c r="Y262" s="23" t="n">
        <x:v>594.2501220703125</x:v>
      </x:c>
      <x:c r="Z262" s="23" t="n">
        <x:v>598.5704752604166</x:v>
      </x:c>
      <x:c r="AA262" s="23" t="n">
        <x:v>596.9731038411458</x:v>
      </x:c>
      <x:c r="AB262" s="23" t="n">
        <x:v>583.7276204427083</x:v>
      </x:c>
      <x:c r="AC262" s="23" t="n">
        <x:v>591.3607991536458</x:v>
      </x:c>
      <x:c r="AD262" s="23" t="n">
        <x:v>602.36474609375</x:v>
      </x:c>
      <x:c r="AE262" s="23" t="n">
        <x:v>606.802978515625</x:v>
      </x:c>
      <x:c r="AF262" s="23" t="n">
        <x:v>609.1020914713541</x:v>
      </x:c>
      <x:c r="AG262" s="23" t="n">
        <x:v>606.3958740234375</x:v>
      </x:c>
      <x:c r="AH262" s="23" t="n">
        <x:v>595.8930257161458</x:v>
      </x:c>
      <x:c r="AI262" s="23" t="n">
        <x:v>1421.0904134114583</x:v>
      </x:c>
      <x:c r="AJ262" s="23" t="n">
        <x:v>614.7996421493676</x:v>
      </x:c>
      <x:c r="AK262" s="23" t="n">
        <x:v>0</x:v>
      </x:c>
      <x:c r="AL262" s="23" t="n">
        <x:v>14.308218650612162</x:v>
      </x:c>
      <x:c r="AM262" s="23" t="n">
        <x:v>2.0230128575425015</x:v>
      </x:c>
      <x:c r="AN262" s="23" t="n">
        <x:v>0</x:v>
      </x:c>
      <x:c r="AO262" s="23" t="n">
        <x:v>0</x:v>
      </x:c>
      <x:c r="AP262" s="23" t="n">
        <x:v>0</x:v>
      </x:c>
      <x:c r="AQ262" s="23" t="n">
        <x:v>0</x:v>
      </x:c>
      <x:c r="AR262" s="23" t="n">
        <x:v>415.71872694613626</x:v>
      </x:c>
      <x:c r="AS262" s="23" t="n">
        <x:v>504.3130376679852</x:v>
      </x:c>
      <x:c r="AT262" s="23" t="n">
        <x:v>441.4634157142355</x:v>
      </x:c>
      <x:c r="AU262" s="23" t="n">
        <x:v>317.014294801875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251.35446451768922</x:v>
      </x:c>
      <x:c r="BP262" s="23" t="n">
        <x:v>587.0971581691953</x:v>
      </x:c>
      <x:c r="BQ262" s="23" t="n">
        <x:v>0</x:v>
      </x:c>
      <x:c r="BR262" s="23" t="n">
        <x:v>0</x:v>
      </x:c>
      <x:c r="BS262" s="23" t="n">
        <x:v>526.4860202365295</x:v>
      </x:c>
      <x:c r="BT262" s="23" t="n">
        <x:v>491.41224377035996</x:v>
      </x:c>
      <x:c r="BU262" s="23" t="n">
        <x:v>438.79280472184956</x:v>
      </x:c>
      <x:c r="BV262" s="23" t="n">
        <x:v>422.11381632212425</x:v>
      </x:c>
      <x:c r="BW262" s="23" t="n">
        <x:v>442.96808576200084</x:v>
      </x:c>
      <x:c r="BX262" s="23" t="n">
        <x:v>448.310078464027</x:v>
      </x:c>
      <x:c r="BY262" s="23" t="n">
        <x:v>464.6066308334008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165.73491576309348</x:v>
      </x:c>
      <x:c r="CN262" s="23" t="n">
        <x:v>581.2381206553408</x:v>
      </x:c>
      <x:c r="CO262" s="23" t="n">
        <x:v>287.93684770961255</x:v>
      </x:c>
      <x:c r="CP262" s="23" t="n">
        <x:v>332.0538912645364</x:v>
      </x:c>
      <x:c r="CQ262" s="23" t="n">
        <x:v>380.04832153296593</x:v>
      </x:c>
      <x:c r="CR262" s="23" t="n">
        <x:v>435.29378476537505</x:v>
      </x:c>
      <x:c r="CS262" s="23" t="n">
        <x:v>508.8769573002187</x:v>
      </x:c>
      <x:c r="CT262" s="23" t="n">
        <x:v>581.1082421036501</x:v>
      </x:c>
      <x:c r="CU262" s="23" t="n">
        <x:v>621.1937698779186</x:v>
      </x:c>
      <x:c r="CV262" s="23" t="n">
        <x:v>656.7881398539084</x:v>
      </x:c>
      <x:c r="CW262" s="23" t="n">
        <x:v>719.544795340045</x:v>
      </x:c>
      <x:c r="CX262" s="23" t="n">
        <x:v>787.7593769014172</x:v>
      </x:c>
      <x:c r="CY262" s="23" t="n">
        <x:v>822.758259142655</x:v>
      </x:c>
      <x:c r="CZ262" s="23" t="n">
        <x:v>876.0080800713015</x:v>
      </x:c>
      <x:c r="DA262" s="23" t="n">
        <x:v>910.7585002588295</x:v>
      </x:c>
      <x:c r="DB262" s="23" t="n">
        <x:v>983.847555689547</x:v>
      </x:c>
      <x:c r="DC262" s="23" t="n">
        <x:v>1029.4299489092991</x:v>
      </x:c>
      <x:c r="DD262" s="23" t="n">
        <x:v>891.7440592447916</x:v>
      </x:c>
      <x:c r="DE262" s="23" t="n">
        <x:v>621.0126139322916</x:v>
      </x:c>
      <x:c r="DF262" s="23" t="n">
        <x:v>0</x:v>
      </x:c>
      <x:c r="DG262" s="23" t="n">
        <x:v>0</x:v>
      </x:c>
      <x:c r="DH262" s="23" t="n">
        <x:v>0</x:v>
      </x:c>
      <x:c r="DI262" s="23" t="n">
        <x:v>0</x:v>
      </x:c>
      <x:c r="DJ262" s="23" t="n">
        <x:v>394.79085352506064</x:v>
      </x:c>
      <x:c r="DK262" s="23" t="n">
        <x:v>0</x:v>
      </x:c>
      <x:c r="DL262" s="23" t="n">
        <x:v>0</x:v>
      </x:c>
      <x:c r="DM262" s="23" t="n">
        <x:v>644.6634114583333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666.0879313151041</x:v>
      </x:c>
      <x:c r="DT262" s="23" t="n">
        <x:v>0</x:v>
      </x:c>
      <x:c r="DU262" s="23" t="n">
        <x:v>0</x:v>
      </x:c>
      <x:c r="DV262" s="23" t="n">
        <x:v>627.5862223307291</x:v>
      </x:c>
      <x:c r="DW262" s="23" t="n">
        <x:v>637.6081136067708</x:v>
      </x:c>
      <x:c r="DX262" s="23" t="n">
        <x:v>679.8433430989583</x:v>
      </x:c>
      <x:c r="DY262" s="23" t="n">
        <x:v>677.6752115885416</x:v>
      </x:c>
      <x:c r="DZ262" s="23" t="n">
        <x:v>653.5299072265625</x:v>
      </x:c>
      <x:c r="EA262" s="23" t="n">
        <x:v>663.118997565104</x:v>
      </x:c>
      <x:c r="EB262" s="23" t="n">
        <x:v>604.7932602083334</x:v>
      </x:c>
      <x:c r="EC262" s="23" t="n">
        <x:v>1384.3204752604165</x:v>
      </x:c>
      <x:c r="ED262" s="23" t="n">
        <x:v>1375.5103352864583</x:v>
      </x:c>
      <x:c r="EE262" s="23" t="n">
        <x:v>1384.3490804036458</x:v>
      </x:c>
      <x:c r="EF262" s="23" t="n">
        <x:v>1388.8654378255208</x:v>
      </x:c>
      <x:c r="EG262" s="23" t="n">
        <x:v>559.9210205078125</x:v>
      </x:c>
      <x:c r="EH262" s="23" t="n">
        <x:v>566.128173828125</x:v>
      </x:c>
      <x:c r="EI262" s="23" t="n">
        <x:v>1386.6016845703125</x:v>
      </x:c>
      <x:c r="EJ262" s="23" t="n">
        <x:v>1379.8095296223958</x:v>
      </x:c>
      <x:c r="EK262" s="23" t="n">
        <x:v>550.6632486979166</x:v>
      </x:c>
      <x:c r="EL262" s="23" t="n">
        <x:v>885.9980377965855</x:v>
      </x:c>
      <x:c r="EM262" s="23" t="n">
        <x:v>572.4039306640625</x:v>
      </x:c>
      <x:c r="EN262" s="23" t="n">
        <x:v>573.9194742838541</x:v>
      </x:c>
      <x:c r="EO262" s="23" t="n">
        <x:v>591.0979410807291</x:v>
      </x:c>
      <x:c r="EP262" s="23" t="n">
        <x:f>SUM(B262:EO262)</x:f>
        <x:v>62822.57644935216</x:v>
      </x:c>
      <x:c r="EQ262" s="23" t="n">
        <x:f>SUMPRODUCT(B262:EO262,{0.4549,0.4426,0.4651,0.4513,0.4062,0.379,0.414,0.4412,0.4301,0.4149,0.4176,0.4281,0.4221,0.4295,0.4436,0.4216,0.3822,0.3821,0.4532,0.4461,0.3866,0.4438,0.4836,0.4583,0.4588,0.4744,0.4704,0.437,0.4439,0.4709,0.4327,0.4177,0.4213,0.3938,0.6326,1.0015,1.0268,0.9612,0.9766,0.9872,0.9483,0.8892,0.8768,0.8847,0.8468,0.7586,0.9055,1.2015,1.2525,1.2065,1.1976,1.2002,1.1687,1.0966,1.0256,1.0141,1.0285,0.9833,0.96,0.9635,0.9176,0.8956,0.9324,0.9519,0.7588,0.4861,0.4797,0.5166,0.4715,0.4371,0.4061,0.3882,0.4225,0.4835,0.5007,0.4523,0.6068,0.8821,0.9073,0.8442,0.8406,0.8853,0.9397,0.9895,1.0348,1.0227,1.0138,1.1034,1.0335,0.8143,0.7348,0.7725,0.8513,0.919,0.9094,0.8794,0.9472,0.9801,0.9555,0.9813,0.9909,0.9955,1.0778,1.1205,1.1022,1.1246,1.1901,1.2562,1.2825,1.3055,1.3186,1.2844,1.2889,1.3244,1.2984,1.2765,1.2814,1.2752,1.3092,1.3441,1.2818,1.2407,1.2798,1.3157,1.1645,0.9197,0.8693,0.8837,0.9191,1.0179,0.8174,0.4215,0.3396,0.424,0.4559,0.376,0.357,0.4252,0.4459,0.4542,0.4561,0.4155,0.4195,0.4589})</x:f>
        <x:v>38796.03045739266</x:v>
      </x:c>
    </x:row>
    <x:row r="263" ht="14" customHeight="1">
      <x:c r="A263" s="3">
        <x:v>45950</x:v>
      </x:c>
      <x:c r="B263" s="23" t="n">
        <x:v>579.9704996744791</x:v>
      </x:c>
      <x:c r="C263" s="23" t="n">
        <x:v>1407.2395833333333</x:v>
      </x:c>
      <x:c r="D263" s="23" t="n">
        <x:v>572.9657389322916</x:v>
      </x:c>
      <x:c r="E263" s="23" t="n">
        <x:v>581.503173828125</x:v>
      </x:c>
      <x:c r="F263" s="23" t="n">
        <x:v>583.6280517578125</x:v>
      </x:c>
      <x:c r="G263" s="23" t="n">
        <x:v>584.71728515625</x:v>
      </x:c>
      <x:c r="H263" s="23" t="n">
        <x:v>575.0089111328125</x:v>
      </x:c>
      <x:c r="I263" s="23" t="n">
        <x:v>1405.1378987630208</x:v>
      </x:c>
      <x:c r="J263" s="23" t="n">
        <x:v>568.8370768229166</x:v>
      </x:c>
      <x:c r="K263" s="23" t="n">
        <x:v>581.3261311848958</x:v>
      </x:c>
      <x:c r="L263" s="23" t="n">
        <x:v>588.7580973307291</x:v>
      </x:c>
      <x:c r="M263" s="23" t="n">
        <x:v>932.6547346257701</x:v>
      </x:c>
      <x:c r="N263" s="23" t="n">
        <x:v>1428.8725179036458</x:v>
      </x:c>
      <x:c r="O263" s="23" t="n">
        <x:v>590.7300211588541</x:v>
      </x:c>
      <x:c r="P263" s="23" t="n">
        <x:v>583.121337890625</x:v>
      </x:c>
      <x:c r="Q263" s="23" t="n">
        <x:v>598.3103841145833</x:v>
      </x:c>
      <x:c r="R263" s="23" t="n">
        <x:v>600.0669352213541</x:v>
      </x:c>
      <x:c r="S263" s="23" t="n">
        <x:v>598.905029296875</x:v>
      </x:c>
      <x:c r="T263" s="23" t="n">
        <x:v>599.9509684244791</x:v>
      </x:c>
      <x:c r="U263" s="23" t="n">
        <x:v>600.5494384765625</x:v>
      </x:c>
      <x:c r="V263" s="23" t="n">
        <x:v>1428.5372314453125</x:v>
      </x:c>
      <x:c r="W263" s="23" t="n">
        <x:v>1430.4176025390625</x:v>
      </x:c>
      <x:c r="X263" s="23" t="n">
        <x:v>597.9881591796875</x:v>
      </x:c>
      <x:c r="Y263" s="23" t="n">
        <x:v>597.3916015625</x:v>
      </x:c>
      <x:c r="Z263" s="23" t="n">
        <x:v>596.8282063802083</x:v>
      </x:c>
      <x:c r="AA263" s="23" t="n">
        <x:v>600.2162272135416</x:v>
      </x:c>
      <x:c r="AB263" s="23" t="n">
        <x:v>603.1532389322916</x:v>
      </x:c>
      <x:c r="AC263" s="23" t="n">
        <x:v>605.3352864583333</x:v>
      </x:c>
      <x:c r="AD263" s="23" t="n">
        <x:v>604.005859375</x:v>
      </x:c>
      <x:c r="AE263" s="23" t="n">
        <x:v>605.7860107421875</x:v>
      </x:c>
      <x:c r="AF263" s="23" t="n">
        <x:v>606.5343017578125</x:v>
      </x:c>
      <x:c r="AG263" s="23" t="n">
        <x:v>601.5521647135416</x:v>
      </x:c>
      <x:c r="AH263" s="23" t="n">
        <x:v>599.9350992838541</x:v>
      </x:c>
      <x:c r="AI263" s="23" t="n">
        <x:v>1431.5583089192708</x:v>
      </x:c>
      <x:c r="AJ263" s="23" t="n">
        <x:v>636.7798676002639</x:v>
      </x:c>
      <x:c r="AK263" s="23" t="n">
        <x:v>7.828259347439598</x:v>
      </x:c>
      <x:c r="AL263" s="23" t="n">
        <x:v>4.9304837669972885</x:v>
      </x:c>
      <x:c r="AM263" s="23" t="n">
        <x:v>0</x:v>
      </x:c>
      <x:c r="AN263" s="23" t="n">
        <x:v>0</x:v>
      </x:c>
      <x:c r="AO263" s="23" t="n">
        <x:v>0</x:v>
      </x:c>
      <x:c r="AP263" s="23" t="n">
        <x:v>0</x:v>
      </x:c>
      <x:c r="AQ263" s="23" t="n">
        <x:v>0</x:v>
      </x:c>
      <x:c r="AR263" s="23" t="n">
        <x:v>533.1141924620531</x:v>
      </x:c>
      <x:c r="AS263" s="23" t="n">
        <x:v>514.1723596158441</x:v>
      </x:c>
      <x:c r="AT263" s="23" t="n">
        <x:v>455.3712756253984</x:v>
      </x:c>
      <x:c r="AU263" s="23" t="n">
        <x:v>379.50810315625176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0</x:v>
      </x:c>
      <x:c r="BP263" s="23" t="n">
        <x:v>568.3334624494734</x:v>
      </x:c>
      <x:c r="BQ263" s="23" t="n">
        <x:v>556.0798452296546</x:v>
      </x:c>
      <x:c r="BR263" s="23" t="n">
        <x:v>0</x:v>
      </x:c>
      <x:c r="BS263" s="23" t="n">
        <x:v>426.2587805183619</x:v>
      </x:c>
      <x:c r="BT263" s="23" t="n">
        <x:v>486.1867550947093</x:v>
      </x:c>
      <x:c r="BU263" s="23" t="n">
        <x:v>422.5772136896767</x:v>
      </x:c>
      <x:c r="BV263" s="23" t="n">
        <x:v>410.8035084931977</x:v>
      </x:c>
      <x:c r="BW263" s="23" t="n">
        <x:v>411.7993519164438</x:v>
      </x:c>
      <x:c r="BX263" s="23" t="n">
        <x:v>436.0226823613417</x:v>
      </x:c>
      <x:c r="BY263" s="23" t="n">
        <x:v>467.42918643522836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233.012679284162</x:v>
      </x:c>
      <x:c r="CN263" s="23" t="n">
        <x:v>714.5558379243449</x:v>
      </x:c>
      <x:c r="CO263" s="23" t="n">
        <x:v>303.205001641042</x:v>
      </x:c>
      <x:c r="CP263" s="23" t="n">
        <x:v>358.7017435303162</x:v>
      </x:c>
      <x:c r="CQ263" s="23" t="n">
        <x:v>403.8264500736193</x:v>
      </x:c>
      <x:c r="CR263" s="23" t="n">
        <x:v>455.98507938395835</x:v>
      </x:c>
      <x:c r="CS263" s="23" t="n">
        <x:v>513.6539132531516</x:v>
      </x:c>
      <x:c r="CT263" s="23" t="n">
        <x:v>578.430472798002</x:v>
      </x:c>
      <x:c r="CU263" s="23" t="n">
        <x:v>625.3527451491733</x:v>
      </x:c>
      <x:c r="CV263" s="23" t="n">
        <x:v>676.6150638104684</x:v>
      </x:c>
      <x:c r="CW263" s="23" t="n">
        <x:v>736.5390438319129</x:v>
      </x:c>
      <x:c r="CX263" s="23" t="n">
        <x:v>789.4090342605583</x:v>
      </x:c>
      <x:c r="CY263" s="23" t="n">
        <x:v>847.2500688798821</x:v>
      </x:c>
      <x:c r="CZ263" s="23" t="n">
        <x:v>900.5675233191112</x:v>
      </x:c>
      <x:c r="DA263" s="23" t="n">
        <x:v>943.6721532484507</x:v>
      </x:c>
      <x:c r="DB263" s="23" t="n">
        <x:v>979.1058668488846</x:v>
      </x:c>
      <x:c r="DC263" s="23" t="n">
        <x:v>1014.3884122422884</x:v>
      </x:c>
      <x:c r="DD263" s="23" t="n">
        <x:v>856.7793895937759</x:v>
      </x:c>
      <x:c r="DE263" s="23" t="n">
        <x:v>0</x:v>
      </x:c>
      <x:c r="DF263" s="23" t="n">
        <x:v>0</x:v>
      </x:c>
      <x:c r="DG263" s="23" t="n">
        <x:v>130.5933157867195</x:v>
      </x:c>
      <x:c r="DH263" s="23" t="n">
        <x:v>0</x:v>
      </x:c>
      <x:c r="DI263" s="23" t="n">
        <x:v>0</x:v>
      </x:c>
      <x:c r="DJ263" s="23" t="n">
        <x:v>657.580810546875</x:v>
      </x:c>
      <x:c r="DK263" s="23" t="n">
        <x:v>653.5635172526041</x:v>
      </x:c>
      <x:c r="DL263" s="23" t="n">
        <x:v>662.133544921875</x:v>
      </x:c>
      <x:c r="DM263" s="23" t="n">
        <x:v>672.1085611979166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666.0390625</x:v>
      </x:c>
      <x:c r="DW263" s="23" t="n">
        <x:v>671.077392578125</x:v>
      </x:c>
      <x:c r="DX263" s="23" t="n">
        <x:v>698.0047936760544</x:v>
      </x:c>
      <x:c r="DY263" s="23" t="n">
        <x:v>675.7860107421875</x:v>
      </x:c>
      <x:c r="DZ263" s="23" t="n">
        <x:v>669.8169352213541</x:v>
      </x:c>
      <x:c r="EA263" s="23" t="n">
        <x:v>750.9335123697916</x:v>
      </x:c>
      <x:c r="EB263" s="23" t="n">
        <x:v>626.42578125</x:v>
      </x:c>
      <x:c r="EC263" s="23" t="n">
        <x:v>547.8721923828125</x:v>
      </x:c>
      <x:c r="ED263" s="23" t="n">
        <x:v>1379.1373291015625</x:v>
      </x:c>
      <x:c r="EE263" s="23" t="n">
        <x:v>1389.5708821614583</x:v>
      </x:c>
      <x:c r="EF263" s="23" t="n">
        <x:v>1375.4750162760415</x:v>
      </x:c>
      <x:c r="EG263" s="23" t="n">
        <x:v>1378.8694661458333</x:v>
      </x:c>
      <x:c r="EH263" s="23" t="n">
        <x:v>1384.1033528645833</x:v>
      </x:c>
      <x:c r="EI263" s="23" t="n">
        <x:v>840.4524525905027</x:v>
      </x:c>
      <x:c r="EJ263" s="23" t="n">
        <x:v>558.6744384765625</x:v>
      </x:c>
      <x:c r="EK263" s="23" t="n">
        <x:v>567.920166015625</x:v>
      </x:c>
      <x:c r="EL263" s="23" t="n">
        <x:v>581.7135009765625</x:v>
      </x:c>
      <x:c r="EM263" s="23" t="n">
        <x:v>1408.1768391927083</x:v>
      </x:c>
      <x:c r="EN263" s="23" t="n">
        <x:v>554.8581136067708</x:v>
      </x:c>
      <x:c r="EO263" s="23" t="n">
        <x:v>555.4575602213541</x:v>
      </x:c>
      <x:c r="EP263" s="23" t="n">
        <x:f>SUM(B263:EO263)</x:f>
        <x:v>64176.08346842335</x:v>
      </x:c>
      <x:c r="EQ263" s="23" t="n">
        <x:f>SUMPRODUCT(B263:EO263,{0.4379,0.4239,0.4372,0.4298,0.4357,0.4495,0.4273,0.4117,0.418,0.4207,0.4286,0.4437,0.4529,0.4447,0.4499,0.5004,0.4766,0.4161,0.4677,0.4574,0.3803,0.4163,0.4813,0.4821,0.4184,0.4157,0.476,0.4831,0.4657,0.4452,0.4123,0.4132,0.4324,0.4399,0.6344,0.9314,1.0133,0.9913,0.97,0.944,0.9341,0.9176,0.8599,0.8746,0.8872,0.7545,0.9303,1.2868,1.2221,1.1479,1.2231,1.1853,1.1356,1.1291,1.1015,1.0764,1.0705,1.07,1.0628,1.0314,0.9673,0.9219,0.9335,0.9659,0.8104,0.5488,0.4859,0.4905,0.4713,0.47,0.4517,0.4201,0.4234,0.4466,0.4287,0.3606,0.5356,0.8566,0.9185,0.9406,1.0139,0.9959,0.961,0.9388,0.8911,0.9128,0.9993,1.0179,0.8666,0.6867,0.7328,0.7854,0.7704,0.8243,0.867,0.8819,0.9394,0.9787,0.9708,0.958,1.0001,1.0607,1.053,1.0801,1.1249,1.0793,1.1355,1.2911,1.3294,1.2637,1.1897,1.1929,1.2305,1.2666,1.2946,1.2723,1.2456,1.3026,1.3159,1.2693,1.2751,1.2972,1.3147,1.3198,1.1525,0.9214,0.9216,0.9762,0.9837,0.9715,0.7149,0.3604,0.3284,0.398,0.4046,0.3983,0.4049,0.4262,0.4445,0.4306,0.4057,0.4203,0.4346,0.4261})</x:f>
        <x:v>39797.16280814167</x:v>
      </x:c>
    </x:row>
    <x:row r="264" ht="14" customHeight="1">
      <x:c r="A264" s="3">
        <x:v>45951</x:v>
      </x:c>
      <x:c r="B264" s="23" t="n">
        <x:v>566.5574137369791</x:v>
      </x:c>
      <x:c r="C264" s="23" t="n">
        <x:v>1412.6663818359375</x:v>
      </x:c>
      <x:c r="D264" s="23" t="n">
        <x:v>574.5135091145833</x:v>
      </x:c>
      <x:c r="E264" s="23" t="n">
        <x:v>576.2466634114583</x:v>
      </x:c>
      <x:c r="F264" s="23" t="n">
        <x:v>582.9625244140625</x:v>
      </x:c>
      <x:c r="G264" s="23" t="n">
        <x:v>583.5930989583333</x:v>
      </x:c>
      <x:c r="H264" s="23" t="n">
        <x:v>593.6811930338541</x:v>
      </x:c>
      <x:c r="I264" s="23" t="n">
        <x:v>590.7070719401041</x:v>
      </x:c>
      <x:c r="J264" s="23" t="n">
        <x:v>581.5893961588541</x:v>
      </x:c>
      <x:c r="K264" s="23" t="n">
        <x:v>583.9781901041666</x:v>
      </x:c>
      <x:c r="L264" s="23" t="n">
        <x:v>587.0668131510416</x:v>
      </x:c>
      <x:c r="M264" s="23" t="n">
        <x:v>1422.5292154947915</x:v>
      </x:c>
      <x:c r="N264" s="23" t="n">
        <x:v>1428.2389729817708</x:v>
      </x:c>
      <x:c r="O264" s="23" t="n">
        <x:v>593.8111572265625</x:v>
      </x:c>
      <x:c r="P264" s="23" t="n">
        <x:v>598.8828938802083</x:v>
      </x:c>
      <x:c r="Q264" s="23" t="n">
        <x:v>601.2119954427083</x:v>
      </x:c>
      <x:c r="R264" s="23" t="n">
        <x:v>597.8291422526041</x:v>
      </x:c>
      <x:c r="S264" s="23" t="n">
        <x:v>590.8714599609375</x:v>
      </x:c>
      <x:c r="T264" s="23" t="n">
        <x:v>599.1007893880208</x:v>
      </x:c>
      <x:c r="U264" s="23" t="n">
        <x:v>1433.7503255208333</x:v>
      </x:c>
      <x:c r="V264" s="23" t="n">
        <x:v>596.115234375</x:v>
      </x:c>
      <x:c r="W264" s="23" t="n">
        <x:v>1071.516107682291</x:v>
      </x:c>
      <x:c r="X264" s="23" t="n">
        <x:v>600.2772623697916</x:v>
      </x:c>
      <x:c r="Y264" s="23" t="n">
        <x:v>602.6024983723958</x:v>
      </x:c>
      <x:c r="Z264" s="23" t="n">
        <x:v>600.6288248697916</x:v>
      </x:c>
      <x:c r="AA264" s="23" t="n">
        <x:v>1430.496622721354</x:v>
      </x:c>
      <x:c r="AB264" s="23" t="n">
        <x:v>602.262939453125</x:v>
      </x:c>
      <x:c r="AC264" s="23" t="n">
        <x:v>603.4620768229166</x:v>
      </x:c>
      <x:c r="AD264" s="23" t="n">
        <x:v>603.1483561197916</x:v>
      </x:c>
      <x:c r="AE264" s="23" t="n">
        <x:v>606.8131917317708</x:v>
      </x:c>
      <x:c r="AF264" s="23" t="n">
        <x:v>600.5952962239583</x:v>
      </x:c>
      <x:c r="AG264" s="23" t="n">
        <x:v>601.6521809895833</x:v>
      </x:c>
      <x:c r="AH264" s="23" t="n">
        <x:v>605.1025797526041</x:v>
      </x:c>
      <x:c r="AI264" s="23" t="n">
        <x:v>1437.2916666666665</x:v>
      </x:c>
      <x:c r="AJ264" s="23" t="n">
        <x:v>645.4447131051359</x:v>
      </x:c>
      <x:c r="AK264" s="23" t="n">
        <x:v>0</x:v>
      </x:c>
      <x:c r="AL264" s="23" t="n">
        <x:v>5.339744806845525</x:v>
      </x:c>
      <x:c r="AM264" s="23" t="n">
        <x:v>0</x:v>
      </x:c>
      <x:c r="AN264" s="23" t="n">
        <x:v>0</x:v>
      </x:c>
      <x:c r="AO264" s="23" t="n">
        <x:v>296.3779475343288</x:v>
      </x:c>
      <x:c r="AP264" s="23" t="n">
        <x:v>0</x:v>
      </x:c>
      <x:c r="AQ264" s="23" t="n">
        <x:v>0</x:v>
      </x:c>
      <x:c r="AR264" s="23" t="n">
        <x:v>569.7332732507605</x:v>
      </x:c>
      <x:c r="AS264" s="23" t="n">
        <x:v>519.337320804049</x:v>
      </x:c>
      <x:c r="AT264" s="23" t="n">
        <x:v>481.13846793208177</x:v>
      </x:c>
      <x:c r="AU264" s="23" t="n">
        <x:v>400.5574078891164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602.5436109885368</x:v>
      </x:c>
      <x:c r="BP264" s="23" t="n">
        <x:v>579.8117964129997</x:v>
      </x:c>
      <x:c r="BQ264" s="23" t="n">
        <x:v>0</x:v>
      </x:c>
      <x:c r="BR264" s="23" t="n">
        <x:v>204.98574589474356</x:v>
      </x:c>
      <x:c r="BS264" s="23" t="n">
        <x:v>538.9991969087444</x:v>
      </x:c>
      <x:c r="BT264" s="23" t="n">
        <x:v>485.1861144456516</x:v>
      </x:c>
      <x:c r="BU264" s="23" t="n">
        <x:v>441.6765505525069</x:v>
      </x:c>
      <x:c r="BV264" s="23" t="n">
        <x:v>431.3443042593429</x:v>
      </x:c>
      <x:c r="BW264" s="23" t="n">
        <x:v>442.4316277195418</x:v>
      </x:c>
      <x:c r="BX264" s="23" t="n">
        <x:v>433.8195227677694</x:v>
      </x:c>
      <x:c r="BY264" s="23" t="n">
        <x:v>465.00198608142784</x:v>
      </x:c>
      <x:c r="BZ264" s="23" t="n">
        <x:v>0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228.46135123129307</x:v>
      </x:c>
      <x:c r="CN264" s="23" t="n">
        <x:v>692.6194995805587</x:v>
      </x:c>
      <x:c r="CO264" s="23" t="n">
        <x:v>305.4226627503805</x:v>
      </x:c>
      <x:c r="CP264" s="23" t="n">
        <x:v>352.7945327909316</x:v>
      </x:c>
      <x:c r="CQ264" s="23" t="n">
        <x:v>401.6331656646103</x:v>
      </x:c>
      <x:c r="CR264" s="23" t="n">
        <x:v>454.7664213630387</x:v>
      </x:c>
      <x:c r="CS264" s="23" t="n">
        <x:v>508.768711531495</x:v>
      </x:c>
      <x:c r="CT264" s="23" t="n">
        <x:v>571.8306078759626</x:v>
      </x:c>
      <x:c r="CU264" s="23" t="n">
        <x:v>629.8757951632341</x:v>
      </x:c>
      <x:c r="CV264" s="23" t="n">
        <x:v>687.1339610727974</x:v>
      </x:c>
      <x:c r="CW264" s="23" t="n">
        <x:v>745.3848301258428</x:v>
      </x:c>
      <x:c r="CX264" s="23" t="n">
        <x:v>797.8723984820103</x:v>
      </x:c>
      <x:c r="CY264" s="23" t="n">
        <x:v>852.0426594777127</x:v>
      </x:c>
      <x:c r="CZ264" s="23" t="n">
        <x:v>896.2472692767919</x:v>
      </x:c>
      <x:c r="DA264" s="23" t="n">
        <x:v>920.4914746511138</x:v>
      </x:c>
      <x:c r="DB264" s="23" t="n">
        <x:v>967.0127606355991</x:v>
      </x:c>
      <x:c r="DC264" s="23" t="n">
        <x:v>1018.6470849171358</x:v>
      </x:c>
      <x:c r="DD264" s="23" t="n">
        <x:v>862.4315529411475</x:v>
      </x:c>
      <x:c r="DE264" s="23" t="n">
        <x:v>667.205078125</x:v>
      </x:c>
      <x:c r="DF264" s="23" t="n">
        <x:v>94.5518573726024</x:v>
      </x:c>
      <x:c r="DG264" s="23" t="n">
        <x:v>0</x:v>
      </x:c>
      <x:c r="DH264" s="23" t="n">
        <x:v>0</x:v>
      </x:c>
      <x:c r="DI264" s="23" t="n">
        <x:v>0</x:v>
      </x:c>
      <x:c r="DJ264" s="23" t="n">
        <x:v>667.0564371744791</x:v>
      </x:c>
      <x:c r="DK264" s="23" t="n">
        <x:v>0</x:v>
      </x:c>
      <x:c r="DL264" s="23" t="n">
        <x:v>0</x:v>
      </x:c>
      <x:c r="DM264" s="23" t="n">
        <x:v>0</x:v>
      </x:c>
      <x:c r="DN264" s="23" t="n">
        <x:v>655.802978515625</x:v>
      </x:c>
      <x:c r="DO264" s="23" t="n">
        <x:v>0</x:v>
      </x:c>
      <x:c r="DP264" s="23" t="n">
        <x:v>0</x:v>
      </x:c>
      <x:c r="DQ264" s="23" t="n">
        <x:v>0</x:v>
      </x:c>
      <x:c r="DR264" s="23" t="n">
        <x:v>671.8568115234375</x:v>
      </x:c>
      <x:c r="DS264" s="23" t="n">
        <x:v>0</x:v>
      </x:c>
      <x:c r="DT264" s="23" t="n">
        <x:v>0</x:v>
      </x:c>
      <x:c r="DU264" s="23" t="n">
        <x:v>0</x:v>
      </x:c>
      <x:c r="DV264" s="23" t="n">
        <x:v>659.8160807291666</x:v>
      </x:c>
      <x:c r="DW264" s="23" t="n">
        <x:v>681.6724177919239</x:v>
      </x:c>
      <x:c r="DX264" s="23" t="n">
        <x:v>680.9037679036458</x:v>
      </x:c>
      <x:c r="DY264" s="23" t="n">
        <x:v>681.776123046875</x:v>
      </x:c>
      <x:c r="DZ264" s="23" t="n">
        <x:v>680.1182861328125</x:v>
      </x:c>
      <x:c r="EA264" s="23" t="n">
        <x:v>720.094970703125</x:v>
      </x:c>
      <x:c r="EB264" s="23" t="n">
        <x:v>632.2176106770833</x:v>
      </x:c>
      <x:c r="EC264" s="23" t="n">
        <x:v>548.8577067057291</x:v>
      </x:c>
      <x:c r="ED264" s="23" t="n">
        <x:v>1378.7518310546875</x:v>
      </x:c>
      <x:c r="EE264" s="23" t="n">
        <x:v>564.242919921875</x:v>
      </x:c>
      <x:c r="EF264" s="23" t="n">
        <x:v>556.2399495442708</x:v>
      </x:c>
      <x:c r="EG264" s="23" t="n">
        <x:v>1380.0033772786458</x:v>
      </x:c>
      <x:c r="EH264" s="23" t="n">
        <x:v>1386.4689127604165</x:v>
      </x:c>
      <x:c r="EI264" s="23" t="n">
        <x:v>1399.25048828125</x:v>
      </x:c>
      <x:c r="EJ264" s="23" t="n">
        <x:v>852.3758056158367</x:v>
      </x:c>
      <x:c r="EK264" s="23" t="n">
        <x:v>1391.0489095052083</x:v>
      </x:c>
      <x:c r="EL264" s="23" t="n">
        <x:v>564.0365397135416</x:v>
      </x:c>
      <x:c r="EM264" s="23" t="n">
        <x:v>1401.4436848958333</x:v>
      </x:c>
      <x:c r="EN264" s="23" t="n">
        <x:v>568.2412109375</x:v>
      </x:c>
      <x:c r="EO264" s="23" t="n">
        <x:v>576.9161783854166</x:v>
      </x:c>
      <x:c r="EP264" s="23" t="n">
        <x:f>SUM(B264:EO264)</x:f>
        <x:v>65159.86905134008</x:v>
      </x:c>
      <x:c r="EQ264" s="23" t="n">
        <x:f>SUMPRODUCT(B264:EO264,{0.4124,0.4099,0.4312,0.467,0.4358,0.3639,0.3649,0.404,0.4345,0.4417,0.4298,0.4071,0.3889,0.4139,0.4491,0.4268,0.4458,0.4943,0.4557,0.4049,0.4067,0.4485,0.449,0.4153,0.4277,0.4425,0.4413,0.4543,0.4763,0.4654,0.4021,0.4512,0.5408,0.4712,0.6387,0.9775,0.9966,0.9474,0.9691,0.9435,0.9338,0.9298,0.8613,0.8921,0.9347,0.774,0.896,1.2425,1.2431,1.1598,1.1795,1.2057,1.1742,1.1038,1.0673,1.0651,1.0742,1.0696,1.0397,1.0167,1.0384,1.0127,0.9629,0.9772,0.8233,0.5606,0.5095,0.5458,0.5674,0.5916,0.5663,0.5171,0.5261,0.519,0.4685,0.4575,0.6445,0.9081,0.9462,0.9184,0.9277,0.9215,0.9227,0.9561,1.0122,1.0262,1.0221,1.0594,0.9437,0.7352,0.7144,0.7713,0.8035,0.824,0.8712,0.9193,0.9074,0.9084,0.9535,1.005,1.0485,1.0647,1.0387,1.0196,1.043,1.1139,1.2308,1.3281,1.3169,1.2657,1.243,1.2608,1.2686,1.2572,1.2602,1.2581,1.2665,1.3135,1.2897,1.2279,1.2672,1.2743,1.2522,1.3113,1.1835,0.9386,0.9337,0.9501,0.9223,0.9709,0.7772,0.43,0.3723,0.3945,0.3729,0.4026,0.4363,0.4299,0.3934,0.3884,0.4238,0.445,0.4069,0.3559})</x:f>
        <x:v>40813.98712285869</x:v>
      </x:c>
    </x:row>
    <x:row r="265" ht="14" customHeight="1">
      <x:c r="A265" s="3">
        <x:v>45952</x:v>
      </x:c>
      <x:c r="B265" s="23" t="n">
        <x:v>575.4477132161458</x:v>
      </x:c>
      <x:c r="C265" s="23" t="n">
        <x:v>1405.544718424479</x:v>
      </x:c>
      <x:c r="D265" s="23" t="n">
        <x:v>1394.7188720703125</x:v>
      </x:c>
      <x:c r="E265" s="23" t="n">
        <x:v>1398.8389485677083</x:v>
      </x:c>
      <x:c r="F265" s="23" t="n">
        <x:v>584.2367757161458</x:v>
      </x:c>
      <x:c r="G265" s="23" t="n">
        <x:v>584.1166585286458</x:v>
      </x:c>
      <x:c r="H265" s="23" t="n">
        <x:v>586.2738037109375</x:v>
      </x:c>
      <x:c r="I265" s="23" t="n">
        <x:v>581.6316324869791</x:v>
      </x:c>
      <x:c r="J265" s="23" t="n">
        <x:v>1400.269816080729</x:v>
      </x:c>
      <x:c r="K265" s="23" t="n">
        <x:v>585.2036539713541</x:v>
      </x:c>
      <x:c r="L265" s="23" t="n">
        <x:v>590.1719563802083</x:v>
      </x:c>
      <x:c r="M265" s="23" t="n">
        <x:v>1420.372802734375</x:v>
      </x:c>
      <x:c r="N265" s="23" t="n">
        <x:v>592.0006917317708</x:v>
      </x:c>
      <x:c r="O265" s="23" t="n">
        <x:v>593.68994140625</x:v>
      </x:c>
      <x:c r="P265" s="23" t="n">
        <x:v>599.4854736328125</x:v>
      </x:c>
      <x:c r="Q265" s="23" t="n">
        <x:v>602.0522867838541</x:v>
      </x:c>
      <x:c r="R265" s="23" t="n">
        <x:v>602.130126953125</x:v>
      </x:c>
      <x:c r="S265" s="23" t="n">
        <x:v>603.1282552083333</x:v>
      </x:c>
      <x:c r="T265" s="23" t="n">
        <x:v>602.7301432291666</x:v>
      </x:c>
      <x:c r="U265" s="23" t="n">
        <x:v>597.9873860677083</x:v>
      </x:c>
      <x:c r="V265" s="23" t="n">
        <x:v>1432.54736328125</x:v>
      </x:c>
      <x:c r="W265" s="23" t="n">
        <x:v>602.1373291015625</x:v>
      </x:c>
      <x:c r="X265" s="23" t="n">
        <x:v>601.8529052734375</x:v>
      </x:c>
      <x:c r="Y265" s="23" t="n">
        <x:v>601.2537434895833</x:v>
      </x:c>
      <x:c r="Z265" s="23" t="n">
        <x:v>602.8474527994791</x:v>
      </x:c>
      <x:c r="AA265" s="23" t="n">
        <x:v>602.2897542317708</x:v>
      </x:c>
      <x:c r="AB265" s="23" t="n">
        <x:v>600.9464111328125</x:v>
      </x:c>
      <x:c r="AC265" s="23" t="n">
        <x:v>606.6593017578125</x:v>
      </x:c>
      <x:c r="AD265" s="23" t="n">
        <x:v>604.618896484375</x:v>
      </x:c>
      <x:c r="AE265" s="23" t="n">
        <x:v>603.9378255208333</x:v>
      </x:c>
      <x:c r="AF265" s="23" t="n">
        <x:v>1026.761472945602</x:v>
      </x:c>
      <x:c r="AG265" s="23" t="n">
        <x:v>602.0572916666666</x:v>
      </x:c>
      <x:c r="AH265" s="23" t="n">
        <x:v>619.7325032552083</x:v>
      </x:c>
      <x:c r="AI265" s="23" t="n">
        <x:v>601.6407063802083</x:v>
      </x:c>
      <x:c r="AJ265" s="23" t="n">
        <x:v>643.0544995828559</x:v>
      </x:c>
      <x:c r="AK265" s="23" t="n">
        <x:v>11.339789250598187</x:v>
      </x:c>
      <x:c r="AL265" s="23" t="n">
        <x:v>4.800055802336222</x:v>
      </x:c>
      <x:c r="AM265" s="23" t="n">
        <x:v>0</x:v>
      </x:c>
      <x:c r="AN265" s="23" t="n">
        <x:v>0</x:v>
      </x:c>
      <x:c r="AO265" s="23" t="n">
        <x:v>0</x:v>
      </x:c>
      <x:c r="AP265" s="23" t="n">
        <x:v>0</x:v>
      </x:c>
      <x:c r="AQ265" s="23" t="n">
        <x:v>0</x:v>
      </x:c>
      <x:c r="AR265" s="23" t="n">
        <x:v>0</x:v>
      </x:c>
      <x:c r="AS265" s="23" t="n">
        <x:v>529.4991862965358</x:v>
      </x:c>
      <x:c r="AT265" s="23" t="n">
        <x:v>478.43878932633424</x:v>
      </x:c>
      <x:c r="AU265" s="23" t="n">
        <x:v>1220.678688577812</x:v>
      </x:c>
      <x:c r="AV265" s="23" t="n">
        <x:v>415.65636752296615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61.54226595321703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630.9600160135011</x:v>
      </x:c>
      <x:c r="BP265" s="23" t="n">
        <x:v>608.7666993169778</x:v>
      </x:c>
      <x:c r="BQ265" s="23" t="n">
        <x:v>3.265372667813229</x:v>
      </x:c>
      <x:c r="BR265" s="23" t="n">
        <x:v>575.1227420977214</x:v>
      </x:c>
      <x:c r="BS265" s="23" t="n">
        <x:v>557.1736011908106</x:v>
      </x:c>
      <x:c r="BT265" s="23" t="n">
        <x:v>514.0896689200674</x:v>
      </x:c>
      <x:c r="BU265" s="23" t="n">
        <x:v>454.207788717983</x:v>
      </x:c>
      <x:c r="BV265" s="23" t="n">
        <x:v>454.49510570507266</x:v>
      </x:c>
      <x:c r="BW265" s="23" t="n">
        <x:v>461.7531083302101</x:v>
      </x:c>
      <x:c r="BX265" s="23" t="n">
        <x:v>471.99257302212993</x:v>
      </x:c>
      <x:c r="BY265" s="23" t="n">
        <x:v>486.58529895812745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236.1395657251178</x:v>
      </x:c>
      <x:c r="CN265" s="23" t="n">
        <x:v>825.6650692297591</x:v>
      </x:c>
      <x:c r="CO265" s="23" t="n">
        <x:v>305.0168725102547</x:v>
      </x:c>
      <x:c r="CP265" s="23" t="n">
        <x:v>351.0511132735669</x:v>
      </x:c>
      <x:c r="CQ265" s="23" t="n">
        <x:v>403.25137924094525</x:v>
      </x:c>
      <x:c r="CR265" s="23" t="n">
        <x:v>461.0615159010916</x:v>
      </x:c>
      <x:c r="CS265" s="23" t="n">
        <x:v>507.4003561333783</x:v>
      </x:c>
      <x:c r="CT265" s="23" t="n">
        <x:v>569.1878058587068</x:v>
      </x:c>
      <x:c r="CU265" s="23" t="n">
        <x:v>633.189122083531</x:v>
      </x:c>
      <x:c r="CV265" s="23" t="n">
        <x:v>674.2891098364939</x:v>
      </x:c>
      <x:c r="CW265" s="23" t="n">
        <x:v>723.6830254549919</x:v>
      </x:c>
      <x:c r="CX265" s="23" t="n">
        <x:v>777.988622368374</x:v>
      </x:c>
      <x:c r="CY265" s="23" t="n">
        <x:v>851.2442992871715</x:v>
      </x:c>
      <x:c r="CZ265" s="23" t="n">
        <x:v>900.3091526488877</x:v>
      </x:c>
      <x:c r="DA265" s="23" t="n">
        <x:v>947.548643677733</x:v>
      </x:c>
      <x:c r="DB265" s="23" t="n">
        <x:v>974.7982570475751</x:v>
      </x:c>
      <x:c r="DC265" s="23" t="n">
        <x:v>1034.133807176143</x:v>
      </x:c>
      <x:c r="DD265" s="23" t="n">
        <x:v>875.9702006983522</x:v>
      </x:c>
      <x:c r="DE265" s="23" t="n">
        <x:v>0</x:v>
      </x:c>
      <x:c r="DF265" s="23" t="n">
        <x:v>0</x:v>
      </x:c>
      <x:c r="DG265" s="23" t="n">
        <x:v>0</x:v>
      </x:c>
      <x:c r="DH265" s="23" t="n">
        <x:v>0</x:v>
      </x:c>
      <x:c r="DI265" s="23" t="n">
        <x:v>634.0119222005208</x:v>
      </x:c>
      <x:c r="DJ265" s="23" t="n">
        <x:v>660.4368489583333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658.1595253791285</x:v>
      </x:c>
      <x:c r="DR265" s="23" t="n">
        <x:v>669.333740234375</x:v>
      </x:c>
      <x:c r="DS265" s="23" t="n">
        <x:v>0</x:v>
      </x:c>
      <x:c r="DT265" s="23" t="n">
        <x:v>0</x:v>
      </x:c>
      <x:c r="DU265" s="23" t="n">
        <x:v>0</x:v>
      </x:c>
      <x:c r="DV265" s="23" t="n">
        <x:v>660.6811799739583</x:v>
      </x:c>
      <x:c r="DW265" s="23" t="n">
        <x:v>677.1752754227751</x:v>
      </x:c>
      <x:c r="DX265" s="23" t="n">
        <x:v>714.3663645190328</x:v>
      </x:c>
      <x:c r="DY265" s="23" t="n">
        <x:v>699.8118489583333</x:v>
      </x:c>
      <x:c r="DZ265" s="23" t="n">
        <x:v>680.66796875</x:v>
      </x:c>
      <x:c r="EA265" s="23" t="n">
        <x:v>719.3307291666666</x:v>
      </x:c>
      <x:c r="EB265" s="23" t="n">
        <x:v>624.950927734375</x:v>
      </x:c>
      <x:c r="EC265" s="23" t="n">
        <x:v>546.9468180338541</x:v>
      </x:c>
      <x:c r="ED265" s="23" t="n">
        <x:v>1375.9062093098958</x:v>
      </x:c>
      <x:c r="EE265" s="23" t="n">
        <x:v>559.8304443359375</x:v>
      </x:c>
      <x:c r="EF265" s="23" t="n">
        <x:v>559.8663736979166</x:v>
      </x:c>
      <x:c r="EG265" s="23" t="n">
        <x:v>1371.0251057942708</x:v>
      </x:c>
      <x:c r="EH265" s="23" t="n">
        <x:v>1367.3719889322915</x:v>
      </x:c>
      <x:c r="EI265" s="23" t="n">
        <x:v>1382.1634928385415</x:v>
      </x:c>
      <x:c r="EJ265" s="23" t="n">
        <x:v>1382.205607096354</x:v>
      </x:c>
      <x:c r="EK265" s="23" t="n">
        <x:v>844.6675129726075</x:v>
      </x:c>
      <x:c r="EL265" s="23" t="n">
        <x:v>582.0761311848958</x:v>
      </x:c>
      <x:c r="EM265" s="23" t="n">
        <x:v>1394.120849609375</x:v>
      </x:c>
      <x:c r="EN265" s="23" t="n">
        <x:v>556.9232177734375</x:v>
      </x:c>
      <x:c r="EO265" s="23" t="n">
        <x:v>574.205322265625</x:v>
      </x:c>
      <x:c r="EP265" s="23" t="n">
        <x:f>SUM(B265:EO265)</x:f>
        <x:v>66140.8995547693</x:v>
      </x:c>
      <x:c r="EQ265" s="23" t="n">
        <x:f>SUMPRODUCT(B265:EO265,{0.3855,0.4253,0.4266,0.4121,0.4328,0.4715,0.4606,0.4289,0.4336,0.4953,0.4804,0.4054,0.4205,0.4561,0.4554,0.436,0.4335,0.4363,0.4063,0.4014,0.4307,0.4456,0.4582,0.4703,0.4654,0.4552,0.4435,0.4249,0.4206,0.4303,0.4333,0.4367,0.4116,0.3653,0.6027,0.9826,1.0275,0.9834,0.9935,0.9548,0.9344,0.9416,0.9159,0.9249,0.9154,0.8012,0.9545,1.2901,1.3169,1.2097,1.1648,1.1977,1.207,1.1683,1.1454,1.1395,1.1283,1.0926,1.0506,1.0225,1.0117,0.9879,0.9732,0.9874,0.8153,0.5525,0.5269,0.5251,0.4766,0.5223,0.5285,0.4704,0.4658,0.478,0.4629,0.4494,0.6146,0.8621,0.8962,0.8601,0.8677,0.8936,0.9216,0.9364,0.9316,0.9425,0.9767,0.9876,0.8756,0.7054,0.6642,0.7181,0.7835,0.8095,0.8415,0.8881,0.9134,0.9468,0.9878,1.0064,1.0397,1.0785,1.0752,1.0821,1.0943,1.0687,1.1309,1.2655,1.3154,1.2931,1.2636,1.273,1.2651,1.2386,1.2499,1.2638,1.2687,1.2857,1.2814,1.2643,1.275,1.2652,1.2671,1.3348,1.2134,0.9666,0.9306,0.9524,0.9535,0.9795,0.7841,0.4479,0.3376,0.3618,0.3873,0.381,0.3982,0.4215,0.3843,0.394,0.4468,0.4306,0.418,0.4304})</x:f>
        <x:v>41156.23194660724</x:v>
      </x:c>
    </x:row>
    <x:row r="266" ht="14" customHeight="1">
      <x:c r="A266" s="3">
        <x:v>45953</x:v>
      </x:c>
      <x:c r="B266" s="23" t="n">
        <x:v>1396.4130045572915</x:v>
      </x:c>
      <x:c r="C266" s="23" t="n">
        <x:v>1394.62109375</x:v>
      </x:c>
      <x:c r="D266" s="23" t="n">
        <x:v>1407.5381673177083</x:v>
      </x:c>
      <x:c r="E266" s="23" t="n">
        <x:v>576.6702880859375</x:v>
      </x:c>
      <x:c r="F266" s="23" t="n">
        <x:v>582.4971923828125</x:v>
      </x:c>
      <x:c r="G266" s="23" t="n">
        <x:v>585.4478352864583</x:v>
      </x:c>
      <x:c r="H266" s="23" t="n">
        <x:v>591.7067464192708</x:v>
      </x:c>
      <x:c r="I266" s="23" t="n">
        <x:v>591.8955891927083</x:v>
      </x:c>
      <x:c r="J266" s="23" t="n">
        <x:v>1423.4987386067708</x:v>
      </x:c>
      <x:c r="K266" s="23" t="n">
        <x:v>587.0416259765625</x:v>
      </x:c>
      <x:c r="L266" s="23" t="n">
        <x:v>587.8231608072916</x:v>
      </x:c>
      <x:c r="M266" s="23" t="n">
        <x:v>1422.6241048177083</x:v>
      </x:c>
      <x:c r="N266" s="23" t="n">
        <x:v>590.152587890625</x:v>
      </x:c>
      <x:c r="O266" s="23" t="n">
        <x:v>597.0439453125</x:v>
      </x:c>
      <x:c r="P266" s="23" t="n">
        <x:v>598.5612386067708</x:v>
      </x:c>
      <x:c r="Q266" s="23" t="n">
        <x:v>594.6617431640625</x:v>
      </x:c>
      <x:c r="R266" s="23" t="n">
        <x:v>599.5672607421875</x:v>
      </x:c>
      <x:c r="S266" s="23" t="n">
        <x:v>598.5451253255208</x:v>
      </x:c>
      <x:c r="T266" s="23" t="n">
        <x:v>595.3214925130208</x:v>
      </x:c>
      <x:c r="U266" s="23" t="n">
        <x:v>593.5176188151041</x:v>
      </x:c>
      <x:c r="V266" s="23" t="n">
        <x:v>593.9107666015625</x:v>
      </x:c>
      <x:c r="W266" s="23" t="n">
        <x:v>599.7020263671875</x:v>
      </x:c>
      <x:c r="X266" s="23" t="n">
        <x:v>602.5664876302083</x:v>
      </x:c>
      <x:c r="Y266" s="23" t="n">
        <x:v>1432.8709716796875</x:v>
      </x:c>
      <x:c r="Z266" s="23" t="n">
        <x:v>596.8343505859375</x:v>
      </x:c>
      <x:c r="AA266" s="23" t="n">
        <x:v>602.2950846354166</x:v>
      </x:c>
      <x:c r="AB266" s="23" t="n">
        <x:v>603.5992838541666</x:v>
      </x:c>
      <x:c r="AC266" s="23" t="n">
        <x:v>603.8365071614583</x:v>
      </x:c>
      <x:c r="AD266" s="23" t="n">
        <x:v>603.2448323567708</x:v>
      </x:c>
      <x:c r="AE266" s="23" t="n">
        <x:v>604.8295084635416</x:v>
      </x:c>
      <x:c r="AF266" s="23" t="n">
        <x:v>600.3749186197916</x:v>
      </x:c>
      <x:c r="AG266" s="23" t="n">
        <x:v>598.3433024088541</x:v>
      </x:c>
      <x:c r="AH266" s="23" t="n">
        <x:v>609.5521647135416</x:v>
      </x:c>
      <x:c r="AI266" s="23" t="n">
        <x:v>1000.9230092520262</x:v>
      </x:c>
      <x:c r="AJ266" s="23" t="n">
        <x:v>637.5195463616208</x:v>
      </x:c>
      <x:c r="AK266" s="23" t="n">
        <x:v>0</x:v>
      </x:c>
      <x:c r="AL266" s="23" t="n">
        <x:v>2.483125817102215</x:v>
      </x:c>
      <x:c r="AM266" s="23" t="n">
        <x:v>0</x:v>
      </x:c>
      <x:c r="AN266" s="23" t="n">
        <x:v>0</x:v>
      </x:c>
      <x:c r="AO266" s="23" t="n">
        <x:v>0</x:v>
      </x:c>
      <x:c r="AP266" s="23" t="n">
        <x:v>0</x:v>
      </x:c>
      <x:c r="AQ266" s="23" t="n">
        <x:v>643.4119434345034</x:v>
      </x:c>
      <x:c r="AR266" s="23" t="n">
        <x:v>590.0266628448821</x:v>
      </x:c>
      <x:c r="AS266" s="23" t="n">
        <x:v>550.9764080098646</x:v>
      </x:c>
      <x:c r="AT266" s="23" t="n">
        <x:v>497.84087997180205</x:v>
      </x:c>
      <x:c r="AU266" s="23" t="n">
        <x:v>403.35541818751665</x:v>
      </x:c>
      <x:c r="AV266" s="23" t="n">
        <x:v>276.43881138058134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15.40502598620272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633.066980774018</x:v>
      </x:c>
      <x:c r="BP266" s="23" t="n">
        <x:v>605.1187402738369</x:v>
      </x:c>
      <x:c r="BQ266" s="23" t="n">
        <x:v>53.66949887645781</x:v>
      </x:c>
      <x:c r="BR266" s="23" t="n">
        <x:v>594.263985300365</x:v>
      </x:c>
      <x:c r="BS266" s="23" t="n">
        <x:v>583.9683077386486</x:v>
      </x:c>
      <x:c r="BT266" s="23" t="n">
        <x:v>538.6174779016776</x:v>
      </x:c>
      <x:c r="BU266" s="23" t="n">
        <x:v>488.5799979551663</x:v>
      </x:c>
      <x:c r="BV266" s="23" t="n">
        <x:v>464.577904657736</x:v>
      </x:c>
      <x:c r="BW266" s="23" t="n">
        <x:v>471.60328266515626</x:v>
      </x:c>
      <x:c r="BX266" s="23" t="n">
        <x:v>484.36980780799024</x:v>
      </x:c>
      <x:c r="BY266" s="23" t="n">
        <x:v>507.9791436434534</x:v>
      </x:c>
      <x:c r="BZ266" s="23" t="n">
        <x:v>0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206.87020198786405</x:v>
      </x:c>
      <x:c r="CN266" s="23" t="n">
        <x:v>654.850678012782</x:v>
      </x:c>
      <x:c r="CO266" s="23" t="n">
        <x:v>297.4725313152403</x:v>
      </x:c>
      <x:c r="CP266" s="23" t="n">
        <x:v>337.7423519948644</x:v>
      </x:c>
      <x:c r="CQ266" s="23" t="n">
        <x:v>394.4866427007288</x:v>
      </x:c>
      <x:c r="CR266" s="23" t="n">
        <x:v>452.2051371806158</x:v>
      </x:c>
      <x:c r="CS266" s="23" t="n">
        <x:v>515.870354328619</x:v>
      </x:c>
      <x:c r="CT266" s="23" t="n">
        <x:v>579.7505487611126</x:v>
      </x:c>
      <x:c r="CU266" s="23" t="n">
        <x:v>635.8688106200475</x:v>
      </x:c>
      <x:c r="CV266" s="23" t="n">
        <x:v>688.6840650695844</x:v>
      </x:c>
      <x:c r="CW266" s="23" t="n">
        <x:v>748.4013957650559</x:v>
      </x:c>
      <x:c r="CX266" s="23" t="n">
        <x:v>801.0608326710337</x:v>
      </x:c>
      <x:c r="CY266" s="23" t="n">
        <x:v>843.956790467671</x:v>
      </x:c>
      <x:c r="CZ266" s="23" t="n">
        <x:v>898.9085047322235</x:v>
      </x:c>
      <x:c r="DA266" s="23" t="n">
        <x:v>944.8665591853032</x:v>
      </x:c>
      <x:c r="DB266" s="23" t="n">
        <x:v>993.056816302834</x:v>
      </x:c>
      <x:c r="DC266" s="23" t="n">
        <x:v>1028.520251268351</x:v>
      </x:c>
      <x:c r="DD266" s="23" t="n">
        <x:v>858.9381525840619</x:v>
      </x:c>
      <x:c r="DE266" s="23" t="n">
        <x:v>0</x:v>
      </x:c>
      <x:c r="DF266" s="23" t="n">
        <x:v>0</x:v>
      </x:c>
      <x:c r="DG266" s="23" t="n">
        <x:v>0</x:v>
      </x:c>
      <x:c r="DH266" s="23" t="n">
        <x:v>0</x:v>
      </x:c>
      <x:c r="DI266" s="23" t="n">
        <x:v>667.1587727864583</x:v>
      </x:c>
      <x:c r="DJ266" s="23" t="n">
        <x:v>123.95016669356785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685.0062662760416</x:v>
      </x:c>
      <x:c r="DP266" s="23" t="n">
        <x:v>0</x:v>
      </x:c>
      <x:c r="DQ266" s="23" t="n">
        <x:v>0</x:v>
      </x:c>
      <x:c r="DR266" s="23" t="n">
        <x:v>666.1753336588541</x:v>
      </x:c>
      <x:c r="DS266" s="23" t="n">
        <x:v>655.8865559895833</x:v>
      </x:c>
      <x:c r="DT266" s="23" t="n">
        <x:v>0</x:v>
      </x:c>
      <x:c r="DU266" s="23" t="n">
        <x:v>0</x:v>
      </x:c>
      <x:c r="DV266" s="23" t="n">
        <x:v>681.2411702473958</x:v>
      </x:c>
      <x:c r="DW266" s="23" t="n">
        <x:v>669.4720458984375</x:v>
      </x:c>
      <x:c r="DX266" s="23" t="n">
        <x:v>673.9065348307291</x:v>
      </x:c>
      <x:c r="DY266" s="23" t="n">
        <x:v>674.6024576822916</x:v>
      </x:c>
      <x:c r="DZ266" s="23" t="n">
        <x:v>678.13325213397</x:v>
      </x:c>
      <x:c r="EA266" s="23" t="n">
        <x:v>745.851806640625</x:v>
      </x:c>
      <x:c r="EB266" s="23" t="n">
        <x:v>635.9962158203125</x:v>
      </x:c>
      <x:c r="EC266" s="23" t="n">
        <x:v>1371.7493489583333</x:v>
      </x:c>
      <x:c r="ED266" s="23" t="n">
        <x:v>1282.3907470703125</x:v>
      </x:c>
      <x:c r="EE266" s="23" t="n">
        <x:v>1324.4397786458333</x:v>
      </x:c>
      <x:c r="EF266" s="23" t="n">
        <x:v>833.3477647770383</x:v>
      </x:c>
      <x:c r="EG266" s="23" t="n">
        <x:v>548.3350016276041</x:v>
      </x:c>
      <x:c r="EH266" s="23" t="n">
        <x:v>554.6336263020833</x:v>
      </x:c>
      <x:c r="EI266" s="23" t="n">
        <x:v>563.0282796223958</x:v>
      </x:c>
      <x:c r="EJ266" s="23" t="n">
        <x:v>1381.0201822916665</x:v>
      </x:c>
      <x:c r="EK266" s="23" t="n">
        <x:v>1383.8653971354165</x:v>
      </x:c>
      <x:c r="EL266" s="23" t="n">
        <x:v>572.5190836588541</x:v>
      </x:c>
      <x:c r="EM266" s="23" t="n">
        <x:v>567.4034016927083</x:v>
      </x:c>
      <x:c r="EN266" s="23" t="n">
        <x:v>515.453857421875</x:v>
      </x:c>
      <x:c r="EO266" s="23" t="n">
        <x:v>1270.1351725260415</x:v>
      </x:c>
      <x:c r="EP266" s="23" t="n">
        <x:f>SUM(B266:EO266)</x:f>
        <x:v>66218.51756882548</x:v>
      </x:c>
      <x:c r="EQ266" s="23" t="n">
        <x:f>SUMPRODUCT(B266:EO266,{0.4151,0.4137,0.4254,0.4021,0.3726,0.3637,0.3788,0.4139,0.448,0.4539,0.4424,0.4394,0.4607,0.4658,0.4498,0.4417,0.4108,0.3829,0.4212,0.4536,0.4574,0.4725,0.456,0.4265,0.4547,0.4867,0.4708,0.4167,0.4357,0.4951,0.4541,0.4127,0.3951,0.3697,0.6096,0.9842,1.0465,1.0014,1.0099,1.02,0.9791,0.9098,0.8839,0.8767,0.8382,0.78,0.9445,1.2441,1.3145,1.2341,1.1634,1.1831,1.188,1.1475,1.1259,1.0893,1.0315,0.9887,0.9544,0.9256,0.9041,0.8577,0.837,0.8976,0.7677,0.4915,0.4082,0.4419,0.4679,0.4475,0.4424,0.4776,0.5172,0.5297,0.4951,0.4486,0.5926,0.8465,0.9142,0.9279,0.946,0.8904,0.8718,0.9245,0.9719,0.9987,1.0222,1.0419,0.93,0.7392,0.6786,0.7335,0.8071,0.8136,0.8058,0.8317,0.8845,0.9025,0.9018,0.9584,1.0229,1.0602,1.0828,1.1041,1.1136,1.0996,1.1393,1.2332,1.2998,1.3254,1.3016,1.2324,1.2138,1.2651,1.3057,1.2621,1.2012,1.2592,1.3061,1.2884,1.2736,1.2394,1.2276,1.287,1.1612,0.9093,0.8644,0.8896,0.9302,1.0234,0.7853,0.3792,0.3875,0.471,0.4271,0.3953,0.3886,0.4085,0.4565,0.4408,0.3824,0.393,0.4034,0.3715})</x:f>
        <x:v>41093.5170825144</x:v>
      </x:c>
    </x:row>
    <x:row r="267" ht="14" customHeight="1">
      <x:c r="A267" s="3">
        <x:v>45954</x:v>
      </x:c>
      <x:c r="B267" s="23" t="n">
        <x:v>402.67399088541663</x:v>
      </x:c>
      <x:c r="C267" s="23" t="n">
        <x:v>404.8496907552083</x:v>
      </x:c>
      <x:c r="D267" s="23" t="n">
        <x:v>405.63004557291663</x:v>
      </x:c>
      <x:c r="E267" s="23" t="n">
        <x:v>1246.594523111979</x:v>
      </x:c>
      <x:c r="F267" s="23" t="n">
        <x:v>415.9052327473958</x:v>
      </x:c>
      <x:c r="G267" s="23" t="n">
        <x:v>416.93094889322913</x:v>
      </x:c>
      <x:c r="H267" s="23" t="n">
        <x:v>418.53214518229163</x:v>
      </x:c>
      <x:c r="I267" s="23" t="n">
        <x:v>416.6513671875</x:v>
      </x:c>
      <x:c r="J267" s="23" t="n">
        <x:v>419.8319091796875</x:v>
      </x:c>
      <x:c r="K267" s="23" t="n">
        <x:v>429.0050048828125</x:v>
      </x:c>
      <x:c r="L267" s="23" t="n">
        <x:v>429.71940104166663</x:v>
      </x:c>
      <x:c r="M267" s="23" t="n">
        <x:v>423.5507405598958</x:v>
      </x:c>
      <x:c r="N267" s="23" t="n">
        <x:v>1266.237345377604</x:v>
      </x:c>
      <x:c r="O267" s="23" t="n">
        <x:v>434.50028483072913</x:v>
      </x:c>
      <x:c r="P267" s="23" t="n">
        <x:v>428.64628092447913</x:v>
      </x:c>
      <x:c r="Q267" s="23" t="n">
        <x:v>430.2698974609375</x:v>
      </x:c>
      <x:c r="R267" s="23" t="n">
        <x:v>436.6788330078125</x:v>
      </x:c>
      <x:c r="S267" s="23" t="n">
        <x:v>433.9521077473958</x:v>
      </x:c>
      <x:c r="T267" s="23" t="n">
        <x:v>570.6855583418601</x:v>
      </x:c>
      <x:c r="U267" s="23" t="n">
        <x:v>426.1337890625</x:v>
      </x:c>
      <x:c r="V267" s="23" t="n">
        <x:v>435.96183268229163</x:v>
      </x:c>
      <x:c r="W267" s="23" t="n">
        <x:v>440.10819498697913</x:v>
      </x:c>
      <x:c r="X267" s="23" t="n">
        <x:v>439.75040690104163</x:v>
      </x:c>
      <x:c r="Y267" s="23" t="n">
        <x:v>432.38688151041663</x:v>
      </x:c>
      <x:c r="Z267" s="23" t="n">
        <x:v>433.75931803385413</x:v>
      </x:c>
      <x:c r="AA267" s="23" t="n">
        <x:v>436.94193522135413</x:v>
      </x:c>
      <x:c r="AB267" s="23" t="n">
        <x:v>436.23661295572913</x:v>
      </x:c>
      <x:c r="AC267" s="23" t="n">
        <x:v>0</x:v>
      </x:c>
      <x:c r="AD267" s="23" t="n">
        <x:v>0</x:v>
      </x:c>
      <x:c r="AE267" s="23" t="n">
        <x:v>441.45694986979163</x:v>
      </x:c>
      <x:c r="AF267" s="23" t="n">
        <x:v>438.86210123697913</x:v>
      </x:c>
      <x:c r="AG267" s="23" t="n">
        <x:v>0</x:v>
      </x:c>
      <x:c r="AH267" s="23" t="n">
        <x:v>439.342041015625</x:v>
      </x:c>
      <x:c r="AI267" s="23" t="n">
        <x:v>438.5535481770833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0</x:v>
      </x:c>
      <x:c r="CS267" s="23" t="n">
        <x:v>74.950417954664</x:v>
      </x:c>
      <x:c r="CT267" s="23" t="n">
        <x:v>137.4203839003375</x:v>
      </x:c>
      <x:c r="CU267" s="23" t="n">
        <x:v>164.52011788867804</x:v>
      </x:c>
      <x:c r="CV267" s="23" t="n">
        <x:v>211.0881652859288</x:v>
      </x:c>
      <x:c r="CW267" s="23" t="n">
        <x:v>307.6480389790701</x:v>
      </x:c>
      <x:c r="CX267" s="23" t="n">
        <x:v>329.45748340783683</x:v>
      </x:c>
      <x:c r="CY267" s="23" t="n">
        <x:v>298.8345225519122</x:v>
      </x:c>
      <x:c r="CZ267" s="23" t="n">
        <x:v>350.6168412066564</x:v>
      </x:c>
      <x:c r="DA267" s="23" t="n">
        <x:v>398.994414389254</x:v>
      </x:c>
      <x:c r="DB267" s="23" t="n">
        <x:v>436.29502285648937</x:v>
      </x:c>
      <x:c r="DC267" s="23" t="n">
        <x:v>443.99677232910864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450.24755859375</x:v>
      </x:c>
      <x:c r="DX267" s="23" t="n">
        <x:v>448.30810546875</x:v>
      </x:c>
      <x:c r="DY267" s="23" t="n">
        <x:v>448.92529296875</x:v>
      </x:c>
      <x:c r="DZ267" s="23" t="n">
        <x:v>472.5249837239583</x:v>
      </x:c>
      <x:c r="EA267" s="23" t="n">
        <x:v>453.1440091275408</x:v>
      </x:c>
      <x:c r="EB267" s="23" t="n">
        <x:v>444.35404459635413</x:v>
      </x:c>
      <x:c r="EC267" s="23" t="n">
        <x:v>1225.5777587890625</x:v>
      </x:c>
      <x:c r="ED267" s="23" t="n">
        <x:v>1222.5367431640625</x:v>
      </x:c>
      <x:c r="EE267" s="23" t="n">
        <x:v>389.3402913411458</x:v>
      </x:c>
      <x:c r="EF267" s="23" t="n">
        <x:v>402.08658854166663</x:v>
      </x:c>
      <x:c r="EG267" s="23" t="n">
        <x:v>395.18583170572913</x:v>
      </x:c>
      <x:c r="EH267" s="23" t="n">
        <x:v>674.629218227559</x:v>
      </x:c>
      <x:c r="EI267" s="23" t="n">
        <x:v>1230.6937255859375</x:v>
      </x:c>
      <x:c r="EJ267" s="23" t="n">
        <x:v>1234.8338623046875</x:v>
      </x:c>
      <x:c r="EK267" s="23" t="n">
        <x:v>1240.849650065104</x:v>
      </x:c>
      <x:c r="EL267" s="23" t="n">
        <x:v>412.37455240885413</x:v>
      </x:c>
      <x:c r="EM267" s="23" t="n">
        <x:v>1237.5346272786458</x:v>
      </x:c>
      <x:c r="EN267" s="23" t="n">
        <x:v>404.37255859375</x:v>
      </x:c>
      <x:c r="EO267" s="23" t="n">
        <x:v>415.3953450520833</x:v>
      </x:c>
      <x:c r="EP267" s="23" t="n">
        <x:f>SUM(B267:EO267)</x:f>
        <x:v>31427.075847631786</x:v>
      </x:c>
      <x:c r="EQ267" s="23" t="n">
        <x:f>SUMPRODUCT(B267:EO267,{0.3303,0.3161,0.3324,0.3468,0.3215,0.2876,0.3121,0.3281,0.3265,0.3614,0.3762,0.3506,0.3293,0.3563,0.3971,0.3722,0.3279,0.3174,0.3455,0.3313,0.2998,0.3481,0.3614,0.3251,0.337,0.3284,0.3034,0.3449,0.3925,0.4013,0.3825,0.3587,0.3345,0.3323,0.5137,0.7592,0.7666,0.7587,0.8064,0.7581,0.7121,0.7173,0.7193,0.7115,0.6765,0.6236,0.7471,0.9482,0.9225,0.8898,0.9065,0.8182,0.8067,0.8751,0.833,0.7753,0.7593,0.7387,0.7009,0.6588,0.6299,0.59,0.5722,0.6111,0.4936,0.2895,0.2888,0.2894,0.2152,0.2046,0.2449,0.2614,0.1997,0.1671,0.1662,0.1355,0.3199,0.6024,0.5897,0.5352,0.5786,0.6105,0.6407,0.6904,0.7443,0.733,0.7373,0.8675,0.7258,0.4077,0.4331,0.5439,0.5667,0.5887,0.5966,0.5985,0.6362,0.6858,0.7364,0.7917,0.8002,0.7628,0.742,0.7744,0.798,0.745,0.8736,1.1205,1.1457,1.113,1.1252,1.1141,1.0881,1.087,1.1302,1.1234,1.077,1.0914,1.1013,1.0812,1.0782,1.0988,1.1352,1.1463,0.9836,0.7666,0.7842,0.8364,0.8271,0.8163,0.5908,0.2859,0.2903,0.3448,0.3165,0.3258,0.3377,0.3227,0.3004,0.293,0.2981,0.299,0.3182,0.3463})</x:f>
        <x:v>12815.651779347316</x:v>
      </x:c>
    </x:row>
    <x:row r="268" ht="14" customHeight="1">
      <x:c r="A268" s="3">
        <x:v>45955</x:v>
      </x:c>
      <x:c r="B268" s="23" t="n">
        <x:v>409.98221842447913</x:v>
      </x:c>
      <x:c r="C268" s="23" t="n">
        <x:v>408.4285481770833</x:v>
      </x:c>
      <x:c r="D268" s="23" t="n">
        <x:v>411.67041015625</x:v>
      </x:c>
      <x:c r="E268" s="23" t="n">
        <x:v>418.93359375</x:v>
      </x:c>
      <x:c r="F268" s="23" t="n">
        <x:v>419.07218424479163</x:v>
      </x:c>
      <x:c r="G268" s="23" t="n">
        <x:v>1212.8577270986896</x:v>
      </x:c>
      <x:c r="H268" s="23" t="n">
        <x:v>422.5113525390625</x:v>
      </x:c>
      <x:c r="I268" s="23" t="n">
        <x:v>417.5845947265625</x:v>
      </x:c>
      <x:c r="J268" s="23" t="n">
        <x:v>417.27286783854163</x:v>
      </x:c>
      <x:c r="K268" s="23" t="n">
        <x:v>428.87845865885413</x:v>
      </x:c>
      <x:c r="L268" s="23" t="n">
        <x:v>428.0481770833333</x:v>
      </x:c>
      <x:c r="M268" s="23" t="n">
        <x:v>423.71036783854163</x:v>
      </x:c>
      <x:c r="N268" s="23" t="n">
        <x:v>435.45157877604163</x:v>
      </x:c>
      <x:c r="O268" s="23" t="n">
        <x:v>440.955078125</x:v>
      </x:c>
      <x:c r="P268" s="23" t="n">
        <x:v>432.93119303385413</x:v>
      </x:c>
      <x:c r="Q268" s="23" t="n">
        <x:v>436.38895670572913</x:v>
      </x:c>
      <x:c r="R268" s="23" t="n">
        <x:v>445.9454345703125</x:v>
      </x:c>
      <x:c r="S268" s="23" t="n">
        <x:v>446.5237630208333</x:v>
      </x:c>
      <x:c r="T268" s="23" t="n">
        <x:v>434.0205078125</x:v>
      </x:c>
      <x:c r="U268" s="23" t="n">
        <x:v>431.6064453125</x:v>
      </x:c>
      <x:c r="V268" s="23" t="n">
        <x:v>1273.22900390625</x:v>
      </x:c>
      <x:c r="W268" s="23" t="n">
        <x:v>448.8358968098958</x:v>
      </x:c>
      <x:c r="X268" s="23" t="n">
        <x:v>0</x:v>
      </x:c>
      <x:c r="Y268" s="23" t="n">
        <x:v>436.3428955078125</x:v>
      </x:c>
      <x:c r="Z268" s="23" t="n">
        <x:v>435.07291666666663</x:v>
      </x:c>
      <x:c r="AA268" s="23" t="n">
        <x:v>443.3870442708333</x:v>
      </x:c>
      <x:c r="AB268" s="23" t="n">
        <x:v>446.747314453125</x:v>
      </x:c>
      <x:c r="AC268" s="23" t="n">
        <x:v>444.7550862630208</x:v>
      </x:c>
      <x:c r="AD268" s="23" t="n">
        <x:v>447.1173095703125</x:v>
      </x:c>
      <x:c r="AE268" s="23" t="n">
        <x:v>450.62980143229163</x:v>
      </x:c>
      <x:c r="AF268" s="23" t="n">
        <x:v>443.9125569661458</x:v>
      </x:c>
      <x:c r="AG268" s="23" t="n">
        <x:v>447.46879069010413</x:v>
      </x:c>
      <x:c r="AH268" s="23" t="n">
        <x:v>0</x:v>
      </x:c>
      <x:c r="AI268" s="23" t="n">
        <x:v>465.40616861979163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18.747857677664946</x:v>
      </x:c>
      <x:c r="CS268" s="23" t="n">
        <x:v>84.51457619282101</x:v>
      </x:c>
      <x:c r="CT268" s="23" t="n">
        <x:v>138.70244117285247</x:v>
      </x:c>
      <x:c r="CU268" s="23" t="n">
        <x:v>187.0036339954071</x:v>
      </x:c>
      <x:c r="CV268" s="23" t="n">
        <x:v>249.1852552711994</x:v>
      </x:c>
      <x:c r="CW268" s="23" t="n">
        <x:v>315.28439824585837</x:v>
      </x:c>
      <x:c r="CX268" s="23" t="n">
        <x:v>341.7760985804422</x:v>
      </x:c>
      <x:c r="CY268" s="23" t="n">
        <x:v>306.463013686087</x:v>
      </x:c>
      <x:c r="CZ268" s="23" t="n">
        <x:v>350.39388728608503</x:v>
      </x:c>
      <x:c r="DA268" s="23" t="n">
        <x:v>397.4433797221418</x:v>
      </x:c>
      <x:c r="DB268" s="23" t="n">
        <x:v>434.7905175704466</x:v>
      </x:c>
      <x:c r="DC268" s="23" t="n">
        <x:v>441.0997425686667</x:v>
      </x:c>
      <x:c r="DD268" s="23" t="n">
        <x:v>15.65245668329597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459.82230631510413</x:v>
      </x:c>
      <x:c r="DX268" s="23" t="n">
        <x:v>459.82462565104163</x:v>
      </x:c>
      <x:c r="DY268" s="23" t="n">
        <x:v>457.57560221354163</x:v>
      </x:c>
      <x:c r="DZ268" s="23" t="n">
        <x:v>460.640869140625</x:v>
      </x:c>
      <x:c r="EA268" s="23" t="n">
        <x:v>449.5125452734378</x:v>
      </x:c>
      <x:c r="EB268" s="23" t="n">
        <x:v>448.995849609375</x:v>
      </x:c>
      <x:c r="EC268" s="23" t="n">
        <x:v>1238.4300130208333</x:v>
      </x:c>
      <x:c r="ED268" s="23" t="n">
        <x:v>1230.248779296875</x:v>
      </x:c>
      <x:c r="EE268" s="23" t="n">
        <x:v>396.7465413411458</x:v>
      </x:c>
      <x:c r="EF268" s="23" t="n">
        <x:v>399.397705078125</x:v>
      </x:c>
      <x:c r="EG268" s="23" t="n">
        <x:v>397.6661376953125</x:v>
      </x:c>
      <x:c r="EH268" s="23" t="n">
        <x:v>1229.0758870442708</x:v>
      </x:c>
      <x:c r="EI268" s="23" t="n">
        <x:v>1240.7616373697915</x:v>
      </x:c>
      <x:c r="EJ268" s="23" t="n">
        <x:v>1239.38720703125</x:v>
      </x:c>
      <x:c r="EK268" s="23" t="n">
        <x:v>1243.3419189453125</x:v>
      </x:c>
      <x:c r="EL268" s="23" t="n">
        <x:v>555.3487474038709</x:v>
      </x:c>
      <x:c r="EM268" s="23" t="n">
        <x:v>1242.9498291015625</x:v>
      </x:c>
      <x:c r="EN268" s="23" t="n">
        <x:v>437.10404459635413</x:v>
      </x:c>
      <x:c r="EO268" s="23" t="n">
        <x:v>0</x:v>
      </x:c>
      <x:c r="EP268" s="23" t="n">
        <x:f>SUM(B268:EO268)</x:f>
        <x:v>32373.565747830013</x:v>
      </x:c>
      <x:c r="EQ268" s="23" t="n">
        <x:f>SUMPRODUCT(B268:EO268,{0.3496,0.3638,0.3809,0.3595,0.3626,0.3817,0.3502,0.3573,0.3904,0.3445,0.3099,0.3207,0.3268,0.3642,0.4026,0.3685,0.3655,0.3942,0.3539,0.3302,0.365,0.4023,0.3647,0.3087,0.36,0.3817,0.3411,0.347,0.3856,0.3996,0.3532,0.3343,0.3464,0.3388,0.4885,0.7243,0.7681,0.7347,0.7363,0.7665,0.7635,0.7241,0.7042,0.7059,0.6828,0.6173,0.7318,0.9483,0.9436,0.8474,0.7928,0.7842,0.774,0.7752,0.8298,0.8126,0.744,0.7681,0.7763,0.7329,0.7138,0.6902,0.677,0.695,0.5223,0.2473,0.202,0.2131,0.1794,0.1778,0.1861,0.1923,0.2107,0.2141,0.1934,0.194,0.3526,0.5811,0.6311,0.5979,0.587,0.6119,0.6369,0.6678,0.7371,0.7746,0.7775,0.7888,0.674,0.4993,0.4889,0.5206,0.5335,0.585,0.6064,0.5947,0.6237,0.679,0.7186,0.7113,0.6831,0.6848,0.7484,0.7919,0.7793,0.7694,0.8895,1.0691,1.1015,1.0867,1.0945,1.0944,1.0935,1.1075,1.137,1.13,1.0907,1.0808,1.1115,1.1482,1.1459,1.1465,1.172,1.1713,0.9797,0.735,0.7594,0.8044,0.7834,0.8158,0.6329,0.2984,0.1958,0.2565,0.3223,0.3033,0.2667,0.2716,0.3142,0.3292,0.3072,0.3062,0.3667,0.4387})</x:f>
        <x:v>13187.22471079678</x:v>
      </x:c>
    </x:row>
    <x:row r="269" ht="14" customHeight="1">
      <x:c r="A269" s="3">
        <x:v>45956</x:v>
      </x:c>
      <x:c r="B269" s="23" t="n">
        <x:v>564.2793782552083</x:v>
      </x:c>
      <x:c r="C269" s="23" t="n">
        <x:v>554.9318033854166</x:v>
      </x:c>
      <x:c r="D269" s="23" t="n">
        <x:v>572.0616048177083</x:v>
      </x:c>
      <x:c r="E269" s="23" t="n">
        <x:v>578.4747314453125</x:v>
      </x:c>
      <x:c r="F269" s="23" t="n">
        <x:v>563.8981119791666</x:v>
      </x:c>
      <x:c r="G269" s="23" t="n">
        <x:v>1404.9657389322915</x:v>
      </x:c>
      <x:c r="H269" s="23" t="n">
        <x:v>583.9278157552083</x:v>
      </x:c>
      <x:c r="I269" s="23" t="n">
        <x:v>585.2829996744791</x:v>
      </x:c>
      <x:c r="J269" s="23" t="n">
        <x:v>1400.7870686848958</x:v>
      </x:c>
      <x:c r="K269" s="23" t="n">
        <x:v>584.5084228515625</x:v>
      </x:c>
      <x:c r="L269" s="23" t="n">
        <x:v>595.2821451822916</x:v>
      </x:c>
      <x:c r="M269" s="23" t="n">
        <x:v>1414.3571370442708</x:v>
      </x:c>
      <x:c r="N269" s="23" t="n">
        <x:v>1408.947062174479</x:v>
      </x:c>
      <x:c r="O269" s="23" t="n">
        <x:v>583.2246500651041</x:v>
      </x:c>
      <x:c r="P269" s="23" t="n">
        <x:v>593.5491129557291</x:v>
      </x:c>
      <x:c r="Q269" s="23" t="n">
        <x:v>594.5665690104166</x:v>
      </x:c>
      <x:c r="R269" s="23" t="n">
        <x:v>593.6182047526041</x:v>
      </x:c>
      <x:c r="S269" s="23" t="n">
        <x:v>1419.7194010416665</x:v>
      </x:c>
      <x:c r="T269" s="23" t="n">
        <x:v>592.190673828125</x:v>
      </x:c>
      <x:c r="U269" s="23" t="n">
        <x:v>591.2980550130208</x:v>
      </x:c>
      <x:c r="V269" s="23" t="n">
        <x:v>1012.1714613948376</x:v>
      </x:c>
      <x:c r="W269" s="23" t="n">
        <x:v>596.0337320963541</x:v>
      </x:c>
      <x:c r="X269" s="23" t="n">
        <x:v>602.484130859375</x:v>
      </x:c>
      <x:c r="Y269" s="23" t="n">
        <x:v>597.1162516276041</x:v>
      </x:c>
      <x:c r="Z269" s="23" t="n">
        <x:v>591.1949055989583</x:v>
      </x:c>
      <x:c r="AA269" s="23" t="n">
        <x:v>600.2364908854166</x:v>
      </x:c>
      <x:c r="AB269" s="23" t="n">
        <x:v>602.9662272135416</x:v>
      </x:c>
      <x:c r="AC269" s="23" t="n">
        <x:v>597.729736328125</x:v>
      </x:c>
      <x:c r="AD269" s="23" t="n">
        <x:v>595.9333902994791</x:v>
      </x:c>
      <x:c r="AE269" s="23" t="n">
        <x:v>604.1824951171875</x:v>
      </x:c>
      <x:c r="AF269" s="23" t="n">
        <x:v>609.3858235677083</x:v>
      </x:c>
      <x:c r="AG269" s="23" t="n">
        <x:v>601.5986735026041</x:v>
      </x:c>
      <x:c r="AH269" s="23" t="n">
        <x:v>595.1807047526041</x:v>
      </x:c>
      <x:c r="AI269" s="23" t="n">
        <x:v>1425.5936279296875</x:v>
      </x:c>
      <x:c r="AJ269" s="23" t="n">
        <x:v>594.0119259111601</x:v>
      </x:c>
      <x:c r="AK269" s="23" t="n">
        <x:v>0</x:v>
      </x:c>
      <x:c r="AL269" s="23" t="n">
        <x:v>10.753477434120668</x:v>
      </x:c>
      <x:c r="AM269" s="23" t="n">
        <x:v>1.0850365651484328</x:v>
      </x:c>
      <x:c r="AN269" s="23" t="n">
        <x:v>0</x:v>
      </x:c>
      <x:c r="AO269" s="23" t="n">
        <x:v>0</x:v>
      </x:c>
      <x:c r="AP269" s="23" t="n">
        <x:v>0</x:v>
      </x:c>
      <x:c r="AQ269" s="23" t="n">
        <x:v>648.900941310287</x:v>
      </x:c>
      <x:c r="AR269" s="23" t="n">
        <x:v>596.6928337463614</x:v>
      </x:c>
      <x:c r="AS269" s="23" t="n">
        <x:v>544.1735750050327</x:v>
      </x:c>
      <x:c r="AT269" s="23" t="n">
        <x:v>471.7278977069139</x:v>
      </x:c>
      <x:c r="AU269" s="23" t="n">
        <x:v>371.5299444280298</x:v>
      </x:c>
      <x:c r="AV269" s="23" t="n">
        <x:v>365.84086071904795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608.9481306071708</x:v>
      </x:c>
      <x:c r="BP269" s="23" t="n">
        <x:v>576.7124769991851</x:v>
      </x:c>
      <x:c r="BQ269" s="23" t="n">
        <x:v>33.41701294125535</x:v>
      </x:c>
      <x:c r="BR269" s="23" t="n">
        <x:v>557.2431435009014</x:v>
      </x:c>
      <x:c r="BS269" s="23" t="n">
        <x:v>544.6940866640327</x:v>
      </x:c>
      <x:c r="BT269" s="23" t="n">
        <x:v>518.8976180891168</x:v>
      </x:c>
      <x:c r="BU269" s="23" t="n">
        <x:v>489.9559045535258</x:v>
      </x:c>
      <x:c r="BV269" s="23" t="n">
        <x:v>493.1137337047745</x:v>
      </x:c>
      <x:c r="BW269" s="23" t="n">
        <x:v>486.18018386230926</x:v>
      </x:c>
      <x:c r="BX269" s="23" t="n">
        <x:v>483.6390405334902</x:v>
      </x:c>
      <x:c r="BY269" s="23" t="n">
        <x:v>524.664272758055</x:v>
      </x:c>
      <x:c r="BZ269" s="23" t="n">
        <x:v>0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230.99474296460085</x:v>
      </x:c>
      <x:c r="CN269" s="23" t="n">
        <x:v>907.0928829321798</x:v>
      </x:c>
      <x:c r="CO269" s="23" t="n">
        <x:v>320.0560743527127</x:v>
      </x:c>
      <x:c r="CP269" s="23" t="n">
        <x:v>363.58019888324844</x:v>
      </x:c>
      <x:c r="CQ269" s="23" t="n">
        <x:v>423.38418059726865</x:v>
      </x:c>
      <x:c r="CR269" s="23" t="n">
        <x:v>481.48691789921514</x:v>
      </x:c>
      <x:c r="CS269" s="23" t="n">
        <x:v>533.5029949116708</x:v>
      </x:c>
      <x:c r="CT269" s="23" t="n">
        <x:v>588.3258869812488</x:v>
      </x:c>
      <x:c r="CU269" s="23" t="n">
        <x:v>645.2014113319462</x:v>
      </x:c>
      <x:c r="CV269" s="23" t="n">
        <x:v>680.6257279344976</x:v>
      </x:c>
      <x:c r="CW269" s="23" t="n">
        <x:v>755.2424976483608</x:v>
      </x:c>
      <x:c r="CX269" s="23" t="n">
        <x:v>808.772045558796</x:v>
      </x:c>
      <x:c r="CY269" s="23" t="n">
        <x:v>865.708498162845</x:v>
      </x:c>
      <x:c r="CZ269" s="23" t="n">
        <x:v>924.8855807784817</x:v>
      </x:c>
      <x:c r="DA269" s="23" t="n">
        <x:v>971.8279209127023</x:v>
      </x:c>
      <x:c r="DB269" s="23" t="n">
        <x:v>1001.6273049021811</x:v>
      </x:c>
      <x:c r="DC269" s="23" t="n">
        <x:v>1034.892075395119</x:v>
      </x:c>
      <x:c r="DD269" s="23" t="n">
        <x:v>896.027176620036</x:v>
      </x:c>
      <x:c r="DE269" s="23" t="n">
        <x:v>613.7887776692708</x:v>
      </x:c>
      <x:c r="DF269" s="23" t="n">
        <x:v>0</x:v>
      </x:c>
      <x:c r="DG269" s="23" t="n">
        <x:v>0</x:v>
      </x:c>
      <x:c r="DH269" s="23" t="n">
        <x:v>0</x:v>
      </x:c>
      <x:c r="DI269" s="23" t="n">
        <x:v>0</x:v>
      </x:c>
      <x:c r="DJ269" s="23" t="n">
        <x:v>472.52223551534973</x:v>
      </x:c>
      <x:c r="DK269" s="23" t="n">
        <x:v>0</x:v>
      </x:c>
      <x:c r="DL269" s="23" t="n">
        <x:v>0</x:v>
      </x:c>
      <x:c r="DM269" s="23" t="n">
        <x:v>666.2108561197916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639.6170654296875</x:v>
      </x:c>
      <x:c r="DT269" s="23" t="n">
        <x:v>0</x:v>
      </x:c>
      <x:c r="DU269" s="23" t="n">
        <x:v>0</x:v>
      </x:c>
      <x:c r="DV269" s="23" t="n">
        <x:v>640.9988606770833</x:v>
      </x:c>
      <x:c r="DW269" s="23" t="n">
        <x:v>657.7938359334811</x:v>
      </x:c>
      <x:c r="DX269" s="23" t="n">
        <x:v>656.4916585286458</x:v>
      </x:c>
      <x:c r="DY269" s="23" t="n">
        <x:v>665.210205078125</x:v>
      </x:c>
      <x:c r="DZ269" s="23" t="n">
        <x:v>696.8534342447916</x:v>
      </x:c>
      <x:c r="EA269" s="23" t="n">
        <x:v>710.2729719010417</x:v>
      </x:c>
      <x:c r="EB269" s="23" t="n">
        <x:v>613.082763671875</x:v>
      </x:c>
      <x:c r="EC269" s="23" t="n">
        <x:v>551.6381022135416</x:v>
      </x:c>
      <x:c r="ED269" s="23" t="n">
        <x:v>1350.9818929036458</x:v>
      </x:c>
      <x:c r="EE269" s="23" t="n">
        <x:v>840.6716297501928</x:v>
      </x:c>
      <x:c r="EF269" s="23" t="n">
        <x:v>1385.2164306640625</x:v>
      </x:c>
      <x:c r="EG269" s="23" t="n">
        <x:v>1383.8104654947915</x:v>
      </x:c>
      <x:c r="EH269" s="23" t="n">
        <x:v>1389.001953125</x:v>
      </x:c>
      <x:c r="EI269" s="23" t="n">
        <x:v>1387.43359375</x:v>
      </x:c>
      <x:c r="EJ269" s="23" t="n">
        <x:v>550.48828125</x:v>
      </x:c>
      <x:c r="EK269" s="23" t="n">
        <x:v>571.4228515625</x:v>
      </x:c>
      <x:c r="EL269" s="23" t="n">
        <x:v>576.9307047526041</x:v>
      </x:c>
      <x:c r="EM269" s="23" t="n">
        <x:v>1400.985595703125</x:v>
      </x:c>
      <x:c r="EN269" s="23" t="n">
        <x:v>564.2144368489583</x:v>
      </x:c>
      <x:c r="EO269" s="23" t="n">
        <x:v>586.06591796875</x:v>
      </x:c>
      <x:c r="EP269" s="23" t="n">
        <x:f>SUM(B269:EO269)</x:f>
        <x:v>66338.79907458577</x:v>
      </x:c>
      <x:c r="EQ269" s="23" t="n">
        <x:f>SUMPRODUCT(B269:EO269,{0.4304,0.4236,0.4342,0.4008,0.3937,0.4241,0.4337,0.4536,0.4813,0.4729,0.4456,0.4257,0.4267,0.4368,0.4467,0.4516,0.4309,0.4078,0.427,0.4324,0.4255,0.4626,0.4873,0.4615,0.4125,0.4335,0.4945,0.4742,0.4382,0.4167,0.3869,0.438,0.4804,0.3793,0.6148,1.0452,1.0186,0.9333,0.9869,0.9773,0.9797,0.9733,0.8531,0.8453,0.8886,0.7426,0.9047,1.2951,1.2979,1.1987,1.1735,1.1044,1.0674,1.0746,1.0524,1.0443,1.046,1.0009,0.9576,0.9499,0.9621,0.9499,0.9323,0.9374,0.7652,0.5152,0.5039,0.5002,0.4421,0.4924,0.4826,0.4154,0.4749,0.543,0.516,0.4407,0.5799,0.8456,0.8853,0.8933,0.9473,0.9232,0.914,0.9523,0.9751,1.0036,1.0529,1.0792,0.9316,0.722,0.7338,0.7867,0.7877,0.8221,0.8682,0.9145,0.9695,0.9682,0.9397,0.9833,1.0321,1.0448,1.0527,1.099,1.1312,1.0733,1.1298,1.2739,1.2695,1.2466,1.2692,1.2636,1.2503,1.2531,1.2678,1.2669,1.2537,1.2606,1.2906,1.3065,1.2663,1.2359,1.2635,1.3094,1.1755,0.9418,0.9005,0.9311,0.9525,0.9652,0.7333,0.3973,0.3677,0.3974,0.3661,0.3992,0.4248,0.4215,0.4393,0.4081,0.3793,0.4752,0.5054,0.4351})</x:f>
        <x:v>41430.69406649635</x:v>
      </x:c>
    </x:row>
    <x:row r="270" ht="14" customHeight="1">
      <x:c r="A270" s="3">
        <x:v>45957</x:v>
      </x:c>
      <x:c r="B270" s="23" t="n">
        <x:v>582.6561279296875</x:v>
      </x:c>
      <x:c r="C270" s="23" t="n">
        <x:v>898.029714921714</x:v>
      </x:c>
      <x:c r="D270" s="23" t="n">
        <x:v>556.5853271484375</x:v>
      </x:c>
      <x:c r="E270" s="23" t="n">
        <x:v>566.2723795572916</x:v>
      </x:c>
      <x:c r="F270" s="23" t="n">
        <x:v>583.2352701822916</x:v>
      </x:c>
      <x:c r="G270" s="23" t="n">
        <x:v>578.6080729166666</x:v>
      </x:c>
      <x:c r="H270" s="23" t="n">
        <x:v>581.0581868489583</x:v>
      </x:c>
      <x:c r="I270" s="23" t="n">
        <x:v>1410.5111897786458</x:v>
      </x:c>
      <x:c r="J270" s="23" t="n">
        <x:v>576.7674967447916</x:v>
      </x:c>
      <x:c r="K270" s="23" t="n">
        <x:v>580.08056640625</x:v>
      </x:c>
      <x:c r="L270" s="23" t="n">
        <x:v>586.6276448567708</x:v>
      </x:c>
      <x:c r="M270" s="23" t="n">
        <x:v>1428.2528889973958</x:v>
      </x:c>
      <x:c r="N270" s="23" t="n">
        <x:v>1429.8380126953125</x:v>
      </x:c>
      <x:c r="O270" s="23" t="n">
        <x:v>597.0312906901041</x:v>
      </x:c>
      <x:c r="P270" s="23" t="n">
        <x:v>591.0743815104166</x:v>
      </x:c>
      <x:c r="Q270" s="23" t="n">
        <x:v>601.5815022786458</x:v>
      </x:c>
      <x:c r="R270" s="23" t="n">
        <x:v>602.7301432291666</x:v>
      </x:c>
      <x:c r="S270" s="23" t="n">
        <x:v>1430.17724609375</x:v>
      </x:c>
      <x:c r="T270" s="23" t="n">
        <x:v>595.6136474609375</x:v>
      </x:c>
      <x:c r="U270" s="23" t="n">
        <x:v>599.1446533203125</x:v>
      </x:c>
      <x:c r="V270" s="23" t="n">
        <x:v>1432.6842447916665</x:v>
      </x:c>
      <x:c r="W270" s="23" t="n">
        <x:v>601.3115641276041</x:v>
      </x:c>
      <x:c r="X270" s="23" t="n">
        <x:v>598.71923828125</x:v>
      </x:c>
      <x:c r="Y270" s="23" t="n">
        <x:v>597.5347900390625</x:v>
      </x:c>
      <x:c r="Z270" s="23" t="n">
        <x:v>599.6471761067708</x:v>
      </x:c>
      <x:c r="AA270" s="23" t="n">
        <x:v>599.1422526041666</x:v>
      </x:c>
      <x:c r="AB270" s="23" t="n">
        <x:v>603.2993570963541</x:v>
      </x:c>
      <x:c r="AC270" s="23" t="n">
        <x:v>602.5976969401041</x:v>
      </x:c>
      <x:c r="AD270" s="23" t="n">
        <x:v>604.0963541666666</x:v>
      </x:c>
      <x:c r="AE270" s="23" t="n">
        <x:v>602.5933837890625</x:v>
      </x:c>
      <x:c r="AF270" s="23" t="n">
        <x:v>592.6187337239583</x:v>
      </x:c>
      <x:c r="AG270" s="23" t="n">
        <x:v>1429.935831705729</x:v>
      </x:c>
      <x:c r="AH270" s="23" t="n">
        <x:v>603.5080973307291</x:v>
      </x:c>
      <x:c r="AI270" s="23" t="n">
        <x:v>603.9484456380208</x:v>
      </x:c>
      <x:c r="AJ270" s="23" t="n">
        <x:v>624.7678644137733</x:v>
      </x:c>
      <x:c r="AK270" s="23" t="n">
        <x:v>0</x:v>
      </x:c>
      <x:c r="AL270" s="23" t="n">
        <x:v>0</x:v>
      </x:c>
      <x:c r="AM270" s="23" t="n">
        <x:v>0</x:v>
      </x:c>
      <x:c r="AN270" s="23" t="n">
        <x:v>0</x:v>
      </x:c>
      <x:c r="AO270" s="23" t="n">
        <x:v>0</x:v>
      </x:c>
      <x:c r="AP270" s="23" t="n">
        <x:v>0</x:v>
      </x:c>
      <x:c r="AQ270" s="23" t="n">
        <x:v>656.4994796287835</x:v>
      </x:c>
      <x:c r="AR270" s="23" t="n">
        <x:v>606.1025513321613</x:v>
      </x:c>
      <x:c r="AS270" s="23" t="n">
        <x:v>554.3507001297708</x:v>
      </x:c>
      <x:c r="AT270" s="23" t="n">
        <x:v>503.47204178844623</x:v>
      </x:c>
      <x:c r="AU270" s="23" t="n">
        <x:v>426.73566870540145</x:v>
      </x:c>
      <x:c r="AV270" s="23" t="n">
        <x:v>323.38041312052115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215.76965892410536</x:v>
      </x:c>
      <x:c r="BP270" s="23" t="n">
        <x:v>602.8348550764691</x:v>
      </x:c>
      <x:c r="BQ270" s="23" t="n">
        <x:v>580.2789051967441</x:v>
      </x:c>
      <x:c r="BR270" s="23" t="n">
        <x:v>557.4304044725537</x:v>
      </x:c>
      <x:c r="BS270" s="23" t="n">
        <x:v>553.599215402253</x:v>
      </x:c>
      <x:c r="BT270" s="23" t="n">
        <x:v>531.6750999443666</x:v>
      </x:c>
      <x:c r="BU270" s="23" t="n">
        <x:v>495.4930701262783</x:v>
      </x:c>
      <x:c r="BV270" s="23" t="n">
        <x:v>512.7796367759149</x:v>
      </x:c>
      <x:c r="BW270" s="23" t="n">
        <x:v>502.65847251482955</x:v>
      </x:c>
      <x:c r="BX270" s="23" t="n">
        <x:v>486.04846449483614</x:v>
      </x:c>
      <x:c r="BY270" s="23" t="n">
        <x:v>491.20919496666494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217.65463228761655</x:v>
      </x:c>
      <x:c r="CN270" s="23" t="n">
        <x:v>856.3572188501457</x:v>
      </x:c>
      <x:c r="CO270" s="23" t="n">
        <x:v>315.1979398486584</x:v>
      </x:c>
      <x:c r="CP270" s="23" t="n">
        <x:v>358.40066086403164</x:v>
      </x:c>
      <x:c r="CQ270" s="23" t="n">
        <x:v>407.5093168466036</x:v>
      </x:c>
      <x:c r="CR270" s="23" t="n">
        <x:v>464.53940532667104</x:v>
      </x:c>
      <x:c r="CS270" s="23" t="n">
        <x:v>525.929932595104</x:v>
      </x:c>
      <x:c r="CT270" s="23" t="n">
        <x:v>586.7046544661786</x:v>
      </x:c>
      <x:c r="CU270" s="23" t="n">
        <x:v>637.0345215175606</x:v>
      </x:c>
      <x:c r="CV270" s="23" t="n">
        <x:v>701.7363350390116</x:v>
      </x:c>
      <x:c r="CW270" s="23" t="n">
        <x:v>765.1830909983282</x:v>
      </x:c>
      <x:c r="CX270" s="23" t="n">
        <x:v>823.4140202148652</x:v>
      </x:c>
      <x:c r="CY270" s="23" t="n">
        <x:v>873.9936676440058</x:v>
      </x:c>
      <x:c r="CZ270" s="23" t="n">
        <x:v>918.4130226145081</x:v>
      </x:c>
      <x:c r="DA270" s="23" t="n">
        <x:v>965.9456672000463</x:v>
      </x:c>
      <x:c r="DB270" s="23" t="n">
        <x:v>993.6061731387572</x:v>
      </x:c>
      <x:c r="DC270" s="23" t="n">
        <x:v>1026.1136572124396</x:v>
      </x:c>
      <x:c r="DD270" s="23" t="n">
        <x:v>886.5245439307521</x:v>
      </x:c>
      <x:c r="DE270" s="23" t="n">
        <x:v>0</x:v>
      </x:c>
      <x:c r="DF270" s="23" t="n">
        <x:v>0</x:v>
      </x:c>
      <x:c r="DG270" s="23" t="n">
        <x:v>0</x:v>
      </x:c>
      <x:c r="DH270" s="23" t="n">
        <x:v>660.1151529947916</x:v>
      </x:c>
      <x:c r="DI270" s="23" t="n">
        <x:v>661.618408203125</x:v>
      </x:c>
      <x:c r="DJ270" s="23" t="n">
        <x:v>643.4400634765625</x:v>
      </x:c>
      <x:c r="DK270" s="23" t="n">
        <x:v>0</x:v>
      </x:c>
      <x:c r="DL270" s="23" t="n">
        <x:v>0</x:v>
      </x:c>
      <x:c r="DM270" s="23" t="n">
        <x:v>676.6326904296875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54.333785560505476</x:v>
      </x:c>
      <x:c r="DS270" s="23" t="n">
        <x:v>0</x:v>
      </x:c>
      <x:c r="DT270" s="23" t="n">
        <x:v>0</x:v>
      </x:c>
      <x:c r="DU270" s="23" t="n">
        <x:v>0</x:v>
      </x:c>
      <x:c r="DV270" s="23" t="n">
        <x:v>664.91162109375</x:v>
      </x:c>
      <x:c r="DW270" s="23" t="n">
        <x:v>665.5569236030736</x:v>
      </x:c>
      <x:c r="DX270" s="23" t="n">
        <x:v>685.249755859375</x:v>
      </x:c>
      <x:c r="DY270" s="23" t="n">
        <x:v>693.0193684895833</x:v>
      </x:c>
      <x:c r="DZ270" s="23" t="n">
        <x:v>669.6787516276041</x:v>
      </x:c>
      <x:c r="EA270" s="23" t="n">
        <x:v>700.904989765625</x:v>
      </x:c>
      <x:c r="EB270" s="23" t="n">
        <x:v>627.6763509114583</x:v>
      </x:c>
      <x:c r="EC270" s="23" t="n">
        <x:v>1392.3874104817708</x:v>
      </x:c>
      <x:c r="ED270" s="23" t="n">
        <x:v>1375.377237955729</x:v>
      </x:c>
      <x:c r="EE270" s="23" t="n">
        <x:v>550.4731038411458</x:v>
      </x:c>
      <x:c r="EF270" s="23" t="n">
        <x:v>552.9637044270833</x:v>
      </x:c>
      <x:c r="EG270" s="23" t="n">
        <x:v>828.091376430684</x:v>
      </x:c>
      <x:c r="EH270" s="23" t="n">
        <x:v>1386.4572347005208</x:v>
      </x:c>
      <x:c r="EI270" s="23" t="n">
        <x:v>1395.3086751302083</x:v>
      </x:c>
      <x:c r="EJ270" s="23" t="n">
        <x:v>554.4752604166666</x:v>
      </x:c>
      <x:c r="EK270" s="23" t="n">
        <x:v>558.5944010416666</x:v>
      </x:c>
      <x:c r="EL270" s="23" t="n">
        <x:v>1401.3648274739583</x:v>
      </x:c>
      <x:c r="EM270" s="23" t="n">
        <x:v>1398.9705403645833</x:v>
      </x:c>
      <x:c r="EN270" s="23" t="n">
        <x:v>570.8693440755208</x:v>
      </x:c>
      <x:c r="EO270" s="23" t="n">
        <x:v>579.96875</x:v>
      </x:c>
      <x:c r="EP270" s="23" t="n">
        <x:f>SUM(B270:EO270)</x:f>
        <x:v>66945.29679587253</x:v>
      </x:c>
      <x:c r="EQ270" s="23" t="n">
        <x:f>SUMPRODUCT(B270:EO270,{0.4159,0.4032,0.3835,0.4045,0.4323,0.4365,0.4207,0.4248,0.4404,0.4249,0.4265,0.4419,0.4219,0.4287,0.4603,0.4447,0.4045,0.389,0.4277,0.4641,0.4824,0.5051,0.4652,0.4227,0.5048,0.5162,0.419,0.3762,0.3983,0.4202,0.3835,0.3871,0.4216,0.4183,0.646,0.9958,1.05,1.0029,1.0025,0.9958,0.9452,0.8872,0.893,0.9,0.8575,0.813,1.0057,1.2779,1.218,1.1578,1.2287,1.2243,1.1513,1.0806,1.0587,1.0158,0.9651,0.9875,0.9884,0.9426,0.9125,0.8592,0.822,0.8605,0.7132,0.4453,0.4073,0.4648,0.4625,0.3878,0.3682,0.4024,0.3795,0.3933,0.4224,0.3752,0.5318,0.8315,0.9051,0.8857,0.9064,0.9579,0.9869,0.9941,1.0215,1.0269,1.0315,1.0767,0.9626,0.7725,0.8059,0.8588,0.8502,0.8994,0.922,0.9011,0.9146,0.938,0.968,1.027,1.0484,1.0388,1.0721,1.1109,1.1033,1.0514,1.1048,1.2422,1.282,1.2342,1.1962,1.2528,1.297,1.2987,1.3209,1.3041,1.2663,1.2912,1.2936,1.2677,1.2921,1.2966,1.2725,1.2622,1.1218,0.9141,0.8743,0.9133,0.9661,1.009,0.7729,0.4007,0.3474,0.4266,0.4497,0.4134,0.4,0.4353,0.4664,0.4345,0.3811,0.4035,0.4226,0.4242})</x:f>
        <x:v>41525.94470374179</x:v>
      </x:c>
    </x:row>
    <x:row r="271" ht="14" customHeight="1">
      <x:c r="A271" s="3">
        <x:v>45958</x:v>
      </x:c>
      <x:c r="B271" s="23" t="n">
        <x:v>1050.7011067451142</x:v>
      </x:c>
      <x:c r="C271" s="23" t="n">
        <x:v>1393.9082845052083</x:v>
      </x:c>
      <x:c r="D271" s="23" t="n">
        <x:v>579.7639973958333</x:v>
      </x:c>
      <x:c r="E271" s="23" t="n">
        <x:v>578.9905598958333</x:v>
      </x:c>
      <x:c r="F271" s="23" t="n">
        <x:v>577.7991536458333</x:v>
      </x:c>
      <x:c r="G271" s="23" t="n">
        <x:v>576.2779541015625</x:v>
      </x:c>
      <x:c r="H271" s="23" t="n">
        <x:v>577.5409749348958</x:v>
      </x:c>
      <x:c r="I271" s="23" t="n">
        <x:v>575.21240234375</x:v>
      </x:c>
      <x:c r="J271" s="23" t="n">
        <x:v>576.533935546875</x:v>
      </x:c>
      <x:c r="K271" s="23" t="n">
        <x:v>591.7605387369791</x:v>
      </x:c>
      <x:c r="L271" s="23" t="n">
        <x:v>596.5938720703125</x:v>
      </x:c>
      <x:c r="M271" s="23" t="n">
        <x:v>1424.1747233072915</x:v>
      </x:c>
      <x:c r="N271" s="23" t="n">
        <x:v>1429.506103515625</x:v>
      </x:c>
      <x:c r="O271" s="23" t="n">
        <x:v>1431.4860026041665</x:v>
      </x:c>
      <x:c r="P271" s="23" t="n">
        <x:v>598.8561604817708</x:v>
      </x:c>
      <x:c r="Q271" s="23" t="n">
        <x:v>1431.7776692708333</x:v>
      </x:c>
      <x:c r="R271" s="23" t="n">
        <x:v>594.9993896484375</x:v>
      </x:c>
      <x:c r="S271" s="23" t="n">
        <x:v>591.5302734375</x:v>
      </x:c>
      <x:c r="T271" s="23" t="n">
        <x:v>597.9166259765625</x:v>
      </x:c>
      <x:c r="U271" s="23" t="n">
        <x:v>1431.3795572916665</x:v>
      </x:c>
      <x:c r="V271" s="23" t="n">
        <x:v>592.3196614583333</x:v>
      </x:c>
      <x:c r="W271" s="23" t="n">
        <x:v>602.5928548177083</x:v>
      </x:c>
      <x:c r="X271" s="23" t="n">
        <x:v>603.625732421875</x:v>
      </x:c>
      <x:c r="Y271" s="23" t="n">
        <x:v>597.1920166015625</x:v>
      </x:c>
      <x:c r="Z271" s="23" t="n">
        <x:v>599.51953125</x:v>
      </x:c>
      <x:c r="AA271" s="23" t="n">
        <x:v>599.496826171875</x:v>
      </x:c>
      <x:c r="AB271" s="23" t="n">
        <x:v>600.1184488932291</x:v>
      </x:c>
      <x:c r="AC271" s="23" t="n">
        <x:v>602.6161295572916</x:v>
      </x:c>
      <x:c r="AD271" s="23" t="n">
        <x:v>604.4451497395833</x:v>
      </x:c>
      <x:c r="AE271" s="23" t="n">
        <x:v>603.6880696614583</x:v>
      </x:c>
      <x:c r="AF271" s="23" t="n">
        <x:v>597.1461588541666</x:v>
      </x:c>
      <x:c r="AG271" s="23" t="n">
        <x:v>600.66259765625</x:v>
      </x:c>
      <x:c r="AH271" s="23" t="n">
        <x:v>604.995361328125</x:v>
      </x:c>
      <x:c r="AI271" s="23" t="n">
        <x:v>606.4704182942708</x:v>
      </x:c>
      <x:c r="AJ271" s="23" t="n">
        <x:v>645.4642248898681</x:v>
      </x:c>
      <x:c r="AK271" s="23" t="n">
        <x:v>2.323873817228711</x:v>
      </x:c>
      <x:c r="AL271" s="23" t="n">
        <x:v>31.245045870317576</x:v>
      </x:c>
      <x:c r="AM271" s="23" t="n">
        <x:v>0</x:v>
      </x:c>
      <x:c r="AN271" s="23" t="n">
        <x:v>0</x:v>
      </x:c>
      <x:c r="AO271" s="23" t="n">
        <x:v>750.9559043107816</x:v>
      </x:c>
      <x:c r="AP271" s="23" t="n">
        <x:v>663.1909443640063</x:v>
      </x:c>
      <x:c r="AQ271" s="23" t="n">
        <x:v>0</x:v>
      </x:c>
      <x:c r="AR271" s="23" t="n">
        <x:v>612.893052570548</x:v>
      </x:c>
      <x:c r="AS271" s="23" t="n">
        <x:v>558.4734688637776</x:v>
      </x:c>
      <x:c r="AT271" s="23" t="n">
        <x:v>0</x:v>
      </x:c>
      <x:c r="AU271" s="23" t="n">
        <x:v>427.4497864342517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589.2900054046386</x:v>
      </x:c>
      <x:c r="BP271" s="23" t="n">
        <x:v>562.3373753726312</x:v>
      </x:c>
      <x:c r="BQ271" s="23" t="n">
        <x:v>463.9496250817081</x:v>
      </x:c>
      <x:c r="BR271" s="23" t="n">
        <x:v>0</x:v>
      </x:c>
      <x:c r="BS271" s="23" t="n">
        <x:v>515.6018004614294</x:v>
      </x:c>
      <x:c r="BT271" s="23" t="n">
        <x:v>491.8452746266954</x:v>
      </x:c>
      <x:c r="BU271" s="23" t="n">
        <x:v>446.5710644705556</x:v>
      </x:c>
      <x:c r="BV271" s="23" t="n">
        <x:v>450.15681528056905</x:v>
      </x:c>
      <x:c r="BW271" s="23" t="n">
        <x:v>474.0088921650816</x:v>
      </x:c>
      <x:c r="BX271" s="23" t="n">
        <x:v>488.50992339858567</x:v>
      </x:c>
      <x:c r="BY271" s="23" t="n">
        <x:v>507.1987075775929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242.06003152884387</x:v>
      </x:c>
      <x:c r="CN271" s="23" t="n">
        <x:v>981.5713389540888</x:v>
      </x:c>
      <x:c r="CO271" s="23" t="n">
        <x:v>350.18046356812243</x:v>
      </x:c>
      <x:c r="CP271" s="23" t="n">
        <x:v>396.40357905107885</x:v>
      </x:c>
      <x:c r="CQ271" s="23" t="n">
        <x:v>438.62490854113514</x:v>
      </x:c>
      <x:c r="CR271" s="23" t="n">
        <x:v>498.18531548010066</x:v>
      </x:c>
      <x:c r="CS271" s="23" t="n">
        <x:v>550.6043704205927</x:v>
      </x:c>
      <x:c r="CT271" s="23" t="n">
        <x:v>605.6314271941987</x:v>
      </x:c>
      <x:c r="CU271" s="23" t="n">
        <x:v>660.6134245942586</x:v>
      </x:c>
      <x:c r="CV271" s="23" t="n">
        <x:v>719.7935433278827</x:v>
      </x:c>
      <x:c r="CW271" s="23" t="n">
        <x:v>771.2369902282923</x:v>
      </x:c>
      <x:c r="CX271" s="23" t="n">
        <x:v>834.7654132665809</x:v>
      </x:c>
      <x:c r="CY271" s="23" t="n">
        <x:v>888.0429206827454</x:v>
      </x:c>
      <x:c r="CZ271" s="23" t="n">
        <x:v>927.157024078725</x:v>
      </x:c>
      <x:c r="DA271" s="23" t="n">
        <x:v>959.489245895209</x:v>
      </x:c>
      <x:c r="DB271" s="23" t="n">
        <x:v>983.1277938430818</x:v>
      </x:c>
      <x:c r="DC271" s="23" t="n">
        <x:v>1032.3642489806723</x:v>
      </x:c>
      <x:c r="DD271" s="23" t="n">
        <x:v>869.4045624015749</x:v>
      </x:c>
      <x:c r="DE271" s="23" t="n">
        <x:v>0</x:v>
      </x:c>
      <x:c r="DF271" s="23" t="n">
        <x:v>0</x:v>
      </x:c>
      <x:c r="DG271" s="23" t="n">
        <x:v>661.8971354166666</x:v>
      </x:c>
      <x:c r="DH271" s="23" t="n">
        <x:v>2.206540864845768</x:v>
      </x:c>
      <x:c r="DI271" s="23" t="n">
        <x:v>0</x:v>
      </x:c>
      <x:c r="DJ271" s="23" t="n">
        <x:v>0</x:v>
      </x:c>
      <x:c r="DK271" s="23" t="n">
        <x:v>0</x:v>
      </x:c>
      <x:c r="DL271" s="23" t="n">
        <x:v>0</x:v>
      </x:c>
      <x:c r="DM271" s="23" t="n">
        <x:v>660.7275390625</x:v>
      </x:c>
      <x:c r="DN271" s="23" t="n">
        <x:v>668.0710042317708</x:v>
      </x:c>
      <x:c r="DO271" s="23" t="n">
        <x:v>0</x:v>
      </x:c>
      <x:c r="DP271" s="23" t="n">
        <x:v>0</x:v>
      </x:c>
      <x:c r="DQ271" s="23" t="n">
        <x:v>0</x:v>
      </x:c>
      <x:c r="DR271" s="23" t="n">
        <x:v>674.4269205729166</x:v>
      </x:c>
      <x:c r="DS271" s="23" t="n">
        <x:v>0</x:v>
      </x:c>
      <x:c r="DT271" s="23" t="n">
        <x:v>0</x:v>
      </x:c>
      <x:c r="DU271" s="23" t="n">
        <x:v>0</x:v>
      </x:c>
      <x:c r="DV271" s="23" t="n">
        <x:v>670.3742268880208</x:v>
      </x:c>
      <x:c r="DW271" s="23" t="n">
        <x:v>671.5104796569572</x:v>
      </x:c>
      <x:c r="DX271" s="23" t="n">
        <x:v>674.4792887369791</x:v>
      </x:c>
      <x:c r="DY271" s="23" t="n">
        <x:v>678.2908528645833</x:v>
      </x:c>
      <x:c r="DZ271" s="23" t="n">
        <x:v>672.8092447916666</x:v>
      </x:c>
      <x:c r="EA271" s="23" t="n">
        <x:v>729.3071575390627</x:v>
      </x:c>
      <x:c r="EB271" s="23" t="n">
        <x:v>627.6570638020833</x:v>
      </x:c>
      <x:c r="EC271" s="23" t="n">
        <x:v>553.4896240234375</x:v>
      </x:c>
      <x:c r="ED271" s="23" t="n">
        <x:v>1383.22900390625</x:v>
      </x:c>
      <x:c r="EE271" s="23" t="n">
        <x:v>563.4379475911458</x:v>
      </x:c>
      <x:c r="EF271" s="23" t="n">
        <x:v>547.01806640625</x:v>
      </x:c>
      <x:c r="EG271" s="23" t="n">
        <x:v>548.38427734375</x:v>
      </x:c>
      <x:c r="EH271" s="23" t="n">
        <x:v>834.5160183577674</x:v>
      </x:c>
      <x:c r="EI271" s="23" t="n">
        <x:v>1388.7716064453125</x:v>
      </x:c>
      <x:c r="EJ271" s="23" t="n">
        <x:v>1398.069376627604</x:v>
      </x:c>
      <x:c r="EK271" s="23" t="n">
        <x:v>1410.0001220703125</x:v>
      </x:c>
      <x:c r="EL271" s="23" t="n">
        <x:v>580.9623616536458</x:v>
      </x:c>
      <x:c r="EM271" s="23" t="n">
        <x:v>573.5987141927083</x:v>
      </x:c>
      <x:c r="EN271" s="23" t="n">
        <x:v>1402.1048990885415</x:v>
      </x:c>
      <x:c r="EO271" s="23" t="n">
        <x:v>1400.5479329427083</x:v>
      </x:c>
      <x:c r="EP271" s="23" t="n">
        <x:f>SUM(B271:EO271)</x:f>
        <x:v>66988.20803423673</x:v>
      </x:c>
      <x:c r="EQ271" s="23" t="n">
        <x:f>SUMPRODUCT(B271:EO271,{0.4672,0.4637,0.4125,0.4059,0.413,0.4054,0.3908,0.3814,0.4002,0.4543,0.4523,0.3991,0.3954,0.4393,0.4832,0.479,0.4503,0.4315,0.4371,0.434,0.4234,0.4377,0.4498,0.4399,0.4191,0.431,0.4683,0.4764,0.4492,0.4285,0.4677,0.5212,0.4976,0.3877,0.567,0.9339,0.9946,0.971,0.9912,0.9497,0.9157,0.9173,0.9116,0.9174,0.8681,0.7255,0.9399,1.363,1.3595,1.2199,1.1882,1.2085,1.1743,1.1024,1.0958,1.0761,1.0024,0.9263,0.9232,0.9604,0.9341,0.9076,0.9257,0.9355,0.7541,0.4771,0.4111,0.466,0.5085,0.4893,0.4534,0.4398,0.4538,0.4786,0.4944,0.5142,0.6651,0.8908,0.9803,0.9558,0.9176,0.9468,0.9824,0.9748,0.9362,0.9355,1.0076,1.098,1.0022,0.79,0.7485,0.7939,0.8378,0.8791,0.9009,0.9145,0.9479,0.9643,0.9623,0.9825,1.0255,1.0629,1.0647,1.0635,1.0742,1.0886,1.1372,1.2213,1.2931,1.2727,1.2117,1.2452,1.2864,1.2836,1.2724,1.2687,1.2683,1.2604,1.2626,1.2849,1.3123,1.2937,1.2859,1.3574,1.1802,0.8826,0.9392,1.0052,0.9625,0.9974,0.7872,0.4286,0.3875,0.4151,0.3876,0.4335,0.4568,0.4244,0.4093,0.42,0.4317,0.4209,0.4329,0.4478})</x:f>
        <x:v>42475.11681596948</x:v>
      </x:c>
    </x:row>
    <x:row r="272" ht="14" customHeight="1">
      <x:c r="A272" s="3">
        <x:v>45959</x:v>
      </x:c>
      <x:c r="B272" s="23" t="n">
        <x:v>904.5380863570599</x:v>
      </x:c>
      <x:c r="C272" s="23" t="n">
        <x:v>575.5627034505208</x:v>
      </x:c>
      <x:c r="D272" s="23" t="n">
        <x:v>1386.0823567708333</x:v>
      </x:c>
      <x:c r="E272" s="23" t="n">
        <x:v>1408.8322347005208</x:v>
      </x:c>
      <x:c r="F272" s="23" t="n">
        <x:v>581.4923095703125</x:v>
      </x:c>
      <x:c r="G272" s="23" t="n">
        <x:v>577.6753336588541</x:v>
      </x:c>
      <x:c r="H272" s="23" t="n">
        <x:v>587.9349365234375</x:v>
      </x:c>
      <x:c r="I272" s="23" t="n">
        <x:v>588.8025309244791</x:v>
      </x:c>
      <x:c r="J272" s="23" t="n">
        <x:v>588.9291585286458</x:v>
      </x:c>
      <x:c r="K272" s="23" t="n">
        <x:v>595.0090738932291</x:v>
      </x:c>
      <x:c r="L272" s="23" t="n">
        <x:v>598.6590169270833</x:v>
      </x:c>
      <x:c r="M272" s="23" t="n">
        <x:v>1417.11181640625</x:v>
      </x:c>
      <x:c r="N272" s="23" t="n">
        <x:v>1424.7073974609375</x:v>
      </x:c>
      <x:c r="O272" s="23" t="n">
        <x:v>591.5040690104166</x:v>
      </x:c>
      <x:c r="P272" s="23" t="n">
        <x:v>589.421875</x:v>
      </x:c>
      <x:c r="Q272" s="23" t="n">
        <x:v>590.9275716145833</x:v>
      </x:c>
      <x:c r="R272" s="23" t="n">
        <x:v>601.3594970703125</x:v>
      </x:c>
      <x:c r="S272" s="23" t="n">
        <x:v>603.905029296875</x:v>
      </x:c>
      <x:c r="T272" s="23" t="n">
        <x:v>596.8712158203125</x:v>
      </x:c>
      <x:c r="U272" s="23" t="n">
        <x:v>590.9075927734375</x:v>
      </x:c>
      <x:c r="V272" s="23" t="n">
        <x:v>601.3857421875</x:v>
      </x:c>
      <x:c r="W272" s="23" t="n">
        <x:v>604.3761393229166</x:v>
      </x:c>
      <x:c r="X272" s="23" t="n">
        <x:v>606.1140543619791</x:v>
      </x:c>
      <x:c r="Y272" s="23" t="n">
        <x:v>599.4171956380208</x:v>
      </x:c>
      <x:c r="Z272" s="23" t="n">
        <x:v>602.5028076171875</x:v>
      </x:c>
      <x:c r="AA272" s="23" t="n">
        <x:v>602.166259765625</x:v>
      </x:c>
      <x:c r="AB272" s="23" t="n">
        <x:v>603.0500895182291</x:v>
      </x:c>
      <x:c r="AC272" s="23" t="n">
        <x:v>599.6029052734375</x:v>
      </x:c>
      <x:c r="AD272" s="23" t="n">
        <x:v>602.4289957682291</x:v>
      </x:c>
      <x:c r="AE272" s="23" t="n">
        <x:v>603.5403238932291</x:v>
      </x:c>
      <x:c r="AF272" s="23" t="n">
        <x:v>1434.599405924479</x:v>
      </x:c>
      <x:c r="AG272" s="23" t="n">
        <x:v>601.1505533854166</x:v>
      </x:c>
      <x:c r="AH272" s="23" t="n">
        <x:v>606.5482584635416</x:v>
      </x:c>
      <x:c r="AI272" s="23" t="n">
        <x:v>1430.2696126302083</x:v>
      </x:c>
      <x:c r="AJ272" s="23" t="n">
        <x:v>628.1472708720183</x:v>
      </x:c>
      <x:c r="AK272" s="23" t="n">
        <x:v>0</x:v>
      </x:c>
      <x:c r="AL272" s="23" t="n">
        <x:v>7.378648240421474</x:v>
      </x:c>
      <x:c r="AM272" s="23" t="n">
        <x:v>0</x:v>
      </x:c>
      <x:c r="AN272" s="23" t="n">
        <x:v>0</x:v>
      </x:c>
      <x:c r="AO272" s="23" t="n">
        <x:v>0</x:v>
      </x:c>
      <x:c r="AP272" s="23" t="n">
        <x:v>717.6068138525358</x:v>
      </x:c>
      <x:c r="AQ272" s="23" t="n">
        <x:v>306.1657842928117</x:v>
      </x:c>
      <x:c r="AR272" s="23" t="n">
        <x:v>617.1440217036604</x:v>
      </x:c>
      <x:c r="AS272" s="23" t="n">
        <x:v>567.1593919468869</x:v>
      </x:c>
      <x:c r="AT272" s="23" t="n">
        <x:v>512.3913226486886</x:v>
      </x:c>
      <x:c r="AU272" s="23" t="n">
        <x:v>418.00383602091335</x:v>
      </x:c>
      <x:c r="AV272" s="23" t="n">
        <x:v>0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582.9283071582579</x:v>
      </x:c>
      <x:c r="BP272" s="23" t="n">
        <x:v>551.9611940952187</x:v>
      </x:c>
      <x:c r="BQ272" s="23" t="n">
        <x:v>528.5456648272893</x:v>
      </x:c>
      <x:c r="BR272" s="23" t="n">
        <x:v>7.4148248844654745</x:v>
      </x:c>
      <x:c r="BS272" s="23" t="n">
        <x:v>518.8745646937365</x:v>
      </x:c>
      <x:c r="BT272" s="23" t="n">
        <x:v>490.42828791234325</x:v>
      </x:c>
      <x:c r="BU272" s="23" t="n">
        <x:v>450.5599478746068</x:v>
      </x:c>
      <x:c r="BV272" s="23" t="n">
        <x:v>457.9024339589356</x:v>
      </x:c>
      <x:c r="BW272" s="23" t="n">
        <x:v>493.9058811437462</x:v>
      </x:c>
      <x:c r="BX272" s="23" t="n">
        <x:v>480.50173063514615</x:v>
      </x:c>
      <x:c r="BY272" s="23" t="n">
        <x:v>528.0924575758078</x:v>
      </x:c>
      <x:c r="BZ272" s="23" t="n">
        <x:v>0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240.6089094681065</x:v>
      </x:c>
      <x:c r="CN272" s="23" t="n">
        <x:v>929.9644698856878</x:v>
      </x:c>
      <x:c r="CO272" s="23" t="n">
        <x:v>333.22920906310276</x:v>
      </x:c>
      <x:c r="CP272" s="23" t="n">
        <x:v>401.23417611617333</x:v>
      </x:c>
      <x:c r="CQ272" s="23" t="n">
        <x:v>454.2174121815904</x:v>
      </x:c>
      <x:c r="CR272" s="23" t="n">
        <x:v>504.7406434981258</x:v>
      </x:c>
      <x:c r="CS272" s="23" t="n">
        <x:v>547.3093268577023</x:v>
      </x:c>
      <x:c r="CT272" s="23" t="n">
        <x:v>606.8021681506968</x:v>
      </x:c>
      <x:c r="CU272" s="23" t="n">
        <x:v>668.7315094774183</x:v>
      </x:c>
      <x:c r="CV272" s="23" t="n">
        <x:v>726.6432401797956</x:v>
      </x:c>
      <x:c r="CW272" s="23" t="n">
        <x:v>778.0752426609816</x:v>
      </x:c>
      <x:c r="CX272" s="23" t="n">
        <x:v>827.2986008261242</x:v>
      </x:c>
      <x:c r="CY272" s="23" t="n">
        <x:v>881.7489107634151</x:v>
      </x:c>
      <x:c r="CZ272" s="23" t="n">
        <x:v>935.3397990051801</x:v>
      </x:c>
      <x:c r="DA272" s="23" t="n">
        <x:v>965.1768376628836</x:v>
      </x:c>
      <x:c r="DB272" s="23" t="n">
        <x:v>978.569573297767</x:v>
      </x:c>
      <x:c r="DC272" s="23" t="n">
        <x:v>1023.2804912483276</x:v>
      </x:c>
      <x:c r="DD272" s="23" t="n">
        <x:v>866.2751996595775</x:v>
      </x:c>
      <x:c r="DE272" s="23" t="n">
        <x:v>664.8114827473958</x:v>
      </x:c>
      <x:c r="DF272" s="23" t="n">
        <x:v>0</x:v>
      </x:c>
      <x:c r="DG272" s="23" t="n">
        <x:v>0</x:v>
      </x:c>
      <x:c r="DH272" s="23" t="n">
        <x:v>644.30908203125</x:v>
      </x:c>
      <x:c r="DI272" s="23" t="n">
        <x:v>116.7735631440449</x:v>
      </x:c>
      <x:c r="DJ272" s="23" t="n">
        <x:v>0</x:v>
      </x:c>
      <x:c r="DK272" s="23" t="n">
        <x:v>658.0870768229166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662.2174479166666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686.136962890625</x:v>
      </x:c>
      <x:c r="DW272" s="23" t="n">
        <x:v>675.2440814324524</x:v>
      </x:c>
      <x:c r="DX272" s="23" t="n">
        <x:v>671.867919921875</x:v>
      </x:c>
      <x:c r="DY272" s="23" t="n">
        <x:v>676.7294514973958</x:v>
      </x:c>
      <x:c r="DZ272" s="23" t="n">
        <x:v>705.7211100260416</x:v>
      </x:c>
      <x:c r="EA272" s="23" t="n">
        <x:v>714.2156195442709</x:v>
      </x:c>
      <x:c r="EB272" s="23" t="n">
        <x:v>624.0638427734375</x:v>
      </x:c>
      <x:c r="EC272" s="23" t="n">
        <x:v>549.3937174479166</x:v>
      </x:c>
      <x:c r="ED272" s="23" t="n">
        <x:v>1364.9586181640625</x:v>
      </x:c>
      <x:c r="EE272" s="23" t="n">
        <x:v>561.9202067057291</x:v>
      </x:c>
      <x:c r="EF272" s="23" t="n">
        <x:v>833.5493435530799</x:v>
      </x:c>
      <x:c r="EG272" s="23" t="n">
        <x:v>1368.3661295572915</x:v>
      </x:c>
      <x:c r="EH272" s="23" t="n">
        <x:v>1368.5489908854165</x:v>
      </x:c>
      <x:c r="EI272" s="23" t="n">
        <x:v>1383.64111328125</x:v>
      </x:c>
      <x:c r="EJ272" s="23" t="n">
        <x:v>1395.7357584635415</x:v>
      </x:c>
      <x:c r="EK272" s="23" t="n">
        <x:v>1398.7423502604165</x:v>
      </x:c>
      <x:c r="EL272" s="23" t="n">
        <x:v>568.3888753255208</x:v>
      </x:c>
      <x:c r="EM272" s="23" t="n">
        <x:v>556.2024739583333</x:v>
      </x:c>
      <x:c r="EN272" s="23" t="n">
        <x:v>560.3138427734375</x:v>
      </x:c>
      <x:c r="EO272" s="23" t="n">
        <x:v>579.0694173177083</x:v>
      </x:c>
      <x:c r="EP272" s="23" t="n">
        <x:f>SUM(B272:EO272)</x:f>
        <x:v>67020.7527322903</x:v>
      </x:c>
      <x:c r="EQ272" s="23" t="n">
        <x:f>SUMPRODUCT(B272:EO272,{0.4014,0.3747,0.4139,0.4777,0.4723,0.4229,0.4416,0.4652,0.4583,0.4493,0.4331,0.412,0.4032,0.419,0.4429,0.4446,0.4463,0.4605,0.4714,0.4454,0.4185,0.459,0.4728,0.4396,0.4335,0.447,0.4672,0.4863,0.4559,0.403,0.4116,0.4509,0.4369,0.3617,0.5893,0.9762,0.9951,0.9699,1.026,0.9609,0.9197,0.9279,0.8667,0.8721,0.8961,0.7886,0.9615,1.3252,1.3399,1.234,1.2089,1.2236,1.1803,1.1134,1.1387,1.1279,1.068,1.0796,1.1077,1.1078,1.084,1.0153,0.9616,0.9851,0.8278,0.5619,0.5349,0.5593,0.5324,0.546,0.5752,0.5778,0.5417,0.5119,0.4807,0.4383,0.6188,0.9295,1.011,0.984,0.9601,0.9317,0.9436,0.9986,1.0425,1.0233,1.0118,1.0992,0.9943,0.7459,0.7198,0.8066,0.8563,0.8352,0.8389,0.8814,0.8982,0.9579,1.0257,0.9936,1.0041,1.0748,1.0857,1.1151,1.1478,1.0923,1.1225,1.253,1.3104,1.2802,1.2341,1.2518,1.2718,1.2643,1.2564,1.2329,1.2227,1.2777,1.323,1.3157,1.2818,1.2654,1.293,1.3314,1.2057,0.987,0.9344,0.9414,0.957,0.9985,0.7801,0.4242,0.3739,0.4207,0.4052,0.3816,0.3877,0.4083,0.402,0.406,0.416,0.3974,0.4354,0.485})</x:f>
        <x:v>42583.30091880206</x:v>
      </x:c>
    </x:row>
    <x:row r="273" ht="14" customHeight="1">
      <x:c r="A273" s="3">
        <x:v>45960</x:v>
      </x:c>
      <x:c r="B273" s="23" t="n">
        <x:v>569.6634114583333</x:v>
      </x:c>
      <x:c r="C273" s="23" t="n">
        <x:v>1393.8363444010415</x:v>
      </x:c>
      <x:c r="D273" s="23" t="n">
        <x:v>570.1306559244791</x:v>
      </x:c>
      <x:c r="E273" s="23" t="n">
        <x:v>572.5724283854166</x:v>
      </x:c>
      <x:c r="F273" s="23" t="n">
        <x:v>990.0361608514982</x:v>
      </x:c>
      <x:c r="G273" s="23" t="n">
        <x:v>1399.477091471354</x:v>
      </x:c>
      <x:c r="H273" s="23" t="n">
        <x:v>566.90283203125</x:v>
      </x:c>
      <x:c r="I273" s="23" t="n">
        <x:v>572.7578531901041</x:v>
      </x:c>
      <x:c r="J273" s="23" t="n">
        <x:v>585.8030192057291</x:v>
      </x:c>
      <x:c r="K273" s="23" t="n">
        <x:v>593.6807454427083</x:v>
      </x:c>
      <x:c r="L273" s="23" t="n">
        <x:v>593.53515625</x:v>
      </x:c>
      <x:c r="M273" s="23" t="n">
        <x:v>1425.1142171223958</x:v>
      </x:c>
      <x:c r="N273" s="23" t="n">
        <x:v>591.6636555989583</x:v>
      </x:c>
      <x:c r="O273" s="23" t="n">
        <x:v>594.5764973958333</x:v>
      </x:c>
      <x:c r="P273" s="23" t="n">
        <x:v>595.0539143880208</x:v>
      </x:c>
      <x:c r="Q273" s="23" t="n">
        <x:v>600.7563069661458</x:v>
      </x:c>
      <x:c r="R273" s="23" t="n">
        <x:v>1435.486328125</x:v>
      </x:c>
      <x:c r="S273" s="23" t="n">
        <x:v>1430.3256022135415</x:v>
      </x:c>
      <x:c r="T273" s="23" t="n">
        <x:v>594.3138834635416</x:v>
      </x:c>
      <x:c r="U273" s="23" t="n">
        <x:v>595.1506754557291</x:v>
      </x:c>
      <x:c r="V273" s="23" t="n">
        <x:v>597.4560953776041</x:v>
      </x:c>
      <x:c r="W273" s="23" t="n">
        <x:v>602.791259765625</x:v>
      </x:c>
      <x:c r="X273" s="23" t="n">
        <x:v>604.6329345703125</x:v>
      </x:c>
      <x:c r="Y273" s="23" t="n">
        <x:v>595.0072021484375</x:v>
      </x:c>
      <x:c r="Z273" s="23" t="n">
        <x:v>602.6809488932291</x:v>
      </x:c>
      <x:c r="AA273" s="23" t="n">
        <x:v>603.5891927083333</x:v>
      </x:c>
      <x:c r="AB273" s="23" t="n">
        <x:v>610.8382161458333</x:v>
      </x:c>
      <x:c r="AC273" s="23" t="n">
        <x:v>602.4341634114583</x:v>
      </x:c>
      <x:c r="AD273" s="23" t="n">
        <x:v>598.632568359375</x:v>
      </x:c>
      <x:c r="AE273" s="23" t="n">
        <x:v>599.0640869140625</x:v>
      </x:c>
      <x:c r="AF273" s="23" t="n">
        <x:v>600.2262776692708</x:v>
      </x:c>
      <x:c r="AG273" s="23" t="n">
        <x:v>600.907958984375</x:v>
      </x:c>
      <x:c r="AH273" s="23" t="n">
        <x:v>607.8522135416666</x:v>
      </x:c>
      <x:c r="AI273" s="23" t="n">
        <x:v>1433.5296630859375</x:v>
      </x:c>
      <x:c r="AJ273" s="23" t="n">
        <x:v>639.5725504557291</x:v>
      </x:c>
      <x:c r="AK273" s="23" t="n">
        <x:v>0</x:v>
      </x:c>
      <x:c r="AL273" s="23" t="n">
        <x:v>4.00540663354756</x:v>
      </x:c>
      <x:c r="AM273" s="23" t="n">
        <x:v>0</x:v>
      </x:c>
      <x:c r="AN273" s="23" t="n">
        <x:v>0</x:v>
      </x:c>
      <x:c r="AO273" s="23" t="n">
        <x:v>0</x:v>
      </x:c>
      <x:c r="AP273" s="23" t="n">
        <x:v>149.02755060148047</x:v>
      </x:c>
      <x:c r="AQ273" s="23" t="n">
        <x:v>674.2107300058725</x:v>
      </x:c>
      <x:c r="AR273" s="23" t="n">
        <x:v>620.1313328687517</x:v>
      </x:c>
      <x:c r="AS273" s="23" t="n">
        <x:v>567.3873469915367</x:v>
      </x:c>
      <x:c r="AT273" s="23" t="n">
        <x:v>511.97519207733944</x:v>
      </x:c>
      <x:c r="AU273" s="23" t="n">
        <x:v>381.93134471537917</x:v>
      </x:c>
      <x:c r="AV273" s="23" t="n">
        <x:v>483.6628121947592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631.2350680275486</x:v>
      </x:c>
      <x:c r="BP273" s="23" t="n">
        <x:v>608.9246885841712</x:v>
      </x:c>
      <x:c r="BQ273" s="23" t="n">
        <x:v>579.0694419392366</x:v>
      </x:c>
      <x:c r="BR273" s="23" t="n">
        <x:v>455.8472343487688</x:v>
      </x:c>
      <x:c r="BS273" s="23" t="n">
        <x:v>566.6462826047924</x:v>
      </x:c>
      <x:c r="BT273" s="23" t="n">
        <x:v>533.3954139208083</x:v>
      </x:c>
      <x:c r="BU273" s="23" t="n">
        <x:v>490.8629197271657</x:v>
      </x:c>
      <x:c r="BV273" s="23" t="n">
        <x:v>490.2989285011575</x:v>
      </x:c>
      <x:c r="BW273" s="23" t="n">
        <x:v>489.0343077231731</x:v>
      </x:c>
      <x:c r="BX273" s="23" t="n">
        <x:v>494.60241807960904</x:v>
      </x:c>
      <x:c r="BY273" s="23" t="n">
        <x:v>521.6776088204097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248.5349537820387</x:v>
      </x:c>
      <x:c r="CN273" s="23" t="n">
        <x:v>1002.9463416305927</x:v>
      </x:c>
      <x:c r="CO273" s="23" t="n">
        <x:v>354.303530272028</x:v>
      </x:c>
      <x:c r="CP273" s="23" t="n">
        <x:v>407.1336569635855</x:v>
      </x:c>
      <x:c r="CQ273" s="23" t="n">
        <x:v>450.26977028096087</x:v>
      </x:c>
      <x:c r="CR273" s="23" t="n">
        <x:v>511.10500765745337</x:v>
      </x:c>
      <x:c r="CS273" s="23" t="n">
        <x:v>562.6575272030925</x:v>
      </x:c>
      <x:c r="CT273" s="23" t="n">
        <x:v>618.1041891418668</x:v>
      </x:c>
      <x:c r="CU273" s="23" t="n">
        <x:v>669.6237640225496</x:v>
      </x:c>
      <x:c r="CV273" s="23" t="n">
        <x:v>723.9686098785353</x:v>
      </x:c>
      <x:c r="CW273" s="23" t="n">
        <x:v>781.6781524413727</x:v>
      </x:c>
      <x:c r="CX273" s="23" t="n">
        <x:v>837.4305959293263</x:v>
      </x:c>
      <x:c r="CY273" s="23" t="n">
        <x:v>883.3416616066925</x:v>
      </x:c>
      <x:c r="CZ273" s="23" t="n">
        <x:v>936.4560044263426</x:v>
      </x:c>
      <x:c r="DA273" s="23" t="n">
        <x:v>965.4585871014581</x:v>
      </x:c>
      <x:c r="DB273" s="23" t="n">
        <x:v>1002.7601188329973</x:v>
      </x:c>
      <x:c r="DC273" s="23" t="n">
        <x:v>1032.5954548910079</x:v>
      </x:c>
      <x:c r="DD273" s="23" t="n">
        <x:v>875.8377121318335</x:v>
      </x:c>
      <x:c r="DE273" s="23" t="n">
        <x:v>0</x:v>
      </x:c>
      <x:c r="DF273" s="23" t="n">
        <x:v>0</x:v>
      </x:c>
      <x:c r="DG273" s="23" t="n">
        <x:v>0</x:v>
      </x:c>
      <x:c r="DH273" s="23" t="n">
        <x:v>0</x:v>
      </x:c>
      <x:c r="DI273" s="23" t="n">
        <x:v>658.7023518880208</x:v>
      </x:c>
      <x:c r="DJ273" s="23" t="n">
        <x:v>662.6929524739583</x:v>
      </x:c>
      <x:c r="DK273" s="23" t="n">
        <x:v>0</x:v>
      </x:c>
      <x:c r="DL273" s="23" t="n">
        <x:v>0</x:v>
      </x:c>
      <x:c r="DM273" s="23" t="n">
        <x:v>0</x:v>
      </x:c>
      <x:c r="DN273" s="23" t="n">
        <x:v>86.75959798177155</x:v>
      </x:c>
      <x:c r="DO273" s="23" t="n">
        <x:v>0</x:v>
      </x:c>
      <x:c r="DP273" s="23" t="n">
        <x:v>0</x:v>
      </x:c>
      <x:c r="DQ273" s="23" t="n">
        <x:v>0</x:v>
      </x:c>
      <x:c r="DR273" s="23" t="n">
        <x:v>677.0234375</x:v>
      </x:c>
      <x:c r="DS273" s="23" t="n">
        <x:v>682.9912923177083</x:v>
      </x:c>
      <x:c r="DT273" s="23" t="n">
        <x:v>0</x:v>
      </x:c>
      <x:c r="DU273" s="23" t="n">
        <x:v>0</x:v>
      </x:c>
      <x:c r="DV273" s="23" t="n">
        <x:v>662.0650227864583</x:v>
      </x:c>
      <x:c r="DW273" s="23" t="n">
        <x:v>676.7274377853328</x:v>
      </x:c>
      <x:c r="DX273" s="23" t="n">
        <x:v>679.6848958333333</x:v>
      </x:c>
      <x:c r="DY273" s="23" t="n">
        <x:v>668.3937174479166</x:v>
      </x:c>
      <x:c r="DZ273" s="23" t="n">
        <x:v>667.0993245442708</x:v>
      </x:c>
      <x:c r="EA273" s="23" t="n">
        <x:v>710.7299550651043</x:v>
      </x:c>
      <x:c r="EB273" s="23" t="n">
        <x:v>620.7559407552083</x:v>
      </x:c>
      <x:c r="EC273" s="23" t="n">
        <x:v>819.5412055322465</x:v>
      </x:c>
      <x:c r="ED273" s="23" t="n">
        <x:v>1346.0504150390625</x:v>
      </x:c>
      <x:c r="EE273" s="23" t="n">
        <x:v>538.039794921875</x:v>
      </x:c>
      <x:c r="EF273" s="23" t="n">
        <x:v>552.2366943359375</x:v>
      </x:c>
      <x:c r="EG273" s="23" t="n">
        <x:v>549.4899495442708</x:v>
      </x:c>
      <x:c r="EH273" s="23" t="n">
        <x:v>551.1012369791666</x:v>
      </x:c>
      <x:c r="EI273" s="23" t="n">
        <x:v>1387.168497721354</x:v>
      </x:c>
      <x:c r="EJ273" s="23" t="n">
        <x:v>553.7062174479166</x:v>
      </x:c>
      <x:c r="EK273" s="23" t="n">
        <x:v>1381.9168701171875</x:v>
      </x:c>
      <x:c r="EL273" s="23" t="n">
        <x:v>1382.9013671875</x:v>
      </x:c>
      <x:c r="EM273" s="23" t="n">
        <x:v>1385.931437174479</x:v>
      </x:c>
      <x:c r="EN273" s="23" t="n">
        <x:v>533.2638346354166</x:v>
      </x:c>
      <x:c r="EO273" s="23" t="n">
        <x:v>1267.4959716796875</x:v>
      </x:c>
      <x:c r="EP273" s="23" t="n">
        <x:f>SUM(B273:EO273)</x:f>
        <x:v>67990.65319662676</x:v>
      </x:c>
      <x:c r="EQ273" s="23" t="n">
        <x:f>SUMPRODUCT(B273:EO273,{0.4142,0.3768,0.4219,0.4452,0.4407,0.4235,0.4094,0.4356,0.4623,0.4148,0.3987,0.443,0.4707,0.4728,0.458,0.4389,0.4462,0.4626,0.449,0.4795,0.5197,0.4563,0.4021,0.4092,0.423,0.4365,0.4419,0.43,0.4401,0.456,0.4299,0.4522,0.4687,0.3778,0.5805,0.9681,0.9958,0.9105,0.917,0.9665,0.9874,0.9563,0.9055,0.8818,0.8548,0.7881,0.9253,1.2056,1.2888,1.2212,1.1422,1.1442,1.1627,1.1355,1.0649,1.0408,1.0431,0.9721,0.9306,0.9453,0.9402,0.9376,0.956,0.9492,0.7484,0.4751,0.4514,0.5254,0.5603,0.555,0.5082,0.4577,0.4624,0.5031,0.4932,0.3982,0.5561,0.8727,0.8995,0.8626,0.8973,0.9034,0.8986,0.9254,0.9954,1.0316,1.0303,1.0349,0.9077,0.73,0.7467,0.8019,0.8209,0.8741,0.8841,0.8664,0.9267,1.0039,1.0378,1.0287,1.0403,1.088,1.1292,1.1403,1.1225,1.1118,1.1962,1.299,1.2533,1.2355,1.2999,1.3188,1.2781,1.2361,1.2601,1.2902,1.2877,1.2708,1.2727,1.2876,1.2818,1.277,1.2901,1.2956,1.1805,0.9956,0.9234,0.9323,0.9854,1.0353,0.8121,0.4322,0.3217,0.379,0.4368,0.4323,0.4346,0.4688,0.4844,0.4364,0.3724,0.384,0.3845,0.3481})</x:f>
        <x:v>43488.32533100729</x:v>
      </x:c>
    </x:row>
    <x:row r="274" ht="14" customHeight="1">
      <x:c r="A274" s="3">
        <x:v>45961</x:v>
      </x:c>
      <x:c r="B274" s="23" t="n">
        <x:v>402.14208984375</x:v>
      </x:c>
      <x:c r="C274" s="23" t="n">
        <x:v>1238.1818033854165</x:v>
      </x:c>
      <x:c r="D274" s="23" t="n">
        <x:v>405.8577473958333</x:v>
      </x:c>
      <x:c r="E274" s="23" t="n">
        <x:v>413.1333821614583</x:v>
      </x:c>
      <x:c r="F274" s="23" t="n">
        <x:v>413.7930908203125</x:v>
      </x:c>
      <x:c r="G274" s="23" t="n">
        <x:v>416.05131022135413</x:v>
      </x:c>
      <x:c r="H274" s="23" t="n">
        <x:v>415.3004150390625</x:v>
      </x:c>
      <x:c r="I274" s="23" t="n">
        <x:v>420.11124674479163</x:v>
      </x:c>
      <x:c r="J274" s="23" t="n">
        <x:v>421.4912923177083</x:v>
      </x:c>
      <x:c r="K274" s="23" t="n">
        <x:v>274.9501707418542</x:v>
      </x:c>
      <x:c r="L274" s="23" t="n">
        <x:v>0</x:v>
      </x:c>
      <x:c r="M274" s="23" t="n">
        <x:v>423.17484537760413</x:v>
      </x:c>
      <x:c r="N274" s="23" t="n">
        <x:v>1251.3961995442708</x:v>
      </x:c>
      <x:c r="O274" s="23" t="n">
        <x:v>421.3512776692708</x:v>
      </x:c>
      <x:c r="P274" s="23" t="n">
        <x:v>0</x:v>
      </x:c>
      <x:c r="Q274" s="23" t="n">
        <x:v>433.17045084635413</x:v>
      </x:c>
      <x:c r="R274" s="23" t="n">
        <x:v>435.2974446614583</x:v>
      </x:c>
      <x:c r="S274" s="23" t="n">
        <x:v>430.0994466145833</x:v>
      </x:c>
      <x:c r="T274" s="23" t="n">
        <x:v>428.54007975260413</x:v>
      </x:c>
      <x:c r="U274" s="23" t="n">
        <x:v>430.1041259765625</x:v>
      </x:c>
      <x:c r="V274" s="23" t="n">
        <x:v>435.96728515625</x:v>
      </x:c>
      <x:c r="W274" s="23" t="n">
        <x:v>437.37430826822913</x:v>
      </x:c>
      <x:c r="X274" s="23" t="n">
        <x:v>439.3758544921875</x:v>
      </x:c>
      <x:c r="Y274" s="23" t="n">
        <x:v>436.1895751953125</x:v>
      </x:c>
      <x:c r="Z274" s="23" t="n">
        <x:v>432.21293131510413</x:v>
      </x:c>
      <x:c r="AA274" s="23" t="n">
        <x:v>439.13688151041663</x:v>
      </x:c>
      <x:c r="AB274" s="23" t="n">
        <x:v>1273.5477294921875</x:v>
      </x:c>
      <x:c r="AC274" s="23" t="n">
        <x:v>440.7226155598958</x:v>
      </x:c>
      <x:c r="AD274" s="23" t="n">
        <x:v>442.6092529296875</x:v>
      </x:c>
      <x:c r="AE274" s="23" t="n">
        <x:v>439.26847330729163</x:v>
      </x:c>
      <x:c r="AF274" s="23" t="n">
        <x:v>432.58878580729163</x:v>
      </x:c>
      <x:c r="AG274" s="23" t="n">
        <x:v>0</x:v>
      </x:c>
      <x:c r="AH274" s="23" t="n">
        <x:v>440.3603108723958</x:v>
      </x:c>
      <x:c r="AI274" s="23" t="n">
        <x:v>461.1519368489583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0</x:v>
      </x:c>
      <x:c r="CQ274" s="23" t="n">
        <x:v>3.7123174552424034</x:v>
      </x:c>
      <x:c r="CR274" s="23" t="n">
        <x:v>65.15032466316157</x:v>
      </x:c>
      <x:c r="CS274" s="23" t="n">
        <x:v>116.55969905184497</x:v>
      </x:c>
      <x:c r="CT274" s="23" t="n">
        <x:v>179.3264480772379</x:v>
      </x:c>
      <x:c r="CU274" s="23" t="n">
        <x:v>217.36735473547176</x:v>
      </x:c>
      <x:c r="CV274" s="23" t="n">
        <x:v>256.32008176609816</x:v>
      </x:c>
      <x:c r="CW274" s="23" t="n">
        <x:v>355.1406877682267</x:v>
      </x:c>
      <x:c r="CX274" s="23" t="n">
        <x:v>383.43902462011977</x:v>
      </x:c>
      <x:c r="CY274" s="23" t="n">
        <x:v>330.6621856341768</x:v>
      </x:c>
      <x:c r="CZ274" s="23" t="n">
        <x:v>378.284789463837</x:v>
      </x:c>
      <x:c r="DA274" s="23" t="n">
        <x:v>417.1324277249736</x:v>
      </x:c>
      <x:c r="DB274" s="23" t="n">
        <x:v>441.00976310851956</x:v>
      </x:c>
      <x:c r="DC274" s="23" t="n">
        <x:v>446.20176731529915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463.3694661458333</x:v>
      </x:c>
      <x:c r="DX274" s="23" t="n">
        <x:v>474.2417805989583</x:v>
      </x:c>
      <x:c r="DY274" s="23" t="n">
        <x:v>464.7809651692708</x:v>
      </x:c>
      <x:c r="DZ274" s="23" t="n">
        <x:v>465.6905110677083</x:v>
      </x:c>
      <x:c r="EA274" s="23" t="n">
        <x:v>433.9894662580323</x:v>
      </x:c>
      <x:c r="EB274" s="23" t="n">
        <x:v>444.67826334635413</x:v>
      </x:c>
      <x:c r="EC274" s="23" t="n">
        <x:v>392.7257080078125</x:v>
      </x:c>
      <x:c r="ED274" s="23" t="n">
        <x:v>1224.2749837239583</x:v>
      </x:c>
      <x:c r="EE274" s="23" t="n">
        <x:v>392.3512776692708</x:v>
      </x:c>
      <x:c r="EF274" s="23" t="n">
        <x:v>394.1749267578125</x:v>
      </x:c>
      <x:c r="EG274" s="23" t="n">
        <x:v>394.1749267578125</x:v>
      </x:c>
      <x:c r="EH274" s="23" t="n">
        <x:v>397.65775553385413</x:v>
      </x:c>
      <x:c r="EI274" s="23" t="n">
        <x:v>1237.0665283203125</x:v>
      </x:c>
      <x:c r="EJ274" s="23" t="n">
        <x:v>683.6906663371271</x:v>
      </x:c>
      <x:c r="EK274" s="23" t="n">
        <x:v>1238.461710611979</x:v>
      </x:c>
      <x:c r="EL274" s="23" t="n">
        <x:v>1236.2969563802083</x:v>
      </x:c>
      <x:c r="EM274" s="23" t="n">
        <x:v>1236.3666178385415</x:v>
      </x:c>
      <x:c r="EN274" s="23" t="n">
        <x:v>1238.0538330078125</x:v>
      </x:c>
      <x:c r="EO274" s="23" t="n">
        <x:v>412.24235026041663</x:v>
      </x:c>
      <x:c r="EP274" s="23" t="n">
        <x:f>SUM(B274:EO274)</x:f>
        <x:v>32439.247925046737</x:v>
      </x:c>
      <x:c r="EQ274" s="23" t="n">
        <x:f>SUMPRODUCT(B274:EO274,{0.3341,0.3177,0.2901,0.2801,0.3119,0.3474,0.3243,0.3244,0.3655,0.3823,0.3768,0.3462,0.2867,0.2738,0.311,0.3329,0.3674,0.3945,0.3565,0.3291,0.3284,0.3053,0.3203,0.3723,0.3845,0.3415,0.3028,0.3439,0.3745,0.3571,0.3452,0.3759,0.3949,0.3484,0.5072,0.7851,0.8077,0.7951,0.8439,0.8228,0.7913,0.77,0.721,0.7241,0.7234,0.6126,0.722,0.9623,0.9042,0.8637,0.9225,0.8491,0.8505,0.9313,0.8692,0.792,0.7669,0.7338,0.7255,0.7356,0.7123,0.6777,0.6751,0.7016,0.5738,0.3555,0.3085,0.3219,0.3143,0.3192,0.3277,0.3213,0.2915,0.2612,0.2277,0.2016,0.3637,0.6201,0.6701,0.6468,0.6756,0.7386,0.7318,0.6838,0.7222,0.7628,0.788,0.8397,0.7304,0.5347,0.5337,0.5614,0.5475,0.5905,0.6255,0.6272,0.6454,0.6969,0.7564,0.7793,0.7742,0.7488,0.7174,0.7719,0.8254,0.728,0.845,1.1319,1.1601,1.1202,1.14,1.1473,1.1599,1.156,1.0929,1.096,1.1641,1.1689,1.1487,1.1421,1.1359,1.0889,1.0553,1.1047,0.9803,0.7591,0.7913,0.862,0.848,0.8087,0.598,0.3242,0.287,0.3231,0.3158,0.3078,0.3142,0.3285,0.3311,0.3055,0.2927,0.347,0.3556,0.3065})</x:f>
        <x:v>13358.191144754617</x:v>
      </x:c>
    </x:row>
    <x:row r="275" ht="14" customHeight="1">
      <x:c r="A275" s="3">
        <x:v>45962</x:v>
      </x:c>
      <x:c r="B275" s="23" t="n">
        <x:v>409.5199788411458</x:v>
      </x:c>
      <x:c r="C275" s="23" t="n">
        <x:v>407.22123209635413</x:v>
      </x:c>
      <x:c r="D275" s="23" t="n">
        <x:v>414.53470865885413</x:v>
      </x:c>
      <x:c r="E275" s="23" t="n">
        <x:v>417.0354817708333</x:v>
      </x:c>
      <x:c r="F275" s="23" t="n">
        <x:v>421.14798990885413</x:v>
      </x:c>
      <x:c r="G275" s="23" t="n">
        <x:v>424.256591796875</x:v>
      </x:c>
      <x:c r="H275" s="23" t="n">
        <x:v>415.6739501953125</x:v>
      </x:c>
      <x:c r="I275" s="23" t="n">
        <x:v>418.4710693359375</x:v>
      </x:c>
      <x:c r="J275" s="23" t="n">
        <x:v>429.8382568359375</x:v>
      </x:c>
      <x:c r="K275" s="23" t="n">
        <x:v>429.26236979166663</x:v>
      </x:c>
      <x:c r="L275" s="23" t="n">
        <x:v>427.5093994140625</x:v>
      </x:c>
      <x:c r="M275" s="23" t="n">
        <x:v>1258.2513427734375</x:v>
      </x:c>
      <x:c r="N275" s="23" t="n">
        <x:v>1253.064249674479</x:v>
      </x:c>
      <x:c r="O275" s="23" t="n">
        <x:v>422.54227701822913</x:v>
      </x:c>
      <x:c r="P275" s="23" t="n">
        <x:v>432.587646484375</x:v>
      </x:c>
      <x:c r="Q275" s="23" t="n">
        <x:v>432.745849609375</x:v>
      </x:c>
      <x:c r="R275" s="23" t="n">
        <x:v>431.92460123697913</x:v>
      </x:c>
      <x:c r="S275" s="23" t="n">
        <x:v>0</x:v>
      </x:c>
      <x:c r="T275" s="23" t="n">
        <x:v>434.1488037109375</x:v>
      </x:c>
      <x:c r="U275" s="23" t="n">
        <x:v>1212.4734815742224</x:v>
      </x:c>
      <x:c r="V275" s="23" t="n">
        <x:v>436.68912760416663</x:v>
      </x:c>
      <x:c r="W275" s="23" t="n">
        <x:v>0</x:v>
      </x:c>
      <x:c r="X275" s="23" t="n">
        <x:v>439.8948974609375</x:v>
      </x:c>
      <x:c r="Y275" s="23" t="n">
        <x:v>445.3433837890625</x:v>
      </x:c>
      <x:c r="Z275" s="23" t="n">
        <x:v>438.38358561197913</x:v>
      </x:c>
      <x:c r="AA275" s="23" t="n">
        <x:v>440.28190104166663</x:v>
      </x:c>
      <x:c r="AB275" s="23" t="n">
        <x:v>449.5472005208333</x:v>
      </x:c>
      <x:c r="AC275" s="23" t="n">
        <x:v>445.6680501302083</x:v>
      </x:c>
      <x:c r="AD275" s="23" t="n">
        <x:v>448.7262776692708</x:v>
      </x:c>
      <x:c r="AE275" s="23" t="n">
        <x:v>0</x:v>
      </x:c>
      <x:c r="AF275" s="23" t="n">
        <x:v>435.5562337239583</x:v>
      </x:c>
      <x:c r="AG275" s="23" t="n">
        <x:v>442.424560546875</x:v>
      </x:c>
      <x:c r="AH275" s="23" t="n">
        <x:v>450.46842447916663</x:v>
      </x:c>
      <x:c r="AI275" s="23" t="n">
        <x:v>457.14542643229163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</x:v>
      </x:c>
      <x:c r="CQ275" s="23" t="n">
        <x:v>17.116921268055194</x:v>
      </x:c>
      <x:c r="CR275" s="23" t="n">
        <x:v>62.279298252010065</x:v>
      </x:c>
      <x:c r="CS275" s="23" t="n">
        <x:v>122.53160918182243</x:v>
      </x:c>
      <x:c r="CT275" s="23" t="n">
        <x:v>175.4201954393327</x:v>
      </x:c>
      <x:c r="CU275" s="23" t="n">
        <x:v>236.30875485986056</x:v>
      </x:c>
      <x:c r="CV275" s="23" t="n">
        <x:v>300.72318030741343</x:v>
      </x:c>
      <x:c r="CW275" s="23" t="n">
        <x:v>356.9745330642181</x:v>
      </x:c>
      <x:c r="CX275" s="23" t="n">
        <x:v>368.4926973137558</x:v>
      </x:c>
      <x:c r="CY275" s="23" t="n">
        <x:v>339.18201378625315</x:v>
      </x:c>
      <x:c r="CZ275" s="23" t="n">
        <x:v>380.33583279079517</x:v>
      </x:c>
      <x:c r="DA275" s="23" t="n">
        <x:v>418.2265568107151</x:v>
      </x:c>
      <x:c r="DB275" s="23" t="n">
        <x:v>436.97678467071023</x:v>
      </x:c>
      <x:c r="DC275" s="23" t="n">
        <x:v>442.77131397502103</x:v>
      </x:c>
      <x:c r="DD275" s="23" t="n">
        <x:v>0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456.295166015625</x:v>
      </x:c>
      <x:c r="DX275" s="23" t="n">
        <x:v>484.89432779947913</x:v>
      </x:c>
      <x:c r="DY275" s="23" t="n">
        <x:v>465.4992268880208</x:v>
      </x:c>
      <x:c r="DZ275" s="23" t="n">
        <x:v>459.1017659505208</x:v>
      </x:c>
      <x:c r="EA275" s="23" t="n">
        <x:v>453.6963687646926</x:v>
      </x:c>
      <x:c r="EB275" s="23" t="n">
        <x:v>450.7036946614583</x:v>
      </x:c>
      <x:c r="EC275" s="23" t="n">
        <x:v>506.34262888213726</x:v>
      </x:c>
      <x:c r="ED275" s="23" t="n">
        <x:v>1233.6451009114583</x:v>
      </x:c>
      <x:c r="EE275" s="23" t="n">
        <x:v>1236.987548828125</x:v>
      </x:c>
      <x:c r="EF275" s="23" t="n">
        <x:v>405.39432779947913</x:v>
      </x:c>
      <x:c r="EG275" s="23" t="n">
        <x:v>400.72086588541663</x:v>
      </x:c>
      <x:c r="EH275" s="23" t="n">
        <x:v>1229.7284749348958</x:v>
      </x:c>
      <x:c r="EI275" s="23" t="n">
        <x:v>1232.055216471354</x:v>
      </x:c>
      <x:c r="EJ275" s="23" t="n">
        <x:v>1237.443155924479</x:v>
      </x:c>
      <x:c r="EK275" s="23" t="n">
        <x:v>1240.083536783854</x:v>
      </x:c>
      <x:c r="EL275" s="23" t="n">
        <x:v>409.7724609375</x:v>
      </x:c>
      <x:c r="EM275" s="23" t="n">
        <x:v>1236.3507486979165</x:v>
      </x:c>
      <x:c r="EN275" s="23" t="n">
        <x:v>434.6041259765625</x:v>
      </x:c>
      <x:c r="EO275" s="23" t="n">
        <x:v>0</x:v>
      </x:c>
      <x:c r="EP275" s="23" t="n">
        <x:f>SUM(B275:EO275)</x:f>
        <x:v>33052.996783571216</x:v>
      </x:c>
      <x:c r="EQ275" s="23" t="n">
        <x:f>SUMPRODUCT(B275:EO275,{0.3001,0.3141,0.3125,0.2929,0.3123,0.3551,0.3467,0.3256,0.3197,0.3193,0.3234,0.3271,0.3241,0.3316,0.3423,0.3349,0.3471,0.3718,0.362,0.3497,0.3645,0.3956,0.3661,0.3002,0.3029,0.3351,0.3466,0.3243,0.2961,0.2925,0.327,0.376,0.3818,0.3362,0.51,0.7959,0.7981,0.7471,0.758,0.7202,0.7198,0.7543,0.7263,0.7156,0.701,0.6052,0.6923,0.9097,0.9234,0.8791,0.8682,0.8282,0.7911,0.782,0.7918,0.8044,0.7887,0.7263,0.702,0.7109,0.6738,0.6668,0.7087,0.704,0.5032,0.237,0.2088,0.2493,0.2389,0.2265,0.2473,0.2866,0.2961,0.274,0.2437,0.2563,0.4113,0.6125,0.6459,0.6481,0.6725,0.6428,0.654,0.7221,0.7592,0.7577,0.7816,0.8653,0.7466,0.5199,0.5554,0.6096,0.5571,0.5267,0.557,0.6476,0.7582,0.7497,0.6754,0.7199,0.7366,0.6926,0.7199,0.8096,0.8367,0.7239,0.8737,1.193,1.1716,1.0861,1.1129,1.1378,1.1016,1.0568,1.0979,1.1134,1.0842,1.099,1.102,1.0971,1.1438,1.1411,1.1122,1.1578,1.0435,0.8004,0.7212,0.745,0.7994,0.8398,0.6295,0.3095,0.2839,0.3159,0.2784,0.2834,0.3045,0.303,0.2813,0.3052,0.3503,0.3356,0.3694,0.4385})</x:f>
        <x:v>13370.718826552527</x:v>
      </x:c>
    </x:row>
    <x:row r="276" ht="14" customHeight="1">
      <x:c r="A276" s="3">
        <x:v>45963</x:v>
      </x:c>
      <x:c r="B276" s="23" t="n">
        <x:v>584.978271484375</x:v>
      </x:c>
      <x:c r="C276" s="23" t="n">
        <x:v>558.7317708333333</x:v>
      </x:c>
      <x:c r="D276" s="23" t="n">
        <x:v>562.0609537760416</x:v>
      </x:c>
      <x:c r="E276" s="23" t="n">
        <x:v>566.6181233723958</x:v>
      </x:c>
      <x:c r="F276" s="23" t="n">
        <x:v>1404.7281087239583</x:v>
      </x:c>
      <x:c r="G276" s="23" t="n">
        <x:v>575.5675862630208</x:v>
      </x:c>
      <x:c r="H276" s="23" t="n">
        <x:v>581.5890706380208</x:v>
      </x:c>
      <x:c r="I276" s="23" t="n">
        <x:v>583.0998942057291</x:v>
      </x:c>
      <x:c r="J276" s="23" t="n">
        <x:v>578.3966064453125</x:v>
      </x:c>
      <x:c r="K276" s="23" t="n">
        <x:v>582.3106282552083</x:v>
      </x:c>
      <x:c r="L276" s="23" t="n">
        <x:v>586.5728759765625</x:v>
      </x:c>
      <x:c r="M276" s="23" t="n">
        <x:v>1419.7814534505208</x:v>
      </x:c>
      <x:c r="N276" s="23" t="n">
        <x:v>1413.6397705078125</x:v>
      </x:c>
      <x:c r="O276" s="23" t="n">
        <x:v>584.2582194010416</x:v>
      </x:c>
      <x:c r="P276" s="23" t="n">
        <x:v>590.6485188802083</x:v>
      </x:c>
      <x:c r="Q276" s="23" t="n">
        <x:v>595.4095865885416</x:v>
      </x:c>
      <x:c r="R276" s="23" t="n">
        <x:v>1434.0030517578125</x:v>
      </x:c>
      <x:c r="S276" s="23" t="n">
        <x:v>1022.4932413660605</x:v>
      </x:c>
      <x:c r="T276" s="23" t="n">
        <x:v>599.4048258463541</x:v>
      </x:c>
      <x:c r="U276" s="23" t="n">
        <x:v>603.0199381510416</x:v>
      </x:c>
      <x:c r="V276" s="23" t="n">
        <x:v>602.345703125</x:v>
      </x:c>
      <x:c r="W276" s="23" t="n">
        <x:v>603.728271484375</x:v>
      </x:c>
      <x:c r="X276" s="23" t="n">
        <x:v>602.411865234375</x:v>
      </x:c>
      <x:c r="Y276" s="23" t="n">
        <x:v>600.4743245442708</x:v>
      </x:c>
      <x:c r="Z276" s="23" t="n">
        <x:v>596.6974283854166</x:v>
      </x:c>
      <x:c r="AA276" s="23" t="n">
        <x:v>598.5448811848958</x:v>
      </x:c>
      <x:c r="AB276" s="23" t="n">
        <x:v>601.8016764322916</x:v>
      </x:c>
      <x:c r="AC276" s="23" t="n">
        <x:v>602.93115234375</x:v>
      </x:c>
      <x:c r="AD276" s="23" t="n">
        <x:v>604.4051513671875</x:v>
      </x:c>
      <x:c r="AE276" s="23" t="n">
        <x:v>601.2479654947916</x:v>
      </x:c>
      <x:c r="AF276" s="23" t="n">
        <x:v>1417.904296875</x:v>
      </x:c>
      <x:c r="AG276" s="23" t="n">
        <x:v>602.4070638020833</x:v>
      </x:c>
      <x:c r="AH276" s="23" t="n">
        <x:v>607.80419921875</x:v>
      </x:c>
      <x:c r="AI276" s="23" t="n">
        <x:v>1428.0831705729165</x:v>
      </x:c>
      <x:c r="AJ276" s="23" t="n">
        <x:v>622.1941731770833</x:v>
      </x:c>
      <x:c r="AK276" s="23" t="n">
        <x:v>0</x:v>
      </x:c>
      <x:c r="AL276" s="23" t="n">
        <x:v>9.325224930241347</x:v>
      </x:c>
      <x:c r="AM276" s="23" t="n">
        <x:v>287.2515619518293</x:v>
      </x:c>
      <x:c r="AN276" s="23" t="n">
        <x:v>0</x:v>
      </x:c>
      <x:c r="AO276" s="23" t="n">
        <x:v>0</x:v>
      </x:c>
      <x:c r="AP276" s="23" t="n">
        <x:v>0</x:v>
      </x:c>
      <x:c r="AQ276" s="23" t="n">
        <x:v>676.7629708376323</x:v>
      </x:c>
      <x:c r="AR276" s="23" t="n">
        <x:v>633.5824089596272</x:v>
      </x:c>
      <x:c r="AS276" s="23" t="n">
        <x:v>590.6253698898413</x:v>
      </x:c>
      <x:c r="AT276" s="23" t="n">
        <x:v>533.9624598270121</x:v>
      </x:c>
      <x:c r="AU276" s="23" t="n">
        <x:v>447.09302413866203</x:v>
      </x:c>
      <x:c r="AV276" s="23" t="n">
        <x:v>495.8261904344907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632.3880249233675</x:v>
      </x:c>
      <x:c r="BP276" s="23" t="n">
        <x:v>618.7439805922277</x:v>
      </x:c>
      <x:c r="BQ276" s="23" t="n">
        <x:v>609.8657171211071</x:v>
      </x:c>
      <x:c r="BR276" s="23" t="n">
        <x:v>602.456583053658</x:v>
      </x:c>
      <x:c r="BS276" s="23" t="n">
        <x:v>596.2128566414538</x:v>
      </x:c>
      <x:c r="BT276" s="23" t="n">
        <x:v>568.6162634014529</x:v>
      </x:c>
      <x:c r="BU276" s="23" t="n">
        <x:v>548.7745671410609</x:v>
      </x:c>
      <x:c r="BV276" s="23" t="n">
        <x:v>529.0872260563398</x:v>
      </x:c>
      <x:c r="BW276" s="23" t="n">
        <x:v>558.7925520713773</x:v>
      </x:c>
      <x:c r="BX276" s="23" t="n">
        <x:v>575.9256836277305</x:v>
      </x:c>
      <x:c r="BY276" s="23" t="n">
        <x:v>569.2868896504611</x:v>
      </x:c>
      <x:c r="BZ276" s="23" t="n">
        <x:v>139.95682197400757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298.044572899738</x:v>
      </x:c>
      <x:c r="CN276" s="23" t="n">
        <x:v>1165.8488738748624</x:v>
      </x:c>
      <x:c r="CO276" s="23" t="n">
        <x:v>374.6892002845336</x:v>
      </x:c>
      <x:c r="CP276" s="23" t="n">
        <x:v>430.86778649767666</x:v>
      </x:c>
      <x:c r="CQ276" s="23" t="n">
        <x:v>487.739846484921</x:v>
      </x:c>
      <x:c r="CR276" s="23" t="n">
        <x:v>538.0654756590932</x:v>
      </x:c>
      <x:c r="CS276" s="23" t="n">
        <x:v>592.7025044321945</x:v>
      </x:c>
      <x:c r="CT276" s="23" t="n">
        <x:v>648.4979288488161</x:v>
      </x:c>
      <x:c r="CU276" s="23" t="n">
        <x:v>703.8810192432177</x:v>
      </x:c>
      <x:c r="CV276" s="23" t="n">
        <x:v>753.7120233328699</x:v>
      </x:c>
      <x:c r="CW276" s="23" t="n">
        <x:v>799.7554398185899</x:v>
      </x:c>
      <x:c r="CX276" s="23" t="n">
        <x:v>855.7216446388941</x:v>
      </x:c>
      <x:c r="CY276" s="23" t="n">
        <x:v>905.6651341034901</x:v>
      </x:c>
      <x:c r="CZ276" s="23" t="n">
        <x:v>956.6749208550129</x:v>
      </x:c>
      <x:c r="DA276" s="23" t="n">
        <x:v>991.8013493500698</x:v>
      </x:c>
      <x:c r="DB276" s="23" t="n">
        <x:v>1020.591669091874</x:v>
      </x:c>
      <x:c r="DC276" s="23" t="n">
        <x:v>1047.5751953125</x:v>
      </x:c>
      <x:c r="DD276" s="23" t="n">
        <x:v>915.3552868069788</x:v>
      </x:c>
      <x:c r="DE276" s="23" t="n">
        <x:v>0</x:v>
      </x:c>
      <x:c r="DF276" s="23" t="n">
        <x:v>0</x:v>
      </x:c>
      <x:c r="DG276" s="23" t="n">
        <x:v>0</x:v>
      </x:c>
      <x:c r="DH276" s="23" t="n">
        <x:v>0</x:v>
      </x:c>
      <x:c r="DI276" s="23" t="n">
        <x:v>0</x:v>
      </x:c>
      <x:c r="DJ276" s="23" t="n">
        <x:v>665.9226481119791</x:v>
      </x:c>
      <x:c r="DK276" s="23" t="n">
        <x:v>0</x:v>
      </x:c>
      <x:c r="DL276" s="23" t="n">
        <x:v>0</x:v>
      </x:c>
      <x:c r="DM276" s="23" t="n">
        <x:v>692.2867024739583</x:v>
      </x:c>
      <x:c r="DN276" s="23" t="n">
        <x:v>0</x:v>
      </x:c>
      <x:c r="DO276" s="23" t="n">
        <x:v>659.5353597005208</x:v>
      </x:c>
      <x:c r="DP276" s="23" t="n">
        <x:v>0</x:v>
      </x:c>
      <x:c r="DQ276" s="23" t="n">
        <x:v>0</x:v>
      </x:c>
      <x:c r="DR276" s="23" t="n">
        <x:v>314.18757031249845</x:v>
      </x:c>
      <x:c r="DS276" s="23" t="n">
        <x:v>706.47998046875</x:v>
      </x:c>
      <x:c r="DT276" s="23" t="n">
        <x:v>0</x:v>
      </x:c>
      <x:c r="DU276" s="23" t="n">
        <x:v>0</x:v>
      </x:c>
      <x:c r="DV276" s="23" t="n">
        <x:v>693.0345865885416</x:v>
      </x:c>
      <x:c r="DW276" s="23" t="n">
        <x:v>693.1045735677083</x:v>
      </x:c>
      <x:c r="DX276" s="23" t="n">
        <x:v>707.7549666843494</x:v>
      </x:c>
      <x:c r="DY276" s="23" t="n">
        <x:v>701.101318359375</x:v>
      </x:c>
      <x:c r="DZ276" s="23" t="n">
        <x:v>710.0381673177083</x:v>
      </x:c>
      <x:c r="EA276" s="23" t="n">
        <x:v>731.5743001302083</x:v>
      </x:c>
      <x:c r="EB276" s="23" t="n">
        <x:v>624.0011800130208</x:v>
      </x:c>
      <x:c r="EC276" s="23" t="n">
        <x:v>1374.968994140625</x:v>
      </x:c>
      <x:c r="ED276" s="23" t="n">
        <x:v>1347.94580078125</x:v>
      </x:c>
      <x:c r="EE276" s="23" t="n">
        <x:v>539.7059326171875</x:v>
      </x:c>
      <x:c r="EF276" s="23" t="n">
        <x:v>542.9546712239583</x:v>
      </x:c>
      <x:c r="EG276" s="23" t="n">
        <x:v>1374.2478841145833</x:v>
      </x:c>
      <x:c r="EH276" s="23" t="n">
        <x:v>1386.1264241536458</x:v>
      </x:c>
      <x:c r="EI276" s="23" t="n">
        <x:v>810.8944273847412</x:v>
      </x:c>
      <x:c r="EJ276" s="23" t="n">
        <x:v>550.454345703125</x:v>
      </x:c>
      <x:c r="EK276" s="23" t="n">
        <x:v>1399.8140869140625</x:v>
      </x:c>
      <x:c r="EL276" s="23" t="n">
        <x:v>1403.7315266927083</x:v>
      </x:c>
      <x:c r="EM276" s="23" t="n">
        <x:v>567.023681640625</x:v>
      </x:c>
      <x:c r="EN276" s="23" t="n">
        <x:v>570.9737141927083</x:v>
      </x:c>
      <x:c r="EO276" s="23" t="n">
        <x:v>574.7320556640625</x:v>
      </x:c>
      <x:c r="EP276" s="23" t="n">
        <x:f>SUM(B276:EO276)</x:f>
        <x:v>70174.61496687637</x:v>
      </x:c>
      <x:c r="EQ276" s="23" t="n">
        <x:f>SUMPRODUCT(B276:EO276,{0.4193,0.4167,0.4411,0.4,0.3968,0.4418,0.4362,0.4214,0.4245,0.4278,0.4374,0.4528,0.4642,0.474,0.4766,0.4601,0.433,0.4338,0.4884,0.4797,0.4251,0.4532,0.4612,0.4321,0.4585,0.4907,0.4922,0.4757,0.4498,0.4295,0.4365,0.4792,0.4877,0.417,0.5985,0.9397,0.996,0.9785,1.0105,0.993,0.9614,0.9438,0.9322,0.9458,0.9159,0.7928,0.9571,1.2816,1.2467,1.2062,1.2805,1.2226,1.1478,1.124,1.093,1.0637,1.0614,1.0891,1.073,1.0208,1.002,0.9377,0.8975,1.0024,0.8574,0.5375,0.5248,0.541,0.467,0.4705,0.4486,0.3899,0.4125,0.4968,0.5323,0.4541,0.5763,0.879,1.0055,0.972,0.9181,0.9548,0.9836,0.9858,1.032,1.0307,1.0278,1.1304,0.9983,0.7175,0.7362,0.8048,0.8003,0.8534,0.8844,0.8829,0.9287,0.9691,0.9771,0.989,1.0479,1.1238,1.138,1.1145,1.086,1.0809,1.1745,1.2847,1.2469,1.23,1.2761,1.2608,1.242,1.2702,1.3226,1.3079,1.2507,1.2617,1.27,1.2636,1.3032,1.3248,1.3082,1.2762,1.1274,0.9289,0.8781,0.8943,0.9328,0.9883,0.8024,0.4718,0.3823,0.4039,0.4095,0.4108,0.425,0.435,0.4116,0.4095,0.4306,0.4202,0.3959,0.4004})</x:f>
        <x:v>45324.87285886892</x:v>
      </x:c>
    </x:row>
    <x:row r="277" ht="14" customHeight="1">
      <x:c r="A277" s="3">
        <x:v>45964</x:v>
      </x:c>
      <x:c r="B277" s="23" t="n">
        <x:v>571.1007893880208</x:v>
      </x:c>
      <x:c r="C277" s="23" t="n">
        <x:v>1400.292277018229</x:v>
      </x:c>
      <x:c r="D277" s="23" t="n">
        <x:v>1394.771769205729</x:v>
      </x:c>
      <x:c r="E277" s="23" t="n">
        <x:v>1397.567138671875</x:v>
      </x:c>
      <x:c r="F277" s="23" t="n">
        <x:v>572.9882405598958</x:v>
      </x:c>
      <x:c r="G277" s="23" t="n">
        <x:v>575.7297770182291</x:v>
      </x:c>
      <x:c r="H277" s="23" t="n">
        <x:v>577.8441162109375</x:v>
      </x:c>
      <x:c r="I277" s="23" t="n">
        <x:v>1014.2243482445998</x:v>
      </x:c>
      <x:c r="J277" s="23" t="n">
        <x:v>568.4376627604166</x:v>
      </x:c>
      <x:c r="K277" s="23" t="n">
        <x:v>579.2956136067708</x:v>
      </x:c>
      <x:c r="L277" s="23" t="n">
        <x:v>590.513671875</x:v>
      </x:c>
      <x:c r="M277" s="23" t="n">
        <x:v>594.1482747395833</x:v>
      </x:c>
      <x:c r="N277" s="23" t="n">
        <x:v>1423.4356282552083</x:v>
      </x:c>
      <x:c r="O277" s="23" t="n">
        <x:v>593.5914306640625</x:v>
      </x:c>
      <x:c r="P277" s="23" t="n">
        <x:v>598.02880859375</x:v>
      </x:c>
      <x:c r="Q277" s="23" t="n">
        <x:v>601.5478515625</x:v>
      </x:c>
      <x:c r="R277" s="23" t="n">
        <x:v>597.5450032552083</x:v>
      </x:c>
      <x:c r="S277" s="23" t="n">
        <x:v>588.6333821614583</x:v>
      </x:c>
      <x:c r="T277" s="23" t="n">
        <x:v>601.873046875</x:v>
      </x:c>
      <x:c r="U277" s="23" t="n">
        <x:v>601.4298502604166</x:v>
      </x:c>
      <x:c r="V277" s="23" t="n">
        <x:v>593.5991617838541</x:v>
      </x:c>
      <x:c r="W277" s="23" t="n">
        <x:v>600.4759521484375</x:v>
      </x:c>
      <x:c r="X277" s="23" t="n">
        <x:v>601.8016357421875</x:v>
      </x:c>
      <x:c r="Y277" s="23" t="n">
        <x:v>601.0390625</x:v>
      </x:c>
      <x:c r="Z277" s="23" t="n">
        <x:v>599.7860514322916</x:v>
      </x:c>
      <x:c r="AA277" s="23" t="n">
        <x:v>600.5317789713541</x:v>
      </x:c>
      <x:c r="AB277" s="23" t="n">
        <x:v>603.2516276041666</x:v>
      </x:c>
      <x:c r="AC277" s="23" t="n">
        <x:v>603.246337890625</x:v>
      </x:c>
      <x:c r="AD277" s="23" t="n">
        <x:v>603.3138020833333</x:v>
      </x:c>
      <x:c r="AE277" s="23" t="n">
        <x:v>604.6918131510416</x:v>
      </x:c>
      <x:c r="AF277" s="23" t="n">
        <x:v>1421.511962890625</x:v>
      </x:c>
      <x:c r="AG277" s="23" t="n">
        <x:v>1421.9340006510415</x:v>
      </x:c>
      <x:c r="AH277" s="23" t="n">
        <x:v>603.4559733072916</x:v>
      </x:c>
      <x:c r="AI277" s="23" t="n">
        <x:v>603.2760823567708</x:v>
      </x:c>
      <x:c r="AJ277" s="23" t="n">
        <x:v>655.2415771484375</x:v>
      </x:c>
      <x:c r="AK277" s="23" t="n">
        <x:v>344.72522375404526</x:v>
      </x:c>
      <x:c r="AL277" s="23" t="n">
        <x:v>4.0878756090108554</x:v>
      </x:c>
      <x:c r="AM277" s="23" t="n">
        <x:v>3.326123735569581</x:v>
      </x:c>
      <x:c r="AN277" s="23" t="n">
        <x:v>0</x:v>
      </x:c>
      <x:c r="AO277" s="23" t="n">
        <x:v>0</x:v>
      </x:c>
      <x:c r="AP277" s="23" t="n">
        <x:v>730.8127562388091</x:v>
      </x:c>
      <x:c r="AQ277" s="23" t="n">
        <x:v>685.8569000306408</x:v>
      </x:c>
      <x:c r="AR277" s="23" t="n">
        <x:v>641.0665930535381</x:v>
      </x:c>
      <x:c r="AS277" s="23" t="n">
        <x:v>593.6174074495916</x:v>
      </x:c>
      <x:c r="AT277" s="23" t="n">
        <x:v>543.5164082216693</x:v>
      </x:c>
      <x:c r="AU277" s="23" t="n">
        <x:v>469.8887591434251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647.0558291405274</x:v>
      </x:c>
      <x:c r="BP277" s="23" t="n">
        <x:v>631.6422135278847</x:v>
      </x:c>
      <x:c r="BQ277" s="23" t="n">
        <x:v>632.6095866483852</x:v>
      </x:c>
      <x:c r="BR277" s="23" t="n">
        <x:v>616.1713022836353</x:v>
      </x:c>
      <x:c r="BS277" s="23" t="n">
        <x:v>608.2658248636046</x:v>
      </x:c>
      <x:c r="BT277" s="23" t="n">
        <x:v>583.3141519421506</x:v>
      </x:c>
      <x:c r="BU277" s="23" t="n">
        <x:v>556.9067073726674</x:v>
      </x:c>
      <x:c r="BV277" s="23" t="n">
        <x:v>539.1466735097067</x:v>
      </x:c>
      <x:c r="BW277" s="23" t="n">
        <x:v>551.0985667031894</x:v>
      </x:c>
      <x:c r="BX277" s="23" t="n">
        <x:v>550.2292841699506</x:v>
      </x:c>
      <x:c r="BY277" s="23" t="n">
        <x:v>579.113570133136</x:v>
      </x:c>
      <x:c r="BZ277" s="23" t="n">
        <x:v>270.1543170541357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233.83224292398577</x:v>
      </x:c>
      <x:c r="CM277" s="23" t="n">
        <x:v>923.7069877916838</x:v>
      </x:c>
      <x:c r="CN277" s="23" t="n">
        <x:v>332.81962086167493</x:v>
      </x:c>
      <x:c r="CO277" s="23" t="n">
        <x:v>388.00854451168226</x:v>
      </x:c>
      <x:c r="CP277" s="23" t="n">
        <x:v>440.9066082204327</x:v>
      </x:c>
      <x:c r="CQ277" s="23" t="n">
        <x:v>477.5233932453858</x:v>
      </x:c>
      <x:c r="CR277" s="23" t="n">
        <x:v>533.6923011234151</x:v>
      </x:c>
      <x:c r="CS277" s="23" t="n">
        <x:v>590.6018944211053</x:v>
      </x:c>
      <x:c r="CT277" s="23" t="n">
        <x:v>644.1488237839808</x:v>
      </x:c>
      <x:c r="CU277" s="23" t="n">
        <x:v>697.6878665619213</x:v>
      </x:c>
      <x:c r="CV277" s="23" t="n">
        <x:v>756.6311885466936</x:v>
      </x:c>
      <x:c r="CW277" s="23" t="n">
        <x:v>812.4536425861243</x:v>
      </x:c>
      <x:c r="CX277" s="23" t="n">
        <x:v>863.7350508851333</x:v>
      </x:c>
      <x:c r="CY277" s="23" t="n">
        <x:v>912.4491806074382</x:v>
      </x:c>
      <x:c r="CZ277" s="23" t="n">
        <x:v>951.277451198348</x:v>
      </x:c>
      <x:c r="DA277" s="23" t="n">
        <x:v>979.7747345531862</x:v>
      </x:c>
      <x:c r="DB277" s="23" t="n">
        <x:v>1003.1873684745026</x:v>
      </x:c>
      <x:c r="DC277" s="23" t="n">
        <x:v>1031.372802734375</x:v>
      </x:c>
      <x:c r="DD277" s="23" t="n">
        <x:v>882.2301774610778</x:v>
      </x:c>
      <x:c r="DE277" s="23" t="n">
        <x:v>0</x:v>
      </x:c>
      <x:c r="DF277" s="23" t="n">
        <x:v>0</x:v>
      </x:c>
      <x:c r="DG277" s="23" t="n">
        <x:v>706.05810546875</x:v>
      </x:c>
      <x:c r="DH277" s="23" t="n">
        <x:v>700.1119791666666</x:v>
      </x:c>
      <x:c r="DI277" s="23" t="n">
        <x:v>715.3099772135416</x:v>
      </x:c>
      <x:c r="DJ277" s="23" t="n">
        <x:v>716.7958984375</x:v>
      </x:c>
      <x:c r="DK277" s="23" t="n">
        <x:v>0</x:v>
      </x:c>
      <x:c r="DL277" s="23" t="n">
        <x:v>0</x:v>
      </x:c>
      <x:c r="DM277" s="23" t="n">
        <x:v>0</x:v>
      </x:c>
      <x:c r="DN277" s="23" t="n">
        <x:v>671.4330605468749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707.046142578125</x:v>
      </x:c>
      <x:c r="DW277" s="23" t="n">
        <x:v>714.057373046875</x:v>
      </x:c>
      <x:c r="DX277" s="23" t="n">
        <x:v>718.72802734375</x:v>
      </x:c>
      <x:c r="DY277" s="23" t="n">
        <x:v>722.2203776041666</x:v>
      </x:c>
      <x:c r="DZ277" s="23" t="n">
        <x:v>713.5729166666666</x:v>
      </x:c>
      <x:c r="EA277" s="23" t="n">
        <x:v>706.8890597786458</x:v>
      </x:c>
      <x:c r="EB277" s="23" t="n">
        <x:v>656.5389811197916</x:v>
      </x:c>
      <x:c r="EC277" s="23" t="n">
        <x:v>1377.416259765625</x:v>
      </x:c>
      <x:c r="ED277" s="23" t="n">
        <x:v>1378.8815104166665</x:v>
      </x:c>
      <x:c r="EE277" s="23" t="n">
        <x:v>550.45654296875</x:v>
      </x:c>
      <x:c r="EF277" s="23" t="n">
        <x:v>553.0966796875</x:v>
      </x:c>
      <x:c r="EG277" s="23" t="n">
        <x:v>1388.9300944010415</x:v>
      </x:c>
      <x:c r="EH277" s="23" t="n">
        <x:v>1395.5386555989583</x:v>
      </x:c>
      <x:c r="EI277" s="23" t="n">
        <x:v>563.2427571614583</x:v>
      </x:c>
      <x:c r="EJ277" s="23" t="n">
        <x:v>564.7489013671875</x:v>
      </x:c>
      <x:c r="EK277" s="23" t="n">
        <x:v>844.6976650350443</x:v>
      </x:c>
      <x:c r="EL277" s="23" t="n">
        <x:v>1392.81103515625</x:v>
      </x:c>
      <x:c r="EM277" s="23" t="n">
        <x:v>1394.1397705078125</x:v>
      </x:c>
      <x:c r="EN277" s="23" t="n">
        <x:v>568.3275146484375</x:v>
      </x:c>
      <x:c r="EO277" s="23" t="n">
        <x:v>571.7207438151041</x:v>
      </x:c>
      <x:c r="EP277" s="23" t="n">
        <x:f>SUM(B277:EO277)</x:f>
        <x:v>71391.57148516695</x:v>
      </x:c>
      <x:c r="EQ277" s="23" t="n">
        <x:f>SUMPRODUCT(B277:EO277,{0.4556,0.4785,0.4531,0.4394,0.43,0.4306,0.4534,0.4173,0.3502,0.37,0.4238,0.4449,0.4237,0.4542,0.5071,0.4619,0.422,0.4379,0.4592,0.4726,0.468,0.4379,0.4148,0.42,0.4454,0.4501,0.4282,0.4153,0.4363,0.4564,0.425,0.4447,0.4668,0.3909,0.6392,1.0561,1.0291,0.9411,0.9921,0.9901,0.9327,0.8701,0.846,0.8706,0.8506,0.724,0.9033,1.2755,1.2874,1.1951,1.1917,1.1974,1.1357,1.0661,1.1112,1.1222,1.0756,1.0874,1.0628,1.0125,1.0422,1.0062,0.965,1.0869,0.9157,0.537,0.5259,0.6243,0.6103,0.5336,0.5134,0.5546,0.5633,0.5655,0.5485,0.5001,0.671,0.9358,0.9059,0.8954,0.9817,0.9285,0.9042,0.9597,0.9662,0.9676,1.0242,1.1063,0.9626,0.7095,0.7344,0.8247,0.851,0.8929,0.9174,0.9163,0.9298,0.9676,1.0037,1.0059,1.0274,1.0719,1.0898,1.1013,1.1129,1.1235,1.2203,1.3314,1.2875,1.2489,1.2723,1.2619,1.2621,1.2832,1.2862,1.3127,1.3283,1.2592,1.2551,1.3228,1.3137,1.2569,1.2437,1.3092,1.2156,1.0079,0.9754,0.9863,0.9588,0.9206,0.7179,0.4513,0.4087,0.4261,0.4022,0.3972,0.4015,0.3876,0.3519,0.3748,0.4417,0.4467,0.3857,0.3421})</x:f>
        <x:v>46764.379433352304</x:v>
      </x:c>
    </x:row>
    <x:row r="278" ht="14" customHeight="1">
      <x:c r="A278" s="3">
        <x:v>45965</x:v>
      </x:c>
      <x:c r="B278" s="23" t="n">
        <x:v>569.4191487630208</x:v>
      </x:c>
      <x:c r="C278" s="23" t="n">
        <x:v>575.4504801432291</x:v>
      </x:c>
      <x:c r="D278" s="23" t="n">
        <x:v>986.857182258713</x:v>
      </x:c>
      <x:c r="E278" s="23" t="n">
        <x:v>574.5145670572916</x:v>
      </x:c>
      <x:c r="F278" s="23" t="n">
        <x:v>575.3186442057291</x:v>
      </x:c>
      <x:c r="G278" s="23" t="n">
        <x:v>1412.6617024739583</x:v>
      </x:c>
      <x:c r="H278" s="23" t="n">
        <x:v>1408.9991861979165</x:v>
      </x:c>
      <x:c r="I278" s="23" t="n">
        <x:v>1410.2374267578125</x:v>
      </x:c>
      <x:c r="J278" s="23" t="n">
        <x:v>588.0623372395833</x:v>
      </x:c>
      <x:c r="K278" s="23" t="n">
        <x:v>596.0812581380208</x:v>
      </x:c>
      <x:c r="L278" s="23" t="n">
        <x:v>596.4965413411458</x:v>
      </x:c>
      <x:c r="M278" s="23" t="n">
        <x:v>1429.134033203125</x:v>
      </x:c>
      <x:c r="N278" s="23" t="n">
        <x:v>1411.9953206380208</x:v>
      </x:c>
      <x:c r="O278" s="23" t="n">
        <x:v>584.5075276692708</x:v>
      </x:c>
      <x:c r="P278" s="23" t="n">
        <x:v>599.7069905598958</x:v>
      </x:c>
      <x:c r="Q278" s="23" t="n">
        <x:v>601.49072265625</x:v>
      </x:c>
      <x:c r="R278" s="23" t="n">
        <x:v>603.0865885416666</x:v>
      </x:c>
      <x:c r="S278" s="23" t="n">
        <x:v>603.0865885416666</x:v>
      </x:c>
      <x:c r="T278" s="23" t="n">
        <x:v>601.1890462239583</x:v>
      </x:c>
      <x:c r="U278" s="23" t="n">
        <x:v>1429.8780517578125</x:v>
      </x:c>
      <x:c r="V278" s="23" t="n">
        <x:v>596.2356363932291</x:v>
      </x:c>
      <x:c r="W278" s="23" t="n">
        <x:v>599.6671549479166</x:v>
      </x:c>
      <x:c r="X278" s="23" t="n">
        <x:v>602.0147705078125</x:v>
      </x:c>
      <x:c r="Y278" s="23" t="n">
        <x:v>602.4442545572916</x:v>
      </x:c>
      <x:c r="Z278" s="23" t="n">
        <x:v>595.520263671875</x:v>
      </x:c>
      <x:c r="AA278" s="23" t="n">
        <x:v>599.541748046875</x:v>
      </x:c>
      <x:c r="AB278" s="23" t="n">
        <x:v>603.1922200520833</x:v>
      </x:c>
      <x:c r="AC278" s="23" t="n">
        <x:v>602.3140055338541</x:v>
      </x:c>
      <x:c r="AD278" s="23" t="n">
        <x:v>601.57275390625</x:v>
      </x:c>
      <x:c r="AE278" s="23" t="n">
        <x:v>604.8939208984375</x:v>
      </x:c>
      <x:c r="AF278" s="23" t="n">
        <x:v>604.9781087239583</x:v>
      </x:c>
      <x:c r="AG278" s="23" t="n">
        <x:v>606.7366943359375</x:v>
      </x:c>
      <x:c r="AH278" s="23" t="n">
        <x:v>610.5223795572916</x:v>
      </x:c>
      <x:c r="AI278" s="23" t="n">
        <x:v>597.724365234375</x:v>
      </x:c>
      <x:c r="AJ278" s="23" t="n">
        <x:v>656.2197265625</x:v>
      </x:c>
      <x:c r="AK278" s="23" t="n">
        <x:v>0</x:v>
      </x:c>
      <x:c r="AL278" s="23" t="n">
        <x:v>2.9096812917722064</x:v>
      </x:c>
      <x:c r="AM278" s="23" t="n">
        <x:v>0</x:v>
      </x:c>
      <x:c r="AN278" s="23" t="n">
        <x:v>0</x:v>
      </x:c>
      <x:c r="AO278" s="23" t="n">
        <x:v>406.79796210092877</x:v>
      </x:c>
      <x:c r="AP278" s="23" t="n">
        <x:v>738.5792129175436</x:v>
      </x:c>
      <x:c r="AQ278" s="23" t="n">
        <x:v>695.6701504941772</x:v>
      </x:c>
      <x:c r="AR278" s="23" t="n">
        <x:v>644.7466548322757</x:v>
      </x:c>
      <x:c r="AS278" s="23" t="n">
        <x:v>591.5671640220103</x:v>
      </x:c>
      <x:c r="AT278" s="23" t="n">
        <x:v>0</x:v>
      </x:c>
      <x:c r="AU278" s="23" t="n">
        <x:v>448.75644314615266</x:v>
      </x:c>
      <x:c r="AV278" s="23" t="n">
        <x:v>490.9885822808467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678.4649548258654</x:v>
      </x:c>
      <x:c r="BP278" s="23" t="n">
        <x:v>664.897642509718</x:v>
      </x:c>
      <x:c r="BQ278" s="23" t="n">
        <x:v>648.1608828529424</x:v>
      </x:c>
      <x:c r="BR278" s="23" t="n">
        <x:v>633.6667297651239</x:v>
      </x:c>
      <x:c r="BS278" s="23" t="n">
        <x:v>639.1025314665873</x:v>
      </x:c>
      <x:c r="BT278" s="23" t="n">
        <x:v>621.329255913668</x:v>
      </x:c>
      <x:c r="BU278" s="23" t="n">
        <x:v>573.7966921933523</x:v>
      </x:c>
      <x:c r="BV278" s="23" t="n">
        <x:v>562.0530445940062</x:v>
      </x:c>
      <x:c r="BW278" s="23" t="n">
        <x:v>571.6055941365091</x:v>
      </x:c>
      <x:c r="BX278" s="23" t="n">
        <x:v>588.7726676072657</x:v>
      </x:c>
      <x:c r="BY278" s="23" t="n">
        <x:v>606.5523837629831</x:v>
      </x:c>
      <x:c r="BZ278" s="23" t="n">
        <x:v>395.263034367378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335.39211108135834</x:v>
      </x:c>
      <x:c r="CN278" s="23" t="n">
        <x:v>1168.2741629593263</x:v>
      </x:c>
      <x:c r="CO278" s="23" t="n">
        <x:v>397.013845776527</x:v>
      </x:c>
      <x:c r="CP278" s="23" t="n">
        <x:v>448.5715639131863</x:v>
      </x:c>
      <x:c r="CQ278" s="23" t="n">
        <x:v>491.58309194013555</x:v>
      </x:c>
      <x:c r="CR278" s="23" t="n">
        <x:v>540.4492795033084</x:v>
      </x:c>
      <x:c r="CS278" s="23" t="n">
        <x:v>599.3449264268212</x:v>
      </x:c>
      <x:c r="CT278" s="23" t="n">
        <x:v>650.7156242244303</x:v>
      </x:c>
      <x:c r="CU278" s="23" t="n">
        <x:v>702.0858038311713</x:v>
      </x:c>
      <x:c r="CV278" s="23" t="n">
        <x:v>760.1688334470824</x:v>
      </x:c>
      <x:c r="CW278" s="23" t="n">
        <x:v>814.1576018844296</x:v>
      </x:c>
      <x:c r="CX278" s="23" t="n">
        <x:v>867.5781862928358</x:v>
      </x:c>
      <x:c r="CY278" s="23" t="n">
        <x:v>920.6854910201706</x:v>
      </x:c>
      <x:c r="CZ278" s="23" t="n">
        <x:v>956.2734291490675</x:v>
      </x:c>
      <x:c r="DA278" s="23" t="n">
        <x:v>974.1394955842326</x:v>
      </x:c>
      <x:c r="DB278" s="23" t="n">
        <x:v>993.6607031451591</x:v>
      </x:c>
      <x:c r="DC278" s="23" t="n">
        <x:v>1030.407958984375</x:v>
      </x:c>
      <x:c r="DD278" s="23" t="n">
        <x:v>900.9134545598199</x:v>
      </x:c>
      <x:c r="DE278" s="23" t="n">
        <x:v>0</x:v>
      </x:c>
      <x:c r="DF278" s="23" t="n">
        <x:v>0</x:v>
      </x:c>
      <x:c r="DG278" s="23" t="n">
        <x:v>0</x:v>
      </x:c>
      <x:c r="DH278" s="23" t="n">
        <x:v>686.8651529947916</x:v>
      </x:c>
      <x:c r="DI278" s="23" t="n">
        <x:v>703.0148111979166</x:v>
      </x:c>
      <x:c r="DJ278" s="23" t="n">
        <x:v>0</x:v>
      </x:c>
      <x:c r="DK278" s="23" t="n">
        <x:v>669.373775065103</x:v>
      </x:c>
      <x:c r="DL278" s="23" t="n">
        <x:v>0</x:v>
      </x:c>
      <x:c r="DM278" s="23" t="n">
        <x:v>717.0476888020833</x:v>
      </x:c>
      <x:c r="DN278" s="23" t="n">
        <x:v>0</x:v>
      </x:c>
      <x:c r="DO278" s="23" t="n">
        <x:v>0</x:v>
      </x:c>
      <x:c r="DP278" s="23" t="n">
        <x:v>0</x:v>
      </x:c>
      <x:c r="DQ278" s="23" t="n">
        <x:v>717.7442220052083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718.1424967447916</x:v>
      </x:c>
      <x:c r="DW278" s="23" t="n">
        <x:v>713.7010091145833</x:v>
      </x:c>
      <x:c r="DX278" s="23" t="n">
        <x:v>719.691650390625</x:v>
      </x:c>
      <x:c r="DY278" s="23" t="n">
        <x:v>719.82421875</x:v>
      </x:c>
      <x:c r="DZ278" s="23" t="n">
        <x:v>716.666259765625</x:v>
      </x:c>
      <x:c r="EA278" s="23" t="n">
        <x:v>718.8757948046874</x:v>
      </x:c>
      <x:c r="EB278" s="23" t="n">
        <x:v>636.224609375</x:v>
      </x:c>
      <x:c r="EC278" s="23" t="n">
        <x:v>516.0886637369791</x:v>
      </x:c>
      <x:c r="ED278" s="23" t="n">
        <x:v>1369.3705240885415</x:v>
      </x:c>
      <x:c r="EE278" s="23" t="n">
        <x:v>550.6206461588541</x:v>
      </x:c>
      <x:c r="EF278" s="23" t="n">
        <x:v>1379.1693522135415</x:v>
      </x:c>
      <x:c r="EG278" s="23" t="n">
        <x:v>1389.0253499348958</x:v>
      </x:c>
      <x:c r="EH278" s="23" t="n">
        <x:v>557.8887532552083</x:v>
      </x:c>
      <x:c r="EI278" s="23" t="n">
        <x:v>835.7943040324396</x:v>
      </x:c>
      <x:c r="EJ278" s="23" t="n">
        <x:v>1393.497355143229</x:v>
      </x:c>
      <x:c r="EK278" s="23" t="n">
        <x:v>1400.150919596354</x:v>
      </x:c>
      <x:c r="EL278" s="23" t="n">
        <x:v>566.2593994140625</x:v>
      </x:c>
      <x:c r="EM278" s="23" t="n">
        <x:v>570.340087890625</x:v>
      </x:c>
      <x:c r="EN278" s="23" t="n">
        <x:v>570.3212483723958</x:v>
      </x:c>
      <x:c r="EO278" s="23" t="n">
        <x:v>1410.0057779947915</x:v>
      </x:c>
      <x:c r="EP278" s="23" t="n">
        <x:f>SUM(B278:EO278)</x:f>
        <x:v>71942.55224694467</x:v>
      </x:c>
      <x:c r="EQ278" s="23" t="n">
        <x:f>SUMPRODUCT(B278:EO278,{0.4027,0.4335,0.4117,0.435,0.4181,0.3595,0.3605,0.4098,0.4415,0.4038,0.3923,0.4199,0.4102,0.4064,0.4256,0.4343,0.4266,0.4074,0.3897,0.4024,0.4288,0.4278,0.455,0.4816,0.4271,0.4315,0.4949,0.4778,0.463,0.4672,0.4302,0.4686,0.5034,0.378,0.5584,0.9457,0.9583,0.9545,1.0522,0.9939,0.9419,0.9445,0.8836,0.8679,0.8808,0.8282,1.0189,1.335,1.3111,1.2018,1.1974,1.2262,1.1763,1.0811,1.0764,1.0999,1.08,1.0167,1.0208,1.0527,0.9706,0.9232,0.9558,0.9399,0.7741,0.5641,0.5318,0.5736,0.5812,0.537,0.4715,0.4405,0.4801,0.493,0.4319,0.3773,0.5703,0.8797,0.9064,0.818,0.8061,0.9008,0.9796,0.9943,0.9949,0.9807,1.0055,1.1084,1.0185,0.7911,0.7687,0.8272,0.845,0.8407,0.8921,0.9722,0.9781,0.9724,0.9928,1.0139,1.0307,1.0524,1.0865,1.0992,1.0896,1.1021,1.1855,1.2867,1.2927,1.2618,1.2577,1.2874,1.2878,1.258,1.2585,1.2757,1.2861,1.2783,1.2527,1.2359,1.2593,1.2809,1.3012,1.3266,1.1623,0.9173,0.9163,0.9404,0.9405,1.0364,0.816,0.4134,0.4097,0.4644,0.4075,0.4182,0.4403,0.4376,0.4459,0.4569,0.451,0.4245,0.432,0.455})</x:f>
        <x:v>46586.09246243666</x:v>
      </x:c>
    </x:row>
    <x:row r="279" ht="14" customHeight="1">
      <x:c r="A279" s="3">
        <x:v>45966</x:v>
      </x:c>
      <x:c r="B279" s="23" t="n">
        <x:v>1405.3618977864583</x:v>
      </x:c>
      <x:c r="C279" s="23" t="n">
        <x:v>1396.3661295572915</x:v>
      </x:c>
      <x:c r="D279" s="23" t="n">
        <x:v>560.3544514973958</x:v>
      </x:c>
      <x:c r="E279" s="23" t="n">
        <x:v>566.3199055989583</x:v>
      </x:c>
      <x:c r="F279" s="23" t="n">
        <x:v>579.6922607421875</x:v>
      </x:c>
      <x:c r="G279" s="23" t="n">
        <x:v>578.4475911458333</x:v>
      </x:c>
      <x:c r="H279" s="23" t="n">
        <x:v>568.5688069661458</x:v>
      </x:c>
      <x:c r="I279" s="23" t="n">
        <x:v>570.9913330078125</x:v>
      </x:c>
      <x:c r="J279" s="23" t="n">
        <x:v>582.1781005859375</x:v>
      </x:c>
      <x:c r="K279" s="23" t="n">
        <x:v>587.0461018880208</x:v>
      </x:c>
      <x:c r="L279" s="23" t="n">
        <x:v>588.4802652994791</x:v>
      </x:c>
      <x:c r="M279" s="23" t="n">
        <x:v>1409.5370279947915</x:v>
      </x:c>
      <x:c r="N279" s="23" t="n">
        <x:v>1415.533243815104</x:v>
      </x:c>
      <x:c r="O279" s="23" t="n">
        <x:v>590.6033935546875</x:v>
      </x:c>
      <x:c r="P279" s="23" t="n">
        <x:v>592.3104248046875</x:v>
      </x:c>
      <x:c r="Q279" s="23" t="n">
        <x:v>594.9638671875</x:v>
      </x:c>
      <x:c r="R279" s="23" t="n">
        <x:v>601.6538899739583</x:v>
      </x:c>
      <x:c r="S279" s="23" t="n">
        <x:v>597.3543701171875</x:v>
      </x:c>
      <x:c r="T279" s="23" t="n">
        <x:v>590.239990234375</x:v>
      </x:c>
      <x:c r="U279" s="23" t="n">
        <x:v>1419.3787841796875</x:v>
      </x:c>
      <x:c r="V279" s="23" t="n">
        <x:v>601.5523274739583</x:v>
      </x:c>
      <x:c r="W279" s="23" t="n">
        <x:v>602.7514241536458</x:v>
      </x:c>
      <x:c r="X279" s="23" t="n">
        <x:v>605.1995442708333</x:v>
      </x:c>
      <x:c r="Y279" s="23" t="n">
        <x:v>602.7754720052083</x:v>
      </x:c>
      <x:c r="Z279" s="23" t="n">
        <x:v>600.8804524739583</x:v>
      </x:c>
      <x:c r="AA279" s="23" t="n">
        <x:v>602.679443359375</x:v>
      </x:c>
      <x:c r="AB279" s="23" t="n">
        <x:v>610.3722330729166</x:v>
      </x:c>
      <x:c r="AC279" s="23" t="n">
        <x:v>602.7518310546875</x:v>
      </x:c>
      <x:c r="AD279" s="23" t="n">
        <x:v>597.2200113932291</x:v>
      </x:c>
      <x:c r="AE279" s="23" t="n">
        <x:v>597.2014567057291</x:v>
      </x:c>
      <x:c r="AF279" s="23" t="n">
        <x:v>1016.3996927154072</x:v>
      </x:c>
      <x:c r="AG279" s="23" t="n">
        <x:v>613.0951334635416</x:v>
      </x:c>
      <x:c r="AH279" s="23" t="n">
        <x:v>613.7638753255208</x:v>
      </x:c>
      <x:c r="AI279" s="23" t="n">
        <x:v>1433.6486002604165</x:v>
      </x:c>
      <x:c r="AJ279" s="23" t="n">
        <x:v>658.49462890625</x:v>
      </x:c>
      <x:c r="AK279" s="23" t="n">
        <x:v>9.686610026041762</x:v>
      </x:c>
      <x:c r="AL279" s="23" t="n">
        <x:v>20.792766880210365</x:v>
      </x:c>
      <x:c r="AM279" s="23" t="n">
        <x:v>0</x:v>
      </x:c>
      <x:c r="AN279" s="23" t="n">
        <x:v>0</x:v>
      </x:c>
      <x:c r="AO279" s="23" t="n">
        <x:v>776.9949595827068</x:v>
      </x:c>
      <x:c r="AP279" s="23" t="n">
        <x:v>743.703017813568</x:v>
      </x:c>
      <x:c r="AQ279" s="23" t="n">
        <x:v>693.544247983727</x:v>
      </x:c>
      <x:c r="AR279" s="23" t="n">
        <x:v>645.9212988795471</x:v>
      </x:c>
      <x:c r="AS279" s="23" t="n">
        <x:v>597.0149910212848</x:v>
      </x:c>
      <x:c r="AT279" s="23" t="n">
        <x:v>0</x:v>
      </x:c>
      <x:c r="AU279" s="23" t="n">
        <x:v>466.37230766237417</x:v>
      </x:c>
      <x:c r="AV279" s="23" t="n">
        <x:v>71.94617236556071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686.930392204959</x:v>
      </x:c>
      <x:c r="BP279" s="23" t="n">
        <x:v>670.5529447584664</x:v>
      </x:c>
      <x:c r="BQ279" s="23" t="n">
        <x:v>659.9504196106916</x:v>
      </x:c>
      <x:c r="BR279" s="23" t="n">
        <x:v>631.4059416379366</x:v>
      </x:c>
      <x:c r="BS279" s="23" t="n">
        <x:v>631.6278756813713</x:v>
      </x:c>
      <x:c r="BT279" s="23" t="n">
        <x:v>588.3413802665974</x:v>
      </x:c>
      <x:c r="BU279" s="23" t="n">
        <x:v>554.5074848326632</x:v>
      </x:c>
      <x:c r="BV279" s="23" t="n">
        <x:v>552.2012813510792</x:v>
      </x:c>
      <x:c r="BW279" s="23" t="n">
        <x:v>547.2625015080818</x:v>
      </x:c>
      <x:c r="BX279" s="23" t="n">
        <x:v>554.2236030788881</x:v>
      </x:c>
      <x:c r="BY279" s="23" t="n">
        <x:v>579.0946651930954</x:v>
      </x:c>
      <x:c r="BZ279" s="23" t="n">
        <x:v>266.5081396698929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298.71625774968874</x:v>
      </x:c>
      <x:c r="CN279" s="23" t="n">
        <x:v>1159.7453887994923</x:v>
      </x:c>
      <x:c r="CO279" s="23" t="n">
        <x:v>380.8123129844098</x:v>
      </x:c>
      <x:c r="CP279" s="23" t="n">
        <x:v>433.1777400730901</x:v>
      </x:c>
      <x:c r="CQ279" s="23" t="n">
        <x:v>480.3258834437763</x:v>
      </x:c>
      <x:c r="CR279" s="23" t="n">
        <x:v>539.3550231163267</x:v>
      </x:c>
      <x:c r="CS279" s="23" t="n">
        <x:v>598.8292484787631</x:v>
      </x:c>
      <x:c r="CT279" s="23" t="n">
        <x:v>651.2893553078202</x:v>
      </x:c>
      <x:c r="CU279" s="23" t="n">
        <x:v>698.964456574395</x:v>
      </x:c>
      <x:c r="CV279" s="23" t="n">
        <x:v>760.063424248639</x:v>
      </x:c>
      <x:c r="CW279" s="23" t="n">
        <x:v>818.4489172953345</x:v>
      </x:c>
      <x:c r="CX279" s="23" t="n">
        <x:v>870.9043984028071</x:v>
      </x:c>
      <x:c r="CY279" s="23" t="n">
        <x:v>913.445328978186</x:v>
      </x:c>
      <x:c r="CZ279" s="23" t="n">
        <x:v>967.4431308666801</x:v>
      </x:c>
      <x:c r="DA279" s="23" t="n">
        <x:v>994.4964770555678</x:v>
      </x:c>
      <x:c r="DB279" s="23" t="n">
        <x:v>1005.8317422509487</x:v>
      </x:c>
      <x:c r="DC279" s="23" t="n">
        <x:v>1048.9314778645833</x:v>
      </x:c>
      <x:c r="DD279" s="23" t="n">
        <x:v>912.7077623172264</x:v>
      </x:c>
      <x:c r="DE279" s="23" t="n">
        <x:v>0</x:v>
      </x:c>
      <x:c r="DF279" s="23" t="n">
        <x:v>0</x:v>
      </x:c>
      <x:c r="DG279" s="23" t="n">
        <x:v>0</x:v>
      </x:c>
      <x:c r="DH279" s="23" t="n">
        <x:v>712.92578125</x:v>
      </x:c>
      <x:c r="DI279" s="23" t="n">
        <x:v>0</x:v>
      </x:c>
      <x:c r="DJ279" s="23" t="n">
        <x:v>60.37450748697984</x:v>
      </x:c>
      <x:c r="DK279" s="23" t="n">
        <x:v>721.6748860677083</x:v>
      </x:c>
      <x:c r="DL279" s="23" t="n">
        <x:v>719.0327962239583</x:v>
      </x:c>
      <x:c r="DM279" s="23" t="n">
        <x:v>716.564697265625</x:v>
      </x:c>
      <x:c r="DN279" s="23" t="n">
        <x:v>725.9476725260416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728.078369140625</x:v>
      </x:c>
      <x:c r="DW279" s="23" t="n">
        <x:v>728.2845052083333</x:v>
      </x:c>
      <x:c r="DX279" s="23" t="n">
        <x:v>721.81396484375</x:v>
      </x:c>
      <x:c r="DY279" s="23" t="n">
        <x:v>725.2150065104166</x:v>
      </x:c>
      <x:c r="DZ279" s="23" t="n">
        <x:v>732.0791829427083</x:v>
      </x:c>
      <x:c r="EA279" s="23" t="n">
        <x:v>722.581035690104</x:v>
      </x:c>
      <x:c r="EB279" s="23" t="n">
        <x:v>634.0273030598958</x:v>
      </x:c>
      <x:c r="EC279" s="23" t="n">
        <x:v>555.0216471354166</x:v>
      </x:c>
      <x:c r="ED279" s="23" t="n">
        <x:v>1373.1596272786458</x:v>
      </x:c>
      <x:c r="EE279" s="23" t="n">
        <x:v>553.0776774088541</x:v>
      </x:c>
      <x:c r="EF279" s="23" t="n">
        <x:v>555.3512776692708</x:v>
      </x:c>
      <x:c r="EG279" s="23" t="n">
        <x:v>1375.3037109375</x:v>
      </x:c>
      <x:c r="EH279" s="23" t="n">
        <x:v>1369.9647623697915</x:v>
      </x:c>
      <x:c r="EI279" s="23" t="n">
        <x:v>828.6083909465021</x:v>
      </x:c>
      <x:c r="EJ279" s="23" t="n">
        <x:v>1391.5548502604165</x:v>
      </x:c>
      <x:c r="EK279" s="23" t="n">
        <x:v>1398.579142252604</x:v>
      </x:c>
      <x:c r="EL279" s="23" t="n">
        <x:v>565.946533203125</x:v>
      </x:c>
      <x:c r="EM279" s="23" t="n">
        <x:v>1394.8124593098958</x:v>
      </x:c>
      <x:c r="EN279" s="23" t="n">
        <x:v>567.9181315104166</x:v>
      </x:c>
      <x:c r="EO279" s="23" t="n">
        <x:v>578.9683430989583</x:v>
      </x:c>
      <x:c r="EP279" s="23" t="n">
        <x:f>SUM(B279:EO279)</x:f>
        <x:v>71793.10555198623</x:v>
      </x:c>
      <x:c r="EQ279" s="23" t="n">
        <x:f>SUMPRODUCT(B279:EO279,{0.4281,0.44,0.4743,0.4239,0.3917,0.4236,0.4589,0.4559,0.4323,0.4397,0.4534,0.4525,0.4406,0.4277,0.4276,0.447,0.4548,0.4429,0.4276,0.3964,0.3759,0.4114,0.4407,0.4311,0.4114,0.4221,0.4486,0.4446,0.4605,0.4842,0.4537,0.4537,0.4518,0.3782,0.6037,0.9996,1.0388,1.0239,1.0699,0.9832,0.9348,0.9615,0.9257,0.9051,0.8839,0.8021,0.9959,1.328,1.2955,1.2111,1.2303,1.1922,1.136,1.1013,1.0812,1.0953,1.1282,1.1351,1.1254,1.108,1.0741,1.0052,0.954,0.9679,0.7974,0.54,0.5562,0.5864,0.5325,0.5549,0.5665,0.5282,0.5068,0.5383,0.5549,0.4898,0.6373,0.9158,0.928,0.8727,0.9129,0.9975,0.9859,0.9158,0.956,1.011,1.0545,1.125,0.9854,0.7368,0.744,0.8049,0.8073,0.8504,0.9338,0.9954,0.9751,0.953,0.9822,1.0398,1.0516,1.0402,1.0947,1.1333,1.1101,1.0798,1.1717,1.3162,1.306,1.2461,1.2239,1.2279,1.2462,1.2609,1.2566,1.2545,1.2706,1.295,1.277,1.2334,1.2351,1.2605,1.2909,1.3055,1.177,0.9748,0.9148,0.9091,0.9193,0.9609,0.7751,0.4693,0.4392,0.4969,0.4799,0.4208,0.4193,0.4538,0.4164,0.3934,0.4239,0.4519,0.4338,0.3962})</x:f>
        <x:v>47217.92497943541</x:v>
      </x:c>
    </x:row>
    <x:row r="280" ht="14" customHeight="1">
      <x:c r="A280" s="3">
        <x:v>45967</x:v>
      </x:c>
      <x:c r="B280" s="23" t="n">
        <x:v>1404.920166015625</x:v>
      </x:c>
      <x:c r="C280" s="23" t="n">
        <x:v>1397.7362060546875</x:v>
      </x:c>
      <x:c r="D280" s="23" t="n">
        <x:v>567.259521484375</x:v>
      </x:c>
      <x:c r="E280" s="23" t="n">
        <x:v>572.3157958984375</x:v>
      </x:c>
      <x:c r="F280" s="23" t="n">
        <x:v>1407.3943684895833</x:v>
      </x:c>
      <x:c r="G280" s="23" t="n">
        <x:v>1399.1160481770833</x:v>
      </x:c>
      <x:c r="H280" s="23" t="n">
        <x:v>983.5517929357961</x:v>
      </x:c>
      <x:c r="I280" s="23" t="n">
        <x:v>574.4264322916666</x:v>
      </x:c>
      <x:c r="J280" s="23" t="n">
        <x:v>592.9871826171875</x:v>
      </x:c>
      <x:c r="K280" s="23" t="n">
        <x:v>589.7428792317708</x:v>
      </x:c>
      <x:c r="L280" s="23" t="n">
        <x:v>585.6337890625</x:v>
      </x:c>
      <x:c r="M280" s="23" t="n">
        <x:v>586.1793619791666</x:v>
      </x:c>
      <x:c r="N280" s="23" t="n">
        <x:v>586.1877848307291</x:v>
      </x:c>
      <x:c r="O280" s="23" t="n">
        <x:v>592.6528727213541</x:v>
      </x:c>
      <x:c r="P280" s="23" t="n">
        <x:v>597.58740234375</x:v>
      </x:c>
      <x:c r="Q280" s="23" t="n">
        <x:v>592.7856852213541</x:v>
      </x:c>
      <x:c r="R280" s="23" t="n">
        <x:v>595.2524007161458</x:v>
      </x:c>
      <x:c r="S280" s="23" t="n">
        <x:v>600.3678792317708</x:v>
      </x:c>
      <x:c r="T280" s="23" t="n">
        <x:v>598.6044921875</x:v>
      </x:c>
      <x:c r="U280" s="23" t="n">
        <x:v>600.5435384114583</x:v>
      </x:c>
      <x:c r="V280" s="23" t="n">
        <x:v>599.8862711588541</x:v>
      </x:c>
      <x:c r="W280" s="23" t="n">
        <x:v>597.97705078125</x:v>
      </x:c>
      <x:c r="X280" s="23" t="n">
        <x:v>599.1810709635416</x:v>
      </x:c>
      <x:c r="Y280" s="23" t="n">
        <x:v>1431.5431722005208</x:v>
      </x:c>
      <x:c r="Z280" s="23" t="n">
        <x:v>600.531494140625</x:v>
      </x:c>
      <x:c r="AA280" s="23" t="n">
        <x:v>597.0634358723958</x:v>
      </x:c>
      <x:c r="AB280" s="23" t="n">
        <x:v>595.8414306640625</x:v>
      </x:c>
      <x:c r="AC280" s="23" t="n">
        <x:v>601.9337565104166</x:v>
      </x:c>
      <x:c r="AD280" s="23" t="n">
        <x:v>603.3523356119791</x:v>
      </x:c>
      <x:c r="AE280" s="23" t="n">
        <x:v>603.1593831380208</x:v>
      </x:c>
      <x:c r="AF280" s="23" t="n">
        <x:v>599.5389811197916</x:v>
      </x:c>
      <x:c r="AG280" s="23" t="n">
        <x:v>604.3380533854166</x:v>
      </x:c>
      <x:c r="AH280" s="23" t="n">
        <x:v>605.7716064453125</x:v>
      </x:c>
      <x:c r="AI280" s="23" t="n">
        <x:v>1430.1144205729165</x:v>
      </x:c>
      <x:c r="AJ280" s="23" t="n">
        <x:v>651.3805745442708</x:v>
      </x:c>
      <x:c r="AK280" s="23" t="n">
        <x:v>0</x:v>
      </x:c>
      <x:c r="AL280" s="23" t="n">
        <x:v>8.128115571172959</x:v>
      </x:c>
      <x:c r="AM280" s="23" t="n">
        <x:v>727.7321654728289</x:v>
      </x:c>
      <x:c r="AN280" s="23" t="n">
        <x:v>4.6111817384639835</x:v>
      </x:c>
      <x:c r="AO280" s="23" t="n">
        <x:v>0</x:v>
      </x:c>
      <x:c r="AP280" s="23" t="n">
        <x:v>0</x:v>
      </x:c>
      <x:c r="AQ280" s="23" t="n">
        <x:v>701.4629334366002</x:v>
      </x:c>
      <x:c r="AR280" s="23" t="n">
        <x:v>648.0258220631937</x:v>
      </x:c>
      <x:c r="AS280" s="23" t="n">
        <x:v>597.6700992707016</x:v>
      </x:c>
      <x:c r="AT280" s="23" t="n">
        <x:v>540.0464130225108</x:v>
      </x:c>
      <x:c r="AU280" s="23" t="n">
        <x:v>453.2775118263888</x:v>
      </x:c>
      <x:c r="AV280" s="23" t="n">
        <x:v>519.3175419950796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694.4567885871508</x:v>
      </x:c>
      <x:c r="BP280" s="23" t="n">
        <x:v>686.4319899035315</x:v>
      </x:c>
      <x:c r="BQ280" s="23" t="n">
        <x:v>687.4791921230553</x:v>
      </x:c>
      <x:c r="BR280" s="23" t="n">
        <x:v>663.4479727805125</x:v>
      </x:c>
      <x:c r="BS280" s="23" t="n">
        <x:v>664.2678272649439</x:v>
      </x:c>
      <x:c r="BT280" s="23" t="n">
        <x:v>625.7350031501717</x:v>
      </x:c>
      <x:c r="BU280" s="23" t="n">
        <x:v>565.8774354334815</x:v>
      </x:c>
      <x:c r="BV280" s="23" t="n">
        <x:v>562.0009381327893</x:v>
      </x:c>
      <x:c r="BW280" s="23" t="n">
        <x:v>566.9437110125543</x:v>
      </x:c>
      <x:c r="BX280" s="23" t="n">
        <x:v>575.2413869098237</x:v>
      </x:c>
      <x:c r="BY280" s="23" t="n">
        <x:v>593.5382556962719</x:v>
      </x:c>
      <x:c r="BZ280" s="23" t="n">
        <x:v>349.51141045784317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346.1801018185721</x:v>
      </x:c>
      <x:c r="CN280" s="23" t="n">
        <x:v>1175.3233520875224</x:v>
      </x:c>
      <x:c r="CO280" s="23" t="n">
        <x:v>392.5403330069208</x:v>
      </x:c>
      <x:c r="CP280" s="23" t="n">
        <x:v>439.3345287451039</x:v>
      </x:c>
      <x:c r="CQ280" s="23" t="n">
        <x:v>504.04583284390384</x:v>
      </x:c>
      <x:c r="CR280" s="23" t="n">
        <x:v>570.0156778987961</x:v>
      </x:c>
      <x:c r="CS280" s="23" t="n">
        <x:v>612.7811474161379</x:v>
      </x:c>
      <x:c r="CT280" s="23" t="n">
        <x:v>661.1909391866711</x:v>
      </x:c>
      <x:c r="CU280" s="23" t="n">
        <x:v>710.8214678157376</x:v>
      </x:c>
      <x:c r="CV280" s="23" t="n">
        <x:v>772.1338853214711</x:v>
      </x:c>
      <x:c r="CW280" s="23" t="n">
        <x:v>828.6625804901303</x:v>
      </x:c>
      <x:c r="CX280" s="23" t="n">
        <x:v>879.5091476354233</x:v>
      </x:c>
      <x:c r="CY280" s="23" t="n">
        <x:v>925.1249047143734</x:v>
      </x:c>
      <x:c r="CZ280" s="23" t="n">
        <x:v>972.2712965040478</x:v>
      </x:c>
      <x:c r="DA280" s="23" t="n">
        <x:v>1001.8544722047629</x:v>
      </x:c>
      <x:c r="DB280" s="23" t="n">
        <x:v>1012.24560546875</x:v>
      </x:c>
      <x:c r="DC280" s="23" t="n">
        <x:v>1033.3186848958333</x:v>
      </x:c>
      <x:c r="DD280" s="23" t="n">
        <x:v>894.6054140325443</x:v>
      </x:c>
      <x:c r="DE280" s="23" t="n">
        <x:v>0</x:v>
      </x:c>
      <x:c r="DF280" s="23" t="n">
        <x:v>0</x:v>
      </x:c>
      <x:c r="DG280" s="23" t="n">
        <x:v>0</x:v>
      </x:c>
      <x:c r="DH280" s="23" t="n">
        <x:v>0</x:v>
      </x:c>
      <x:c r="DI280" s="23" t="n">
        <x:v>0</x:v>
      </x:c>
      <x:c r="DJ280" s="23" t="n">
        <x:v>710.0364583333333</x:v>
      </x:c>
      <x:c r="DK280" s="23" t="n">
        <x:v>698.9876302083333</x:v>
      </x:c>
      <x:c r="DL280" s="23" t="n">
        <x:v>0</x:v>
      </x:c>
      <x:c r="DM280" s="23" t="n">
        <x:v>0</x:v>
      </x:c>
      <x:c r="DN280" s="23" t="n">
        <x:v>712.828369140625</x:v>
      </x:c>
      <x:c r="DO280" s="23" t="n">
        <x:v>715.658203125</x:v>
      </x:c>
      <x:c r="DP280" s="23" t="n">
        <x:v>0</x:v>
      </x:c>
      <x:c r="DQ280" s="23" t="n">
        <x:v>0</x:v>
      </x:c>
      <x:c r="DR280" s="23" t="n">
        <x:v>0</x:v>
      </x:c>
      <x:c r="DS280" s="23" t="n">
        <x:v>590.1408649088535</x:v>
      </x:c>
      <x:c r="DT280" s="23" t="n">
        <x:v>0</x:v>
      </x:c>
      <x:c r="DU280" s="23" t="n">
        <x:v>0</x:v>
      </x:c>
      <x:c r="DV280" s="23" t="n">
        <x:v>715.2263997395833</x:v>
      </x:c>
      <x:c r="DW280" s="23" t="n">
        <x:v>725.2152506510416</x:v>
      </x:c>
      <x:c r="DX280" s="23" t="n">
        <x:v>715.4664713541666</x:v>
      </x:c>
      <x:c r="DY280" s="23" t="n">
        <x:v>712.3081868489583</x:v>
      </x:c>
      <x:c r="DZ280" s="23" t="n">
        <x:v>722.967529296875</x:v>
      </x:c>
      <x:c r="EA280" s="23" t="n">
        <x:v>712.7044080859374</x:v>
      </x:c>
      <x:c r="EB280" s="23" t="n">
        <x:v>652.6383870442708</x:v>
      </x:c>
      <x:c r="EC280" s="23" t="n">
        <x:v>546.3279215494791</x:v>
      </x:c>
      <x:c r="ED280" s="23" t="n">
        <x:v>1372.00146484375</x:v>
      </x:c>
      <x:c r="EE280" s="23" t="n">
        <x:v>552.1988118489583</x:v>
      </x:c>
      <x:c r="EF280" s="23" t="n">
        <x:v>544.9419759114583</x:v>
      </x:c>
      <x:c r="EG280" s="23" t="n">
        <x:v>1382.3135986328125</x:v>
      </x:c>
      <x:c r="EH280" s="23" t="n">
        <x:v>833.3726731730646</x:v>
      </x:c>
      <x:c r="EI280" s="23" t="n">
        <x:v>555.2216796875</x:v>
      </x:c>
      <x:c r="EJ280" s="23" t="n">
        <x:v>566.8284098307291</x:v>
      </x:c>
      <x:c r="EK280" s="23" t="n">
        <x:v>559.6702473958333</x:v>
      </x:c>
      <x:c r="EL280" s="23" t="n">
        <x:v>1383.4488932291665</x:v>
      </x:c>
      <x:c r="EM280" s="23" t="n">
        <x:v>1390.3212483723958</x:v>
      </x:c>
      <x:c r="EN280" s="23" t="n">
        <x:v>1360.7464192708333</x:v>
      </x:c>
      <x:c r="EO280" s="23" t="n">
        <x:v>1254.0906575520833</x:v>
      </x:c>
      <x:c r="EP280" s="23" t="n">
        <x:f>SUM(B280:EO280)</x:f>
        <x:v>71999.68386498213</x:v>
      </x:c>
      <x:c r="EQ280" s="23" t="n">
        <x:f>SUMPRODUCT(B280:EO280,{0.4024,0.4056,0.4168,0.4863,0.4851,0.4126,0.4049,0.449,0.4786,0.4463,0.4333,0.4578,0.4574,0.4283,0.412,0.4461,0.4404,0.4053,0.4351,0.4313,0.3886,0.4051,0.4243,0.4448,0.5158,0.5176,0.4546,0.4554,0.4761,0.459,0.4033,0.4025,0.4391,0.4436,0.6586,0.9971,1.0823,1.0133,0.9515,0.9596,0.9568,0.9169,0.8919,0.8842,0.8484,0.7881,1.0129,1.3718,1.3666,1.2514,1.2319,1.2591,1.2396,1.1772,1.1516,1.1282,1.1078,1.1273,1.1088,1.0615,1.0693,1.0566,1.0182,1.0019,0.8333,0.6023,0.5936,0.5985,0.5459,0.5692,0.5659,0.5209,0.5326,0.561,0.5461,0.5008,0.6488,0.9304,1.0367,1.0045,0.945,0.9341,0.9695,0.9947,0.9562,0.9516,1.0196,1.0758,0.9423,0.7208,0.7067,0.7698,0.7974,0.8069,0.8223,0.869,0.9544,1.0115,1.0269,1.0506,1.0946,1.1224,1.0932,1.0951,1.1278,1.1172,1.1706,1.2771,1.3018,1.2742,1.2588,1.2874,1.2967,1.2673,1.2388,1.2165,1.2056,1.2168,1.2424,1.2729,1.2966,1.2853,1.2756,1.3042,1.1498,0.9218,0.9597,0.9604,0.9057,1.0327,0.8335,0.4103,0.4119,0.485,0.4316,0.4207,0.4334,0.4467,0.4712,0.4648,0.4436,0.4616,0.4389,0.3771})</x:f>
        <x:v>47607.94160607433</x:v>
      </x:c>
    </x:row>
    <x:row r="281" ht="14" customHeight="1">
      <x:c r="A281" s="3">
        <x:v>45968</x:v>
      </x:c>
      <x:c r="B281" s="23" t="n">
        <x:v>408.23380533854163</x:v>
      </x:c>
      <x:c r="C281" s="23" t="n">
        <x:v>409.35502115885413</x:v>
      </x:c>
      <x:c r="D281" s="23" t="n">
        <x:v>411.1731770833333</x:v>
      </x:c>
      <x:c r="E281" s="23" t="n">
        <x:v>424.0426839192708</x:v>
      </x:c>
      <x:c r="F281" s="23" t="n">
        <x:v>422.17578125</x:v>
      </x:c>
      <x:c r="G281" s="23" t="n">
        <x:v>418.5048421223958</x:v>
      </x:c>
      <x:c r="H281" s="23" t="n">
        <x:v>407.2923177083333</x:v>
      </x:c>
      <x:c r="I281" s="23" t="n">
        <x:v>421.8543701171875</x:v>
      </x:c>
      <x:c r="J281" s="23" t="n">
        <x:v>423.09501139322913</x:v>
      </x:c>
      <x:c r="K281" s="23" t="n">
        <x:v>429.0495198567708</x:v>
      </x:c>
      <x:c r="L281" s="23" t="n">
        <x:v>427.07023111979163</x:v>
      </x:c>
      <x:c r="M281" s="23" t="n">
        <x:v>421.1403401692708</x:v>
      </x:c>
      <x:c r="N281" s="23" t="n">
        <x:v>1256.2218424479165</x:v>
      </x:c>
      <x:c r="O281" s="23" t="n">
        <x:v>425.23942057291663</x:v>
      </x:c>
      <x:c r="P281" s="23" t="n">
        <x:v>435.2476399739583</x:v>
      </x:c>
      <x:c r="Q281" s="23" t="n">
        <x:v>443.2337239583333</x:v>
      </x:c>
      <x:c r="R281" s="23" t="n">
        <x:v>443.2447102864583</x:v>
      </x:c>
      <x:c r="S281" s="23" t="n">
        <x:v>441.71012369791663</x:v>
      </x:c>
      <x:c r="T281" s="23" t="n">
        <x:v>441.5482177734375</x:v>
      </x:c>
      <x:c r="U281" s="23" t="n">
        <x:v>438.89306640625</x:v>
      </x:c>
      <x:c r="V281" s="23" t="n">
        <x:v>433.17045084635413</x:v>
      </x:c>
      <x:c r="W281" s="23" t="n">
        <x:v>440.9892578125</x:v>
      </x:c>
      <x:c r="X281" s="23" t="n">
        <x:v>443.0055745442708</x:v>
      </x:c>
      <x:c r="Y281" s="23" t="n">
        <x:v>440.9138997395833</x:v>
      </x:c>
      <x:c r="Z281" s="23" t="n">
        <x:v>437.652587890625</x:v>
      </x:c>
      <x:c r="AA281" s="23" t="n">
        <x:v>435.3750813802083</x:v>
      </x:c>
      <x:c r="AB281" s="23" t="n">
        <x:v>1271.342041015625</x:v>
      </x:c>
      <x:c r="AC281" s="23" t="n">
        <x:v>442.3350423177083</x:v>
      </x:c>
      <x:c r="AD281" s="23" t="n">
        <x:v>445.55594889322913</x:v>
      </x:c>
      <x:c r="AE281" s="23" t="n">
        <x:v>446.26444498697913</x:v>
      </x:c>
      <x:c r="AF281" s="23" t="n">
        <x:v>446.0693359375</x:v>
      </x:c>
      <x:c r="AG281" s="23" t="n">
        <x:v>447.450439453125</x:v>
      </x:c>
      <x:c r="AH281" s="23" t="n">
        <x:v>149.02988778098612</x:v>
      </x:c>
      <x:c r="AI281" s="23" t="n">
        <x:v>458.8157958984375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41.53625488810326</x:v>
      </x:c>
      <x:c r="CR281" s="23" t="n">
        <x:v>98.0704905774127</x:v>
      </x:c>
      <x:c r="CS281" s="23" t="n">
        <x:v>142.03965043746703</x:v>
      </x:c>
      <x:c r="CT281" s="23" t="n">
        <x:v>198.3572596632886</x:v>
      </x:c>
      <x:c r="CU281" s="23" t="n">
        <x:v>256.5548968515255</x:v>
      </x:c>
      <x:c r="CV281" s="23" t="n">
        <x:v>324.28899866680695</x:v>
      </x:c>
      <x:c r="CW281" s="23" t="n">
        <x:v>392.60852485474936</x:v>
      </x:c>
      <x:c r="CX281" s="23" t="n">
        <x:v>404.0154597882043</x:v>
      </x:c>
      <x:c r="CY281" s="23" t="n">
        <x:v>363.7728052736811</x:v>
      </x:c>
      <x:c r="CZ281" s="23" t="n">
        <x:v>405.10402336711206</x:v>
      </x:c>
      <x:c r="DA281" s="23" t="n">
        <x:v>437.0233118235293</x:v>
      </x:c>
      <x:c r="DB281" s="23" t="n">
        <x:v>455.36124674479163</x:v>
      </x:c>
      <x:c r="DC281" s="23" t="n">
        <x:v>449.39845509588514</x:v>
      </x:c>
      <x:c r="DD281" s="23" t="n">
        <x:v>50.27640769800943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463.2855224609375</x:v>
      </x:c>
      <x:c r="DX281" s="23" t="n">
        <x:v>465.7572021484375</x:v>
      </x:c>
      <x:c r="DY281" s="23" t="n">
        <x:v>459.80628645833326</x:v>
      </x:c>
      <x:c r="DZ281" s="23" t="n">
        <x:v>482.35990397135413</x:v>
      </x:c>
      <x:c r="EA281" s="23" t="n">
        <x:v>464.11300606770834</x:v>
      </x:c>
      <x:c r="EB281" s="23" t="n">
        <x:v>444.03251139322913</x:v>
      </x:c>
      <x:c r="EC281" s="23" t="n">
        <x:v>673.8635585897314</x:v>
      </x:c>
      <x:c r="ED281" s="23" t="n">
        <x:v>1225.413818359375</x:v>
      </x:c>
      <x:c r="EE281" s="23" t="n">
        <x:v>407.314453125</x:v>
      </x:c>
      <x:c r="EF281" s="23" t="n">
        <x:v>398.7520345052083</x:v>
      </x:c>
      <x:c r="EG281" s="23" t="n">
        <x:v>1226.8570963541665</x:v>
      </x:c>
      <x:c r="EH281" s="23" t="n">
        <x:v>400.3406982421875</x:v>
      </x:c>
      <x:c r="EI281" s="23" t="n">
        <x:v>406.6140950520833</x:v>
      </x:c>
      <x:c r="EJ281" s="23" t="n">
        <x:v>1237.9611409505208</x:v>
      </x:c>
      <x:c r="EK281" s="23" t="n">
        <x:v>1238.5386962890625</x:v>
      </x:c>
      <x:c r="EL281" s="23" t="n">
        <x:v>1238.6302083333333</x:v>
      </x:c>
      <x:c r="EM281" s="23" t="n">
        <x:v>1241.031778971354</x:v>
      </x:c>
      <x:c r="EN281" s="23" t="n">
        <x:v>407.83243815104163</x:v>
      </x:c>
      <x:c r="EO281" s="23" t="n">
        <x:v>406.24601236979163</x:v>
      </x:c>
      <x:c r="EP281" s="23" t="n">
        <x:f>SUM(B281:EO281)</x:f>
        <x:v>33393.45388237472</x:v>
      </x:c>
      <x:c r="EQ281" s="23" t="n">
        <x:f>SUMPRODUCT(B281:EO281,{0.3572,0.3219,0.2793,0.3067,0.3528,0.3632,0.3315,0.3169,0.3268,0.3203,0.3308,0.3555,0.3522,0.3442,0.3402,0.3259,0.3207,0.3463,0.3955,0.3741,0.3088,0.3217,0.3493,0.3602,0.3855,0.388,0.3657,0.3621,0.3855,0.3903,0.3296,0.3218,0.3476,0.3117,0.5108,0.8296,0.8284,0.8027,0.8604,0.8139,0.7918,0.8121,0.7514,0.6914,0.6812,0.704,0.8188,0.9376,0.9036,0.9385,1.0381,0.9724,0.8916,0.8889,0.9029,0.8761,0.8115,0.7633,0.7602,0.7864,0.7925,0.7453,0.697,0.7099,0.5779,0.3473,0.287,0.2815,0.2492,0.2324,0.2357,0.258,0.2915,0.2803,0.2272,0.2158,0.3619,0.5629,0.5832,0.5523,0.5719,0.6221,0.6834,0.7229,0.714,0.7117,0.7502,0.7865,0.6445,0.4213,0.416,0.5172,0.5957,0.6226,0.6206,0.6155,0.6219,0.6459,0.701,0.7829,0.7866,0.7314,0.743,0.7773,0.771,0.736,0.8706,1.1113,1.1752,1.1321,1.1014,1.131,1.1546,1.1294,1.0793,1.0835,1.146,1.1895,1.1658,1.1106,1.1062,1.1198,1.1507,1.1963,1.0193,0.7401,0.7314,0.725,0.6889,0.8204,0.6584,0.2818,0.2666,0.3543,0.3462,0.3181,0.3373,0.3731,0.3414,0.3111,0.303,0.2808,0.3231,0.404})</x:f>
        <x:v>13831.742366133085</x:v>
      </x:c>
    </x:row>
    <x:row r="282" ht="14" customHeight="1">
      <x:c r="A282" s="3">
        <x:v>45969</x:v>
      </x:c>
      <x:c r="B282" s="23" t="n">
        <x:v>405.93790690104163</x:v>
      </x:c>
      <x:c r="C282" s="23" t="n">
        <x:v>411.6087239583333</x:v>
      </x:c>
      <x:c r="D282" s="23" t="n">
        <x:v>421.8423665364583</x:v>
      </x:c>
      <x:c r="E282" s="23" t="n">
        <x:v>428.4070638020833</x:v>
      </x:c>
      <x:c r="F282" s="23" t="n">
        <x:v>424.76359049479163</x:v>
      </x:c>
      <x:c r="G282" s="23" t="n">
        <x:v>416.6170247395833</x:v>
      </x:c>
      <x:c r="H282" s="23" t="n">
        <x:v>417.518310546875</x:v>
      </x:c>
      <x:c r="I282" s="23" t="n">
        <x:v>425.2890625</x:v>
      </x:c>
      <x:c r="J282" s="23" t="n">
        <x:v>426.4456380208333</x:v>
      </x:c>
      <x:c r="K282" s="23" t="n">
        <x:v>435.69482421875</x:v>
      </x:c>
      <x:c r="L282" s="23" t="n">
        <x:v>434.66630045572913</x:v>
      </x:c>
      <x:c r="M282" s="23" t="n">
        <x:v>1264.182861328125</x:v>
      </x:c>
      <x:c r="N282" s="23" t="n">
        <x:v>1261.011759440104</x:v>
      </x:c>
      <x:c r="O282" s="23" t="n">
        <x:v>434.2073974609375</x:v>
      </x:c>
      <x:c r="P282" s="23" t="n">
        <x:v>441.19950358072913</x:v>
      </x:c>
      <x:c r="Q282" s="23" t="n">
        <x:v>448.79736328125</x:v>
      </x:c>
      <x:c r="R282" s="23" t="n">
        <x:v>447.9879150390625</x:v>
      </x:c>
      <x:c r="S282" s="23" t="n">
        <x:v>0</x:v>
      </x:c>
      <x:c r="T282" s="23" t="n">
        <x:v>442.9666748046875</x:v>
      </x:c>
      <x:c r="U282" s="23" t="n">
        <x:v>433.6359456380208</x:v>
      </x:c>
      <x:c r="V282" s="23" t="n">
        <x:v>314.22273151297696</x:v>
      </x:c>
      <x:c r="W282" s="23" t="n">
        <x:v>0</x:v>
      </x:c>
      <x:c r="X282" s="23" t="n">
        <x:v>447.65922037760413</x:v>
      </x:c>
      <x:c r="Y282" s="23" t="n">
        <x:v>1273.8690999348958</x:v>
      </x:c>
      <x:c r="Z282" s="23" t="n">
        <x:v>434.15653483072913</x:v>
      </x:c>
      <x:c r="AA282" s="23" t="n">
        <x:v>433.78190104166663</x:v>
      </x:c>
      <x:c r="AB282" s="23" t="n">
        <x:v>436.0598958333333</x:v>
      </x:c>
      <x:c r="AC282" s="23" t="n">
        <x:v>436.0228271484375</x:v>
      </x:c>
      <x:c r="AD282" s="23" t="n">
        <x:v>435.23148600260413</x:v>
      </x:c>
      <x:c r="AE282" s="23" t="n">
        <x:v>442.59549967447913</x:v>
      </x:c>
      <x:c r="AF282" s="23" t="n">
        <x:v>444.289794921875</x:v>
      </x:c>
      <x:c r="AG282" s="23" t="n">
        <x:v>447.2122395833333</x:v>
      </x:c>
      <x:c r="AH282" s="23" t="n">
        <x:v>448.15861002604163</x:v>
      </x:c>
      <x:c r="AI282" s="23" t="n">
        <x:v>445.6501057942708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32.707230097481514</x:v>
      </x:c>
      <x:c r="CR282" s="23" t="n">
        <x:v>104.49349199748151</x:v>
      </x:c>
      <x:c r="CS282" s="23" t="n">
        <x:v>157.78120446446633</x:v>
      </x:c>
      <x:c r="CT282" s="23" t="n">
        <x:v>210.25619550669245</x:v>
      </x:c>
      <x:c r="CU282" s="23" t="n">
        <x:v>261.7940315113208</x:v>
      </x:c>
      <x:c r="CV282" s="23" t="n">
        <x:v>295.5190062791063</x:v>
      </x:c>
      <x:c r="CW282" s="23" t="n">
        <x:v>361.62432009885663</x:v>
      </x:c>
      <x:c r="CX282" s="23" t="n">
        <x:v>383.7804750089117</x:v>
      </x:c>
      <x:c r="CY282" s="23" t="n">
        <x:v>366.8213629719897</x:v>
      </x:c>
      <x:c r="CZ282" s="23" t="n">
        <x:v>405.80942402113567</x:v>
      </x:c>
      <x:c r="DA282" s="23" t="n">
        <x:v>435.3551172768746</x:v>
      </x:c>
      <x:c r="DB282" s="23" t="n">
        <x:v>452.3067220052083</x:v>
      </x:c>
      <x:c r="DC282" s="23" t="n">
        <x:v>445.3707012884102</x:v>
      </x:c>
      <x:c r="DD282" s="23" t="n">
        <x:v>4.560093597480545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452.6177571614583</x:v>
      </x:c>
      <x:c r="DX282" s="23" t="n">
        <x:v>460.271484375</x:v>
      </x:c>
      <x:c r="DY282" s="23" t="n">
        <x:v>457.08935546875</x:v>
      </x:c>
      <x:c r="DZ282" s="23" t="n">
        <x:v>450.1062825520833</x:v>
      </x:c>
      <x:c r="EA282" s="23" t="n">
        <x:v>456.3830159505208</x:v>
      </x:c>
      <x:c r="EB282" s="23" t="n">
        <x:v>450.34562174479163</x:v>
      </x:c>
      <x:c r="EC282" s="23" t="n">
        <x:v>409.9901123046875</x:v>
      </x:c>
      <x:c r="ED282" s="23" t="n">
        <x:v>1230.275390625</x:v>
      </x:c>
      <x:c r="EE282" s="23" t="n">
        <x:v>498.9749268623007</x:v>
      </x:c>
      <x:c r="EF282" s="23" t="n">
        <x:v>402.07389322916663</x:v>
      </x:c>
      <x:c r="EG282" s="23" t="n">
        <x:v>1233.5541585286458</x:v>
      </x:c>
      <x:c r="EH282" s="23" t="n">
        <x:v>1235.3440755208333</x:v>
      </x:c>
      <x:c r="EI282" s="23" t="n">
        <x:v>1242.6460774739583</x:v>
      </x:c>
      <x:c r="EJ282" s="23" t="n">
        <x:v>1238.199951171875</x:v>
      </x:c>
      <x:c r="EK282" s="23" t="n">
        <x:v>1238.199951171875</x:v>
      </x:c>
      <x:c r="EL282" s="23" t="n">
        <x:v>406.3460693359375</x:v>
      </x:c>
      <x:c r="EM282" s="23" t="n">
        <x:v>1240.162882486979</x:v>
      </x:c>
      <x:c r="EN282" s="23" t="n">
        <x:v>432.59814453125</x:v>
      </x:c>
      <x:c r="EO282" s="23" t="n">
        <x:v>0</x:v>
      </x:c>
      <x:c r="EP282" s="23" t="n">
        <x:f>SUM(B282:EO282)</x:f>
        <x:v>33715.04870605017</x:v>
      </x:c>
      <x:c r="EQ282" s="23" t="n">
        <x:f>SUMPRODUCT(B282:EO282,{0.3986,0.3258,0.2802,0.3402,0.3751,0.3463,0.3338,0.3122,0.2941,0.3274,0.3424,0.3315,0.3528,0.3619,0.3464,0.3411,0.3361,0.3295,0.3323,0.3303,0.3212,0.3179,0.322,0.3388,0.3679,0.3625,0.3227,0.2988,0.3065,0.3353,0.3614,0.3754,0.3534,0.3122,0.4841,0.7674,0.8039,0.7551,0.7584,0.7847,0.7736,0.7398,0.7504,0.76,0.7138,0.6326,0.7481,0.9734,0.9714,0.8788,0.8222,0.8003,0.8289,0.8845,0.9033,0.8437,0.7789,0.8226,0.8266,0.7681,0.7676,0.7546,0.7348,0.7623,0.5969,0.3132,0.2598,0.3252,0.3425,0.2636,0.255,0.3145,0.2903,0.306,0.3321,0.242,0.3962,0.697,0.6642,0.6031,0.6718,0.7144,0.7182,0.7086,0.7038,0.7025,0.7359,0.8034,0.6456,0.3853,0.431,0.5558,0.5883,0.5778,0.5788,0.6248,0.7037,0.7085,0.6751,0.7394,0.7769,0.7584,0.7812,0.8025,0.7842,0.7577,0.855,1.0281,1.091,1.1212,1.1442,1.1021,1.0773,1.1016,1.1276,1.1417,1.1377,1.1172,1.1177,1.1371,1.1374,1.129,1.1572,1.2197,1.0546,0.7694,0.7546,0.8045,0.8164,0.8582,0.6727,0.3443,0.2569,0.2974,0.3171,0.2929,0.3226,0.3849,0.3613,0.3331,0.3272,0.3032,0.3656,0.4543})</x:f>
        <x:v>14033.542115724867</x:v>
      </x:c>
    </x:row>
    <x:row r="283" ht="14" customHeight="1">
      <x:c r="A283" s="3">
        <x:v>45970</x:v>
      </x:c>
      <x:c r="B283" s="23" t="n">
        <x:v>1417.780802408854</x:v>
      </x:c>
      <x:c r="C283" s="23" t="n">
        <x:v>1400.0170084635415</x:v>
      </x:c>
      <x:c r="D283" s="23" t="n">
        <x:v>556.0057373046875</x:v>
      </x:c>
      <x:c r="E283" s="23" t="n">
        <x:v>1403.547892252604</x:v>
      </x:c>
      <x:c r="F283" s="23" t="n">
        <x:v>1411.560099283854</x:v>
      </x:c>
      <x:c r="G283" s="23" t="n">
        <x:v>574.0132649739583</x:v>
      </x:c>
      <x:c r="H283" s="23" t="n">
        <x:v>585.8089192708333</x:v>
      </x:c>
      <x:c r="I283" s="23" t="n">
        <x:v>583.8114013671875</x:v>
      </x:c>
      <x:c r="J283" s="23" t="n">
        <x:v>580.5321451822916</x:v>
      </x:c>
      <x:c r="K283" s="23" t="n">
        <x:v>595.6536458333333</x:v>
      </x:c>
      <x:c r="L283" s="23" t="n">
        <x:v>598.7391357421875</x:v>
      </x:c>
      <x:c r="M283" s="23" t="n">
        <x:v>587.5899658203125</x:v>
      </x:c>
      <x:c r="N283" s="23" t="n">
        <x:v>587.8051350911458</x:v>
      </x:c>
      <x:c r="O283" s="23" t="n">
        <x:v>589.9296061197916</x:v>
      </x:c>
      <x:c r="P283" s="23" t="n">
        <x:v>602.3321533203125</x:v>
      </x:c>
      <x:c r="Q283" s="23" t="n">
        <x:v>600.9043375651041</x:v>
      </x:c>
      <x:c r="R283" s="23" t="n">
        <x:v>1010.3041627218372</x:v>
      </x:c>
      <x:c r="S283" s="23" t="n">
        <x:v>602.7724609375</x:v>
      </x:c>
      <x:c r="T283" s="23" t="n">
        <x:v>599.529541015625</x:v>
      </x:c>
      <x:c r="U283" s="23" t="n">
        <x:v>595.8096110026041</x:v>
      </x:c>
      <x:c r="V283" s="23" t="n">
        <x:v>592.963134765625</x:v>
      </x:c>
      <x:c r="W283" s="23" t="n">
        <x:v>596.547119140625</x:v>
      </x:c>
      <x:c r="X283" s="23" t="n">
        <x:v>602.4344075520833</x:v>
      </x:c>
      <x:c r="Y283" s="23" t="n">
        <x:v>593.3431803385416</x:v>
      </x:c>
      <x:c r="Z283" s="23" t="n">
        <x:v>591.2030029296875</x:v>
      </x:c>
      <x:c r="AA283" s="23" t="n">
        <x:v>598.8563639322916</x:v>
      </x:c>
      <x:c r="AB283" s="23" t="n">
        <x:v>600.0699462890625</x:v>
      </x:c>
      <x:c r="AC283" s="23" t="n">
        <x:v>600.984375</x:v>
      </x:c>
      <x:c r="AD283" s="23" t="n">
        <x:v>600.2435302734375</x:v>
      </x:c>
      <x:c r="AE283" s="23" t="n">
        <x:v>604.7381184895833</x:v>
      </x:c>
      <x:c r="AF283" s="23" t="n">
        <x:v>1434.3098958333333</x:v>
      </x:c>
      <x:c r="AG283" s="23" t="n">
        <x:v>597.9503580729166</x:v>
      </x:c>
      <x:c r="AH283" s="23" t="n">
        <x:v>603.1080729166666</x:v>
      </x:c>
      <x:c r="AI283" s="23" t="n">
        <x:v>1431.4092610677083</x:v>
      </x:c>
      <x:c r="AJ283" s="23" t="n">
        <x:v>630.0625406901041</x:v>
      </x:c>
      <x:c r="AK283" s="23" t="n">
        <x:v>0</x:v>
      </x:c>
      <x:c r="AL283" s="23" t="n">
        <x:v>6.200390408496483</x:v>
      </x:c>
      <x:c r="AM283" s="23" t="n">
        <x:v>803.0655113946688</x:v>
      </x:c>
      <x:c r="AN283" s="23" t="n">
        <x:v>8.469677275459464</x:v>
      </x:c>
      <x:c r="AO283" s="23" t="n">
        <x:v>0</x:v>
      </x:c>
      <x:c r="AP283" s="23" t="n">
        <x:v>731.6533388766188</x:v>
      </x:c>
      <x:c r="AQ283" s="23" t="n">
        <x:v>703.2774454487035</x:v>
      </x:c>
      <x:c r="AR283" s="23" t="n">
        <x:v>651.0023033944876</x:v>
      </x:c>
      <x:c r="AS283" s="23" t="n">
        <x:v>617.2373861487603</x:v>
      </x:c>
      <x:c r="AT283" s="23" t="n">
        <x:v>360.05485540661914</x:v>
      </x:c>
      <x:c r="AU283" s="23" t="n">
        <x:v>486.3051784842652</x:v>
      </x:c>
      <x:c r="AV283" s="23" t="n">
        <x:v>548.2083126309029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4.1497303882097185</x:v>
      </x:c>
      <x:c r="BM283" s="23" t="n">
        <x:v>0</x:v>
      </x:c>
      <x:c r="BN283" s="23" t="n">
        <x:v>0</x:v>
      </x:c>
      <x:c r="BO283" s="23" t="n">
        <x:v>756.468250689135</x:v>
      </x:c>
      <x:c r="BP283" s="23" t="n">
        <x:v>733.0733746174546</x:v>
      </x:c>
      <x:c r="BQ283" s="23" t="n">
        <x:v>704.0135037839202</x:v>
      </x:c>
      <x:c r="BR283" s="23" t="n">
        <x:v>668.1923525856039</x:v>
      </x:c>
      <x:c r="BS283" s="23" t="n">
        <x:v>659.8873344090853</x:v>
      </x:c>
      <x:c r="BT283" s="23" t="n">
        <x:v>628.5843115495763</x:v>
      </x:c>
      <x:c r="BU283" s="23" t="n">
        <x:v>589.517294898774</x:v>
      </x:c>
      <x:c r="BV283" s="23" t="n">
        <x:v>578.3317324979682</x:v>
      </x:c>
      <x:c r="BW283" s="23" t="n">
        <x:v>569.9421431710091</x:v>
      </x:c>
      <x:c r="BX283" s="23" t="n">
        <x:v>573.474663214048</x:v>
      </x:c>
      <x:c r="BY283" s="23" t="n">
        <x:v>576.0844701103047</x:v>
      </x:c>
      <x:c r="BZ283" s="23" t="n">
        <x:v>568.9378302970014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243.2456527504452</x:v>
      </x:c>
      <x:c r="CN283" s="23" t="n">
        <x:v>966.6720290742849</x:v>
      </x:c>
      <x:c r="CO283" s="23" t="n">
        <x:v>365.5217263089453</x:v>
      </x:c>
      <x:c r="CP283" s="23" t="n">
        <x:v>417.91363567230417</x:v>
      </x:c>
      <x:c r="CQ283" s="23" t="n">
        <x:v>477.0748327336047</x:v>
      </x:c>
      <x:c r="CR283" s="23" t="n">
        <x:v>536.9976675950653</x:v>
      </x:c>
      <x:c r="CS283" s="23" t="n">
        <x:v>596.9180136794484</x:v>
      </x:c>
      <x:c r="CT283" s="23" t="n">
        <x:v>656.9800479994868</x:v>
      </x:c>
      <x:c r="CU283" s="23" t="n">
        <x:v>716.6114968149404</x:v>
      </x:c>
      <x:c r="CV283" s="23" t="n">
        <x:v>777.5308243541414</x:v>
      </x:c>
      <x:c r="CW283" s="23" t="n">
        <x:v>828.045719515067</x:v>
      </x:c>
      <x:c r="CX283" s="23" t="n">
        <x:v>884.5980566099676</x:v>
      </x:c>
      <x:c r="CY283" s="23" t="n">
        <x:v>938.9164407234693</x:v>
      </x:c>
      <x:c r="CZ283" s="23" t="n">
        <x:v>982.6614364443</x:v>
      </x:c>
      <x:c r="DA283" s="23" t="n">
        <x:v>997.875997240431</x:v>
      </x:c>
      <x:c r="DB283" s="23" t="n">
        <x:v>1018.2390950520833</x:v>
      </x:c>
      <x:c r="DC283" s="23" t="n">
        <x:v>1041.4815467487097</x:v>
      </x:c>
      <x:c r="DD283" s="23" t="n">
        <x:v>910.5992225966247</x:v>
      </x:c>
      <x:c r="DE283" s="23" t="n">
        <x:v>0</x:v>
      </x:c>
      <x:c r="DF283" s="23" t="n">
        <x:v>0</x:v>
      </x:c>
      <x:c r="DG283" s="23" t="n">
        <x:v>700.9759114583333</x:v>
      </x:c>
      <x:c r="DH283" s="23" t="n">
        <x:v>0</x:v>
      </x:c>
      <x:c r="DI283" s="23" t="n">
        <x:v>0</x:v>
      </x:c>
      <x:c r="DJ283" s="23" t="n">
        <x:v>683.3681640625</x:v>
      </x:c>
      <x:c r="DK283" s="23" t="n">
        <x:v>684.8914388020833</x:v>
      </x:c>
      <x:c r="DL283" s="23" t="n">
        <x:v>0</x:v>
      </x:c>
      <x:c r="DM283" s="23" t="n">
        <x:v>0</x:v>
      </x:c>
      <x:c r="DN283" s="23" t="n">
        <x:v>441.53073730468714</x:v>
      </x:c>
      <x:c r="DO283" s="23" t="n">
        <x:v>714.0669759114583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702.8553873697916</x:v>
      </x:c>
      <x:c r="DW283" s="23" t="n">
        <x:v>714.0858561197916</x:v>
      </x:c>
      <x:c r="DX283" s="23" t="n">
        <x:v>704.7945787680042</x:v>
      </x:c>
      <x:c r="DY283" s="23" t="n">
        <x:v>675.7107340494791</x:v>
      </x:c>
      <x:c r="DZ283" s="23" t="n">
        <x:v>681.8827311197916</x:v>
      </x:c>
      <x:c r="EA283" s="23" t="n">
        <x:v>728.6383463541666</x:v>
      </x:c>
      <x:c r="EB283" s="23" t="n">
        <x:v>633.5185546875</x:v>
      </x:c>
      <x:c r="EC283" s="23" t="n">
        <x:v>552.5743408203125</x:v>
      </x:c>
      <x:c r="ED283" s="23" t="n">
        <x:v>1370.8651123046875</x:v>
      </x:c>
      <x:c r="EE283" s="23" t="n">
        <x:v>803.6781377636316</x:v>
      </x:c>
      <x:c r="EF283" s="23" t="n">
        <x:v>1373.6233723958333</x:v>
      </x:c>
      <x:c r="EG283" s="23" t="n">
        <x:v>1375.8809814453125</x:v>
      </x:c>
      <x:c r="EH283" s="23" t="n">
        <x:v>544.3109944661458</x:v>
      </x:c>
      <x:c r="EI283" s="23" t="n">
        <x:v>552.7994384765625</x:v>
      </x:c>
      <x:c r="EJ283" s="23" t="n">
        <x:v>1381.3232014973958</x:v>
      </x:c>
      <x:c r="EK283" s="23" t="n">
        <x:v>1378.5096028645833</x:v>
      </x:c>
      <x:c r="EL283" s="23" t="n">
        <x:v>1386.6290690104165</x:v>
      </x:c>
      <x:c r="EM283" s="23" t="n">
        <x:v>568.0509033203125</x:v>
      </x:c>
      <x:c r="EN283" s="23" t="n">
        <x:v>569.0430501302083</x:v>
      </x:c>
      <x:c r="EO283" s="23" t="n">
        <x:v>563.4875081380208</x:v>
      </x:c>
      <x:c r="EP283" s="23" t="n">
        <x:f>SUM(B283:EO283)</x:f>
        <x:v>72533.7802952046</x:v>
      </x:c>
      <x:c r="EQ283" s="23" t="n">
        <x:f>SUMPRODUCT(B283:EO283,{0.395,0.3575,0.4009,0.4175,0.4288,0.4451,0.4432,0.4456,0.4359,0.3817,0.3829,0.4486,0.4841,0.4769,0.457,0.4531,0.4167,0.3911,0.4673,0.4889,0.4309,0.4233,0.4391,0.4623,0.5061,0.4993,0.4527,0.4491,0.4452,0.4159,0.3871,0.3866,0.3885,0.3803,0.5988,0.9465,1.048,1.0017,0.9566,0.9637,0.9751,0.9639,0.9438,0.9138,0.864,0.828,1.0143,1.3043,1.3403,1.2871,1.2562,1.1972,1.1602,1.1532,1.1331,1.1288,1.1445,1.1387,1.0663,0.9735,0.9575,0.9553,0.9532,0.9727,0.8292,0.5895,0.5337,0.5808,0.6128,0.5881,0.545,0.5187,0.5175,0.5292,0.5157,0.4756,0.6225,0.8824,0.9472,0.9343,0.9334,0.9158,0.9271,0.9734,1.0113,1.0372,1.0754,1.1246,1.0226,0.8304,0.7952,0.8527,0.8949,0.8827,0.9026,0.9669,1.0018,1.0089,1.0204,1.0601,1.0797,1.0716,1.0788,1.1095,1.119,1.0693,1.1139,1.249,1.3018,1.2483,1.1925,1.2556,1.2829,1.2479,1.2751,1.3062,1.3031,1.2919,1.2837,1.2748,1.2604,1.272,1.3027,1.2941,1.1777,1.021,0.9671,0.9165,0.9019,1.0151,0.8347,0.4549,0.4082,0.4112,0.3532,0.4184,0.4454,0.3911,0.3792,0.3676,0.3516,0.3875,0.4497,0.4658})</x:f>
        <x:v>47442.30618274102</x:v>
      </x:c>
    </x:row>
    <x:row r="284" ht="14" customHeight="1">
      <x:c r="A284" s="3">
        <x:v>45971</x:v>
      </x:c>
      <x:c r="B284" s="23" t="n">
        <x:v>569.0003255208333</x:v>
      </x:c>
      <x:c r="C284" s="23" t="n">
        <x:v>573.7827962239583</x:v>
      </x:c>
      <x:c r="D284" s="23" t="n">
        <x:v>576.166748046875</x:v>
      </x:c>
      <x:c r="E284" s="23" t="n">
        <x:v>570.353759765625</x:v>
      </x:c>
      <x:c r="F284" s="23" t="n">
        <x:v>570.3048909505208</x:v>
      </x:c>
      <x:c r="G284" s="23" t="n">
        <x:v>578.593505859375</x:v>
      </x:c>
      <x:c r="H284" s="23" t="n">
        <x:v>568.6607666015625</x:v>
      </x:c>
      <x:c r="I284" s="23" t="n">
        <x:v>572.6232096354166</x:v>
      </x:c>
      <x:c r="J284" s="23" t="n">
        <x:v>1417.2239990234375</x:v>
      </x:c>
      <x:c r="K284" s="23" t="n">
        <x:v>1425.1765950520833</x:v>
      </x:c>
      <x:c r="L284" s="23" t="n">
        <x:v>593.3033854166666</x:v>
      </x:c>
      <x:c r="M284" s="23" t="n">
        <x:v>585.4637451171875</x:v>
      </x:c>
      <x:c r="N284" s="23" t="n">
        <x:v>1422.1493326822915</x:v>
      </x:c>
      <x:c r="O284" s="23" t="n">
        <x:v>596.3951009114583</x:v>
      </x:c>
      <x:c r="P284" s="23" t="n">
        <x:v>598.100830078125</x:v>
      </x:c>
      <x:c r="Q284" s="23" t="n">
        <x:v>599.434814453125</x:v>
      </x:c>
      <x:c r="R284" s="23" t="n">
        <x:v>1426.9058430989583</x:v>
      </x:c>
      <x:c r="S284" s="23" t="n">
        <x:v>593.060302734375</x:v>
      </x:c>
      <x:c r="T284" s="23" t="n">
        <x:v>601.8348388671875</x:v>
      </x:c>
      <x:c r="U284" s="23" t="n">
        <x:v>601.7177734375</x:v>
      </x:c>
      <x:c r="V284" s="23" t="n">
        <x:v>593.8284912109375</x:v>
      </x:c>
      <x:c r="W284" s="23" t="n">
        <x:v>597.03466796875</x:v>
      </x:c>
      <x:c r="X284" s="23" t="n">
        <x:v>599.6177164713541</x:v>
      </x:c>
      <x:c r="Y284" s="23" t="n">
        <x:v>602.9999593098958</x:v>
      </x:c>
      <x:c r="Z284" s="23" t="n">
        <x:v>601.1246337890625</x:v>
      </x:c>
      <x:c r="AA284" s="23" t="n">
        <x:v>600.0553385416666</x:v>
      </x:c>
      <x:c r="AB284" s="23" t="n">
        <x:v>600.0122884114583</x:v>
      </x:c>
      <x:c r="AC284" s="23" t="n">
        <x:v>1434.72119140625</x:v>
      </x:c>
      <x:c r="AD284" s="23" t="n">
        <x:v>1055.9673296135543</x:v>
      </x:c>
      <x:c r="AE284" s="23" t="n">
        <x:v>600.3355305989583</x:v>
      </x:c>
      <x:c r="AF284" s="23" t="n">
        <x:v>1438.326904296875</x:v>
      </x:c>
      <x:c r="AG284" s="23" t="n">
        <x:v>603.6276041666666</x:v>
      </x:c>
      <x:c r="AH284" s="23" t="n">
        <x:v>600.9571533203125</x:v>
      </x:c>
      <x:c r="AI284" s="23" t="n">
        <x:v>593.1678873697916</x:v>
      </x:c>
      <x:c r="AJ284" s="23" t="n">
        <x:v>653.3641357421875</x:v>
      </x:c>
      <x:c r="AK284" s="23" t="n">
        <x:v>0</x:v>
      </x:c>
      <x:c r="AL284" s="23" t="n">
        <x:v>2.3006242957449103</x:v>
      </x:c>
      <x:c r="AM284" s="23" t="n">
        <x:v>647.699758827246</x:v>
      </x:c>
      <x:c r="AN284" s="23" t="n">
        <x:v>0</x:v>
      </x:c>
      <x:c r="AO284" s="23" t="n">
        <x:v>0</x:v>
      </x:c>
      <x:c r="AP284" s="23" t="n">
        <x:v>756.4996129795202</x:v>
      </x:c>
      <x:c r="AQ284" s="23" t="n">
        <x:v>715.9814995731251</x:v>
      </x:c>
      <x:c r="AR284" s="23" t="n">
        <x:v>668.4243774153788</x:v>
      </x:c>
      <x:c r="AS284" s="23" t="n">
        <x:v>621.7856472504604</x:v>
      </x:c>
      <x:c r="AT284" s="23" t="n">
        <x:v>568.2111934507354</x:v>
      </x:c>
      <x:c r="AU284" s="23" t="n">
        <x:v>494.5530003409613</x:v>
      </x:c>
      <x:c r="AV284" s="23" t="n">
        <x:v>523.1692690162693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0</x:v>
      </x:c>
      <x:c r="BO284" s="23" t="n">
        <x:v>753.1081114051531</x:v>
      </x:c>
      <x:c r="BP284" s="23" t="n">
        <x:v>729.3948827864671</x:v>
      </x:c>
      <x:c r="BQ284" s="23" t="n">
        <x:v>718.690400675285</x:v>
      </x:c>
      <x:c r="BR284" s="23" t="n">
        <x:v>689.6702704166229</x:v>
      </x:c>
      <x:c r="BS284" s="23" t="n">
        <x:v>673.9824867848794</x:v>
      </x:c>
      <x:c r="BT284" s="23" t="n">
        <x:v>637.7978638779273</x:v>
      </x:c>
      <x:c r="BU284" s="23" t="n">
        <x:v>603.3150362623983</x:v>
      </x:c>
      <x:c r="BV284" s="23" t="n">
        <x:v>597.9498976173533</x:v>
      </x:c>
      <x:c r="BW284" s="23" t="n">
        <x:v>596.7386907551163</x:v>
      </x:c>
      <x:c r="BX284" s="23" t="n">
        <x:v>592.1091190651298</x:v>
      </x:c>
      <x:c r="BY284" s="23" t="n">
        <x:v>600.6378416897471</x:v>
      </x:c>
      <x:c r="BZ284" s="23" t="n">
        <x:v>539.1509665225606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12.119832729965916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1115.3768060483126</x:v>
      </x:c>
      <x:c r="CN284" s="23" t="n">
        <x:v>369.0584595124294</x:v>
      </x:c>
      <x:c r="CO284" s="23" t="n">
        <x:v>390.37996887816234</x:v>
      </x:c>
      <x:c r="CP284" s="23" t="n">
        <x:v>446.5038636097894</x:v>
      </x:c>
      <x:c r="CQ284" s="23" t="n">
        <x:v>500.76385727679997</x:v>
      </x:c>
      <x:c r="CR284" s="23" t="n">
        <x:v>543.849719575773</x:v>
      </x:c>
      <x:c r="CS284" s="23" t="n">
        <x:v>601.188616116545</x:v>
      </x:c>
      <x:c r="CT284" s="23" t="n">
        <x:v>652.0315405575498</x:v>
      </x:c>
      <x:c r="CU284" s="23" t="n">
        <x:v>712.3911862855404</x:v>
      </x:c>
      <x:c r="CV284" s="23" t="n">
        <x:v>781.3461523242677</x:v>
      </x:c>
      <x:c r="CW284" s="23" t="n">
        <x:v>836.392803041074</x:v>
      </x:c>
      <x:c r="CX284" s="23" t="n">
        <x:v>890.2689442201854</x:v>
      </x:c>
      <x:c r="CY284" s="23" t="n">
        <x:v>943.4541362730075</x:v>
      </x:c>
      <x:c r="CZ284" s="23" t="n">
        <x:v>989.3163719119293</x:v>
      </x:c>
      <x:c r="DA284" s="23" t="n">
        <x:v>1007.2750828329627</x:v>
      </x:c>
      <x:c r="DB284" s="23" t="n">
        <x:v>1015.5740559895833</x:v>
      </x:c>
      <x:c r="DC284" s="23" t="n">
        <x:v>1036.5390359572423</x:v>
      </x:c>
      <x:c r="DD284" s="23" t="n">
        <x:v>889.9453976478054</x:v>
      </x:c>
      <x:c r="DE284" s="23" t="n">
        <x:v>0</x:v>
      </x:c>
      <x:c r="DF284" s="23" t="n">
        <x:v>0</x:v>
      </x:c>
      <x:c r="DG284" s="23" t="n">
        <x:v>709.7056477864583</x:v>
      </x:c>
      <x:c r="DH284" s="23" t="n">
        <x:v>709.3347981770833</x:v>
      </x:c>
      <x:c r="DI284" s="23" t="n">
        <x:v>712.0743815104166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639.9168251953101</x:v>
      </x:c>
      <x:c r="DQ284" s="23" t="n">
        <x:v>0</x:v>
      </x:c>
      <x:c r="DR284" s="23" t="n">
        <x:v>0</x:v>
      </x:c>
      <x:c r="DS284" s="23" t="n">
        <x:v>0</x:v>
      </x:c>
      <x:c r="DT284" s="23" t="n">
        <x:v>711.5589192708333</x:v>
      </x:c>
      <x:c r="DU284" s="23" t="n">
        <x:v>0</x:v>
      </x:c>
      <x:c r="DV284" s="23" t="n">
        <x:v>718.6837565104166</x:v>
      </x:c>
      <x:c r="DW284" s="23" t="n">
        <x:v>721.5809733072916</x:v>
      </x:c>
      <x:c r="DX284" s="23" t="n">
        <x:v>726.5270182291666</x:v>
      </x:c>
      <x:c r="DY284" s="23" t="n">
        <x:v>721.3402506510416</x:v>
      </x:c>
      <x:c r="DZ284" s="23" t="n">
        <x:v>708.1241861979166</x:v>
      </x:c>
      <x:c r="EA284" s="23" t="n">
        <x:v>706.704082565104</x:v>
      </x:c>
      <x:c r="EB284" s="23" t="n">
        <x:v>643.5514729817708</x:v>
      </x:c>
      <x:c r="EC284" s="23" t="n">
        <x:v>543.1756591796875</x:v>
      </x:c>
      <x:c r="ED284" s="23" t="n">
        <x:v>1376.307657877604</x:v>
      </x:c>
      <x:c r="EE284" s="23" t="n">
        <x:v>563.0436604817708</x:v>
      </x:c>
      <x:c r="EF284" s="23" t="n">
        <x:v>553.6205647786458</x:v>
      </x:c>
      <x:c r="EG284" s="23" t="n">
        <x:v>1393.866943359375</x:v>
      </x:c>
      <x:c r="EH284" s="23" t="n">
        <x:v>562.8879801432291</x:v>
      </x:c>
      <x:c r="EI284" s="23" t="n">
        <x:v>555.8894856770833</x:v>
      </x:c>
      <x:c r="EJ284" s="23" t="n">
        <x:v>833.274610022023</x:v>
      </x:c>
      <x:c r="EK284" s="23" t="n">
        <x:v>1379.2563069661458</x:v>
      </x:c>
      <x:c r="EL284" s="23" t="n">
        <x:v>1389.3830159505208</x:v>
      </x:c>
      <x:c r="EM284" s="23" t="n">
        <x:v>570.7286783854166</x:v>
      </x:c>
      <x:c r="EN284" s="23" t="n">
        <x:v>1403.220743815104</x:v>
      </x:c>
      <x:c r="EO284" s="23" t="n">
        <x:v>1405.24609375</x:v>
      </x:c>
      <x:c r="EP284" s="23" t="n">
        <x:f>SUM(B284:EO284)</x:f>
        <x:v>73639.34349026073</x:v>
      </x:c>
      <x:c r="EQ284" s="23" t="n">
        <x:f>SUMPRODUCT(B284:EO284,{0.3925,0.3945,0.4668,0.4401,0.3777,0.3589,0.4019,0.4578,0.488,0.4875,0.4791,0.4503,0.3859,0.415,0.5105,0.5046,0.4414,0.3974,0.4087,0.4417,0.4485,0.4178,0.4646,0.5357,0.4659,0.4307,0.466,0.4354,0.4188,0.4524,0.4774,0.4586,0.3941,0.3636,0.6448,1.0486,1.069,0.9833,0.9829,0.9876,0.9754,0.955,0.9454,0.9542,0.9219,0.8236,1.0056,1.3367,1.3152,1.2305,1.2544,1.2611,1.2235,1.1633,1.1217,1.1308,1.1449,1.0847,1.0363,1.0298,1.0155,1.0156,1.0341,1.0181,0.8456,0.6263,0.6089,0.614,0.5758,0.6035,0.6193,0.5784,0.5262,0.5364,0.5773,0.5713,0.6925,0.8905,0.9231,0.9286,0.9665,0.9522,0.9315,0.9469,0.9937,1.0323,1.0764,1.1405,1.0135,0.793,0.809,0.8681,0.8702,0.9105,0.9537,0.9569,0.934,1.0054,1.1038,1.0471,1.0388,1.1183,1.1195,1.1046,1.1189,1.1424,1.1966,1.2599,1.2728,1.2455,1.2351,1.2856,1.2789,1.2322,1.2772,1.3044,1.2695,1.2443,1.2536,1.2845,1.2999,1.2665,1.2407,1.2925,1.2085,1.0054,0.9212,0.875,0.8786,0.9942,0.812,0.4077,0.2992,0.3585,0.4067,0.401,0.3718,0.3798,0.4527,0.4436,0.3903,0.4611,0.4485,0.3679})</x:f>
        <x:v>49255.269358939346</x:v>
      </x:c>
    </x:row>
    <x:row r="285" ht="14" customHeight="1">
      <x:c r="A285" s="3">
        <x:v>45972</x:v>
      </x:c>
      <x:c r="B285" s="23" t="n">
        <x:v>577.9742838541666</x:v>
      </x:c>
      <x:c r="C285" s="23" t="n">
        <x:v>577.7207438151041</x:v>
      </x:c>
      <x:c r="D285" s="23" t="n">
        <x:v>579.5519612630208</x:v>
      </x:c>
      <x:c r="E285" s="23" t="n">
        <x:v>587.0243326822916</x:v>
      </x:c>
      <x:c r="F285" s="23" t="n">
        <x:v>577.3114420572916</x:v>
      </x:c>
      <x:c r="G285" s="23" t="n">
        <x:v>1399.7985432942708</x:v>
      </x:c>
      <x:c r="H285" s="23" t="n">
        <x:v>1408.3484700520833</x:v>
      </x:c>
      <x:c r="I285" s="23" t="n">
        <x:v>1418.893107096354</x:v>
      </x:c>
      <x:c r="J285" s="23" t="n">
        <x:v>591.3362223307291</x:v>
      </x:c>
      <x:c r="K285" s="23" t="n">
        <x:v>592.4910074869791</x:v>
      </x:c>
      <x:c r="L285" s="23" t="n">
        <x:v>585.9015299479166</x:v>
      </x:c>
      <x:c r="M285" s="23" t="n">
        <x:v>1413.5186360677083</x:v>
      </x:c>
      <x:c r="N285" s="23" t="n">
        <x:v>1405.6566569010415</x:v>
      </x:c>
      <x:c r="O285" s="23" t="n">
        <x:v>584.7568359375</x:v>
      </x:c>
      <x:c r="P285" s="23" t="n">
        <x:v>595.3711344401041</x:v>
      </x:c>
      <x:c r="Q285" s="23" t="n">
        <x:v>598.53857421875</x:v>
      </x:c>
      <x:c r="R285" s="23" t="n">
        <x:v>599.9287516276041</x:v>
      </x:c>
      <x:c r="S285" s="23" t="n">
        <x:v>602.4283854166666</x:v>
      </x:c>
      <x:c r="T285" s="23" t="n">
        <x:v>853.5598243931656</x:v>
      </x:c>
      <x:c r="U285" s="23" t="n">
        <x:v>1430.707763671875</x:v>
      </x:c>
      <x:c r="V285" s="23" t="n">
        <x:v>601.5780436197916</x:v>
      </x:c>
      <x:c r="W285" s="23" t="n">
        <x:v>603.7213948567708</x:v>
      </x:c>
      <x:c r="X285" s="23" t="n">
        <x:v>607.2036539713541</x:v>
      </x:c>
      <x:c r="Y285" s="23" t="n">
        <x:v>609.6066080729166</x:v>
      </x:c>
      <x:c r="Z285" s="23" t="n">
        <x:v>595.94873046875</x:v>
      </x:c>
      <x:c r="AA285" s="23" t="n">
        <x:v>596.9860026041666</x:v>
      </x:c>
      <x:c r="AB285" s="23" t="n">
        <x:v>604.2223714192708</x:v>
      </x:c>
      <x:c r="AC285" s="23" t="n">
        <x:v>602.2742106119791</x:v>
      </x:c>
      <x:c r="AD285" s="23" t="n">
        <x:v>598.7256673177083</x:v>
      </x:c>
      <x:c r="AE285" s="23" t="n">
        <x:v>600.7478841145833</x:v>
      </x:c>
      <x:c r="AF285" s="23" t="n">
        <x:v>604.0120035807291</x:v>
      </x:c>
      <x:c r="AG285" s="23" t="n">
        <x:v>607.5802408854166</x:v>
      </x:c>
      <x:c r="AH285" s="23" t="n">
        <x:v>0</x:v>
      </x:c>
      <x:c r="AI285" s="23" t="n">
        <x:v>1426.3955891927083</x:v>
      </x:c>
      <x:c r="AJ285" s="23" t="n">
        <x:v>662.2714029947916</x:v>
      </x:c>
      <x:c r="AK285" s="23" t="n">
        <x:v>804.5606282552083</x:v>
      </x:c>
      <x:c r="AL285" s="23" t="n">
        <x:v>7.073048944317482</x:v>
      </x:c>
      <x:c r="AM285" s="23" t="n">
        <x:v>594.3008197218029</x:v>
      </x:c>
      <x:c r="AN285" s="23" t="n">
        <x:v>2.9384115561723165</x:v>
      </x:c>
      <x:c r="AO285" s="23" t="n">
        <x:v>0</x:v>
      </x:c>
      <x:c r="AP285" s="23" t="n">
        <x:v>765.644123664547</x:v>
      </x:c>
      <x:c r="AQ285" s="23" t="n">
        <x:v>725.3271274757083</x:v>
      </x:c>
      <x:c r="AR285" s="23" t="n">
        <x:v>680.2004217235038</x:v>
      </x:c>
      <x:c r="AS285" s="23" t="n">
        <x:v>628.6881164863063</x:v>
      </x:c>
      <x:c r="AT285" s="23" t="n">
        <x:v>576.4400828836215</x:v>
      </x:c>
      <x:c r="AU285" s="23" t="n">
        <x:v>502.7636154601665</x:v>
      </x:c>
      <x:c r="AV285" s="23" t="n">
        <x:v>0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0</x:v>
      </x:c>
      <x:c r="BO285" s="23" t="n">
        <x:v>778.401709032129</x:v>
      </x:c>
      <x:c r="BP285" s="23" t="n">
        <x:v>752.7971759020911</x:v>
      </x:c>
      <x:c r="BQ285" s="23" t="n">
        <x:v>735.1186544980643</x:v>
      </x:c>
      <x:c r="BR285" s="23" t="n">
        <x:v>720.2704145528901</x:v>
      </x:c>
      <x:c r="BS285" s="23" t="n">
        <x:v>707.5095247744646</x:v>
      </x:c>
      <x:c r="BT285" s="23" t="n">
        <x:v>670.6473927158778</x:v>
      </x:c>
      <x:c r="BU285" s="23" t="n">
        <x:v>617.98815369982</x:v>
      </x:c>
      <x:c r="BV285" s="23" t="n">
        <x:v>628.6619817846923</x:v>
      </x:c>
      <x:c r="BW285" s="23" t="n">
        <x:v>634.4244130879124</x:v>
      </x:c>
      <x:c r="BX285" s="23" t="n">
        <x:v>620.5914932654774</x:v>
      </x:c>
      <x:c r="BY285" s="23" t="n">
        <x:v>631.6329419656059</x:v>
      </x:c>
      <x:c r="BZ285" s="23" t="n">
        <x:v>665.5271002762402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15.804301667307453</x:v>
      </x:c>
      <x:c r="CH285" s="23" t="n">
        <x:v>65.84774259330818</x:v>
      </x:c>
      <x:c r="CI285" s="23" t="n">
        <x:v>98.5582865217454</x:v>
      </x:c>
      <x:c r="CJ285" s="23" t="n">
        <x:v>0</x:v>
      </x:c>
      <x:c r="CK285" s="23" t="n">
        <x:v>0</x:v>
      </x:c>
      <x:c r="CL285" s="23" t="n">
        <x:v>0</x:v>
      </x:c>
      <x:c r="CM285" s="23" t="n">
        <x:v>307.7945796532611</x:v>
      </x:c>
      <x:c r="CN285" s="23" t="n">
        <x:v>1184.0028744537349</x:v>
      </x:c>
      <x:c r="CO285" s="23" t="n">
        <x:v>397.7697338028788</x:v>
      </x:c>
      <x:c r="CP285" s="23" t="n">
        <x:v>447.70428745300296</x:v>
      </x:c>
      <x:c r="CQ285" s="23" t="n">
        <x:v>513.2705538414376</x:v>
      </x:c>
      <x:c r="CR285" s="23" t="n">
        <x:v>571.0389862800345</x:v>
      </x:c>
      <x:c r="CS285" s="23" t="n">
        <x:v>632.165695147565</x:v>
      </x:c>
      <x:c r="CT285" s="23" t="n">
        <x:v>684.1369601830917</x:v>
      </x:c>
      <x:c r="CU285" s="23" t="n">
        <x:v>733.7398221158378</x:v>
      </x:c>
      <x:c r="CV285" s="23" t="n">
        <x:v>793.1449505564211</x:v>
      </x:c>
      <x:c r="CW285" s="23" t="n">
        <x:v>850.2887448129738</x:v>
      </x:c>
      <x:c r="CX285" s="23" t="n">
        <x:v>898.8796937862239</x:v>
      </x:c>
      <x:c r="CY285" s="23" t="n">
        <x:v>938.2330134832246</x:v>
      </x:c>
      <x:c r="CZ285" s="23" t="n">
        <x:v>987.9441821872492</x:v>
      </x:c>
      <x:c r="DA285" s="23" t="n">
        <x:v>1005.061625665359</x:v>
      </x:c>
      <x:c r="DB285" s="23" t="n">
        <x:v>997.5116373697916</x:v>
      </x:c>
      <x:c r="DC285" s="23" t="n">
        <x:v>1041.4597348360771</x:v>
      </x:c>
      <x:c r="DD285" s="23" t="n">
        <x:v>910.1629495659868</x:v>
      </x:c>
      <x:c r="DE285" s="23" t="n">
        <x:v>0</x:v>
      </x:c>
      <x:c r="DF285" s="23" t="n">
        <x:v>0</x:v>
      </x:c>
      <x:c r="DG285" s="23" t="n">
        <x:v>722.6075846354166</x:v>
      </x:c>
      <x:c r="DH285" s="23" t="n">
        <x:v>712.8640950520833</x:v>
      </x:c>
      <x:c r="DI285" s="23" t="n">
        <x:v>0</x:v>
      </x:c>
      <x:c r="DJ285" s="23" t="n">
        <x:v>0</x:v>
      </x:c>
      <x:c r="DK285" s="23" t="n">
        <x:v>34.08251529947968</x:v>
      </x:c>
      <x:c r="DL285" s="23" t="n">
        <x:v>719.931396484375</x:v>
      </x:c>
      <x:c r="DM285" s="23" t="n">
        <x:v>0</x:v>
      </x:c>
      <x:c r="DN285" s="23" t="n">
        <x:v>0</x:v>
      </x:c>
      <x:c r="DO285" s="23" t="n">
        <x:v>0</x:v>
      </x:c>
      <x:c r="DP285" s="23" t="n">
        <x:v>720.0342610677083</x:v>
      </x:c>
      <x:c r="DQ285" s="23" t="n">
        <x:v>721.933837890625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712.967041015625</x:v>
      </x:c>
      <x:c r="DW285" s="23" t="n">
        <x:v>719.411376953125</x:v>
      </x:c>
      <x:c r="DX285" s="23" t="n">
        <x:v>727.0633138020833</x:v>
      </x:c>
      <x:c r="DY285" s="23" t="n">
        <x:v>731.226318359375</x:v>
      </x:c>
      <x:c r="DZ285" s="23" t="n">
        <x:v>711.066162109375</x:v>
      </x:c>
      <x:c r="EA285" s="23" t="n">
        <x:v>718.0882823828125</x:v>
      </x:c>
      <x:c r="EB285" s="23" t="n">
        <x:v>644.570068359375</x:v>
      </x:c>
      <x:c r="EC285" s="23" t="n">
        <x:v>529.6617838541666</x:v>
      </x:c>
      <x:c r="ED285" s="23" t="n">
        <x:v>1381.27587890625</x:v>
      </x:c>
      <x:c r="EE285" s="23" t="n">
        <x:v>563.1026204427083</x:v>
      </x:c>
      <x:c r="EF285" s="23" t="n">
        <x:v>1382.8177490234375</x:v>
      </x:c>
      <x:c r="EG285" s="23" t="n">
        <x:v>1386.3872884114583</x:v>
      </x:c>
      <x:c r="EH285" s="23" t="n">
        <x:v>559.4142659505208</x:v>
      </x:c>
      <x:c r="EI285" s="23" t="n">
        <x:v>552.96875</x:v>
      </x:c>
      <x:c r="EJ285" s="23" t="n">
        <x:v>833.3190489044816</x:v>
      </x:c>
      <x:c r="EK285" s="23" t="n">
        <x:v>1389.3527425130208</x:v>
      </x:c>
      <x:c r="EL285" s="23" t="n">
        <x:v>555.4012858072916</x:v>
      </x:c>
      <x:c r="EM285" s="23" t="n">
        <x:v>1388.977294921875</x:v>
      </x:c>
      <x:c r="EN285" s="23" t="n">
        <x:v>1401.1641845703125</x:v>
      </x:c>
      <x:c r="EO285" s="23" t="n">
        <x:v>572.7339680989583</x:v>
      </x:c>
      <x:c r="EP285" s="23" t="n">
        <x:f>SUM(B285:EO285)</x:f>
        <x:v>74920.54283278462</x:v>
      </x:c>
      <x:c r="EQ285" s="23" t="n">
        <x:f>SUMPRODUCT(B285:EO285,{0.4471,0.4929,0.428,0.3807,0.4031,0.4586,0.4656,0.4312,0.4136,0.4606,0.4696,0.4301,0.4328,0.4537,0.451,0.4132,0.4007,0.4153,0.41,0.4418,0.4882,0.4639,0.4513,0.4449,0.3685,0.3762,0.4627,0.4631,0.4443,0.4572,0.475,0.4642,0.4011,0.3475,0.6363,1.065,1.0634,0.9837,1.0206,1.0172,0.9896,0.9576,0.9161,0.9283,0.9167,0.784,0.9587,1.3295,1.3296,1.2485,1.244,1.1824,1.1688,1.2045,1.1691,1.124,1.1273,1.1616,1.1151,1.0391,1.079,1.0255,0.931,1.0279,0.8896,0.5621,0.5469,0.6143,0.5911,0.5426,0.5056,0.4962,0.5104,0.5065,0.478,0.4845,0.6582,0.9132,1.0015,0.9711,0.9372,0.9641,0.9568,0.9198,0.9545,0.9948,1.0403,1.123,0.9908,0.7467,0.7706,0.8524,0.8659,0.8946,0.9174,0.9288,0.958,0.9947,1.0225,1.0336,1.0365,1.0499,1.0855,1.106,1.0782,1.0241,1.1055,1.2771,1.3185,1.2738,1.2409,1.2669,1.259,1.2302,1.2787,1.2903,1.2563,1.2849,1.3121,1.3041,1.293,1.2743,1.2662,1.2768,1.1524,0.9623,0.9421,0.9444,0.9469,1.0285,0.8048,0.4059,0.3801,0.4315,0.3908,0.3941,0.4207,0.4436,0.466,0.4675,0.4384,0.3997,0.4215,0.4756})</x:f>
        <x:v>49703.146260524656</x:v>
      </x:c>
    </x:row>
    <x:row r="286" ht="14" customHeight="1">
      <x:c r="A286" s="3">
        <x:v>45973</x:v>
      </x:c>
      <x:c r="B286" s="23" t="n">
        <x:v>1397.0990804036458</x:v>
      </x:c>
      <x:c r="C286" s="23" t="n">
        <x:v>1396.7502034505208</x:v>
      </x:c>
      <x:c r="D286" s="23" t="n">
        <x:v>572.5060628255208</x:v>
      </x:c>
      <x:c r="E286" s="23" t="n">
        <x:v>579.5367838541666</x:v>
      </x:c>
      <x:c r="F286" s="23" t="n">
        <x:v>572.9192301432291</x:v>
      </x:c>
      <x:c r="G286" s="23" t="n">
        <x:v>567.0064290364583</x:v>
      </x:c>
      <x:c r="H286" s="23" t="n">
        <x:v>568.2073974609375</x:v>
      </x:c>
      <x:c r="I286" s="23" t="n">
        <x:v>583.831787109375</x:v>
      </x:c>
      <x:c r="J286" s="23" t="n">
        <x:v>594.394287109375</x:v>
      </x:c>
      <x:c r="K286" s="23" t="n">
        <x:v>596.1326090494791</x:v>
      </x:c>
      <x:c r="L286" s="23" t="n">
        <x:v>590.8129475911458</x:v>
      </x:c>
      <x:c r="M286" s="23" t="n">
        <x:v>1417.2990315755208</x:v>
      </x:c>
      <x:c r="N286" s="23" t="n">
        <x:v>1418.7606201171875</x:v>
      </x:c>
      <x:c r="O286" s="23" t="n">
        <x:v>588.4102376302083</x:v>
      </x:c>
      <x:c r="P286" s="23" t="n">
        <x:v>590.0051676432291</x:v>
      </x:c>
      <x:c r="Q286" s="23" t="n">
        <x:v>601.2578531901041</x:v>
      </x:c>
      <x:c r="R286" s="23" t="n">
        <x:v>602.119140625</x:v>
      </x:c>
      <x:c r="S286" s="23" t="n">
        <x:v>599.7010904947916</x:v>
      </x:c>
      <x:c r="T286" s="23" t="n">
        <x:v>595.32421875</x:v>
      </x:c>
      <x:c r="U286" s="23" t="n">
        <x:v>1429.975341796875</x:v>
      </x:c>
      <x:c r="V286" s="23" t="n">
        <x:v>1112.5959105541083</x:v>
      </x:c>
      <x:c r="W286" s="23" t="n">
        <x:v>597.8262532552083</x:v>
      </x:c>
      <x:c r="X286" s="23" t="n">
        <x:v>603.0738525390625</x:v>
      </x:c>
      <x:c r="Y286" s="23" t="n">
        <x:v>604.1142985026041</x:v>
      </x:c>
      <x:c r="Z286" s="23" t="n">
        <x:v>599.9112955729166</x:v>
      </x:c>
      <x:c r="AA286" s="23" t="n">
        <x:v>597.5898030598958</x:v>
      </x:c>
      <x:c r="AB286" s="23" t="n">
        <x:v>598.1512451171875</x:v>
      </x:c>
      <x:c r="AC286" s="23" t="n">
        <x:v>598.0319010416666</x:v>
      </x:c>
      <x:c r="AD286" s="23" t="n">
        <x:v>601.50537109375</x:v>
      </x:c>
      <x:c r="AE286" s="23" t="n">
        <x:v>599.4617106119791</x:v>
      </x:c>
      <x:c r="AF286" s="23" t="n">
        <x:v>603.4913330078125</x:v>
      </x:c>
      <x:c r="AG286" s="23" t="n">
        <x:v>605.2271728515625</x:v>
      </x:c>
      <x:c r="AH286" s="23" t="n">
        <x:v>609.8450113932291</x:v>
      </x:c>
      <x:c r="AI286" s="23" t="n">
        <x:v>1433.3216552734375</x:v>
      </x:c>
      <x:c r="AJ286" s="23" t="n">
        <x:v>653.0069986979166</x:v>
      </x:c>
      <x:c r="AK286" s="23" t="n">
        <x:v>0</x:v>
      </x:c>
      <x:c r="AL286" s="23" t="n">
        <x:v>2.0192892038674772</x:v>
      </x:c>
      <x:c r="AM286" s="23" t="n">
        <x:v>640.0671721609737</x:v>
      </x:c>
      <x:c r="AN286" s="23" t="n">
        <x:v>5.4297852540889835</x:v>
      </x:c>
      <x:c r="AO286" s="23" t="n">
        <x:v>789.7642792562934</x:v>
      </x:c>
      <x:c r="AP286" s="23" t="n">
        <x:v>772.9232998791476</x:v>
      </x:c>
      <x:c r="AQ286" s="23" t="n">
        <x:v>728.8232211833351</x:v>
      </x:c>
      <x:c r="AR286" s="23" t="n">
        <x:v>682.3090543071492</x:v>
      </x:c>
      <x:c r="AS286" s="23" t="n">
        <x:v>632.8070884519868</x:v>
      </x:c>
      <x:c r="AT286" s="23" t="n">
        <x:v>586.6701722589496</x:v>
      </x:c>
      <x:c r="AU286" s="23" t="n">
        <x:v>520.339088525925</x:v>
      </x:c>
      <x:c r="AV286" s="23" t="n">
        <x:v>0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764.4351525398862</x:v>
      </x:c>
      <x:c r="BP286" s="23" t="n">
        <x:v>737.8884240763515</x:v>
      </x:c>
      <x:c r="BQ286" s="23" t="n">
        <x:v>710.2330896052706</x:v>
      </x:c>
      <x:c r="BR286" s="23" t="n">
        <x:v>694.7220368665028</x:v>
      </x:c>
      <x:c r="BS286" s="23" t="n">
        <x:v>689.2884069125912</x:v>
      </x:c>
      <x:c r="BT286" s="23" t="n">
        <x:v>649.3314765628362</x:v>
      </x:c>
      <x:c r="BU286" s="23" t="n">
        <x:v>605.9748997426109</x:v>
      </x:c>
      <x:c r="BV286" s="23" t="n">
        <x:v>607.9415575155813</x:v>
      </x:c>
      <x:c r="BW286" s="23" t="n">
        <x:v>627.3000990049925</x:v>
      </x:c>
      <x:c r="BX286" s="23" t="n">
        <x:v>622.8095020292249</x:v>
      </x:c>
      <x:c r="BY286" s="23" t="n">
        <x:v>627.7341833230118</x:v>
      </x:c>
      <x:c r="BZ286" s="23" t="n">
        <x:v>669.1303839584382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18.72057260228818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463.3137414020317</x:v>
      </x:c>
      <x:c r="CN286" s="23" t="n">
        <x:v>1188.3397474720814</x:v>
      </x:c>
      <x:c r="CO286" s="23" t="n">
        <x:v>411.3138127419155</x:v>
      </x:c>
      <x:c r="CP286" s="23" t="n">
        <x:v>461.09957346866395</x:v>
      </x:c>
      <x:c r="CQ286" s="23" t="n">
        <x:v>510.2320278460441</x:v>
      </x:c>
      <x:c r="CR286" s="23" t="n">
        <x:v>575.5601799282454</x:v>
      </x:c>
      <x:c r="CS286" s="23" t="n">
        <x:v>635.1418157132575</x:v>
      </x:c>
      <x:c r="CT286" s="23" t="n">
        <x:v>682.419137130604</x:v>
      </x:c>
      <x:c r="CU286" s="23" t="n">
        <x:v>732.4329365117137</x:v>
      </x:c>
      <x:c r="CV286" s="23" t="n">
        <x:v>799.685092087163</x:v>
      </x:c>
      <x:c r="CW286" s="23" t="n">
        <x:v>856.0488905409271</x:v>
      </x:c>
      <x:c r="CX286" s="23" t="n">
        <x:v>901.6614392935392</x:v>
      </x:c>
      <x:c r="CY286" s="23" t="n">
        <x:v>931.8682272108481</x:v>
      </x:c>
      <x:c r="CZ286" s="23" t="n">
        <x:v>991.0101095698369</x:v>
      </x:c>
      <x:c r="DA286" s="23" t="n">
        <x:v>1009.350500909066</x:v>
      </x:c>
      <x:c r="DB286" s="23" t="n">
        <x:v>1019.84326171875</x:v>
      </x:c>
      <x:c r="DC286" s="23" t="n">
        <x:v>1026.8487670968761</x:v>
      </x:c>
      <x:c r="DD286" s="23" t="n">
        <x:v>891.1937726805374</x:v>
      </x:c>
      <x:c r="DE286" s="23" t="n">
        <x:v>0</x:v>
      </x:c>
      <x:c r="DF286" s="23" t="n">
        <x:v>0</x:v>
      </x:c>
      <x:c r="DG286" s="23" t="n">
        <x:v>0</x:v>
      </x:c>
      <x:c r="DH286" s="23" t="n">
        <x:v>693.2344563802083</x:v>
      </x:c>
      <x:c r="DI286" s="23" t="n">
        <x:v>718.572509765625</x:v>
      </x:c>
      <x:c r="DJ286" s="23" t="n">
        <x:v>0</x:v>
      </x:c>
      <x:c r="DK286" s="23" t="n">
        <x:v>0</x:v>
      </x:c>
      <x:c r="DL286" s="23" t="n">
        <x:v>679.4577594401032</x:v>
      </x:c>
      <x:c r="DM286" s="23" t="n">
        <x:v>717.1792805989583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696.903564453125</x:v>
      </x:c>
      <x:c r="DS286" s="23" t="n">
        <x:v>0</x:v>
      </x:c>
      <x:c r="DT286" s="23" t="n">
        <x:v>0</x:v>
      </x:c>
      <x:c r="DU286" s="23" t="n">
        <x:v>0</x:v>
      </x:c>
      <x:c r="DV286" s="23" t="n">
        <x:v>713.8611653645833</x:v>
      </x:c>
      <x:c r="DW286" s="23" t="n">
        <x:v>726.2482096354166</x:v>
      </x:c>
      <x:c r="DX286" s="23" t="n">
        <x:v>718.8347981770833</x:v>
      </x:c>
      <x:c r="DY286" s="23" t="n">
        <x:v>708.674072265625</x:v>
      </x:c>
      <x:c r="DZ286" s="23" t="n">
        <x:v>725.9994303385416</x:v>
      </x:c>
      <x:c r="EA286" s="23" t="n">
        <x:v>721.167689140625</x:v>
      </x:c>
      <x:c r="EB286" s="23" t="n">
        <x:v>653.789567252604</x:v>
      </x:c>
      <x:c r="EC286" s="23" t="n">
        <x:v>562.3433024088541</x:v>
      </x:c>
      <x:c r="ED286" s="23" t="n">
        <x:v>830.0097988241064</x:v>
      </x:c>
      <x:c r="EE286" s="23" t="n">
        <x:v>571.3863525390625</x:v>
      </x:c>
      <x:c r="EF286" s="23" t="n">
        <x:v>563.2256673177083</x:v>
      </x:c>
      <x:c r="EG286" s="23" t="n">
        <x:v>1379.8002522786458</x:v>
      </x:c>
      <x:c r="EH286" s="23" t="n">
        <x:v>1379.4989013671875</x:v>
      </x:c>
      <x:c r="EI286" s="23" t="n">
        <x:v>550.26318359375</x:v>
      </x:c>
      <x:c r="EJ286" s="23" t="n">
        <x:v>1385.6508382161458</x:v>
      </x:c>
      <x:c r="EK286" s="23" t="n">
        <x:v>1391.6706136067708</x:v>
      </x:c>
      <x:c r="EL286" s="23" t="n">
        <x:v>1395.712646484375</x:v>
      </x:c>
      <x:c r="EM286" s="23" t="n">
        <x:v>1394.0254720052083</x:v>
      </x:c>
      <x:c r="EN286" s="23" t="n">
        <x:v>555.045654296875</x:v>
      </x:c>
      <x:c r="EO286" s="23" t="n">
        <x:v>570.6584065755208</x:v>
      </x:c>
      <x:c r="EP286" s="23" t="n">
        <x:f>SUM(B286:EO286)</x:f>
        <x:v>74756.44219329921</x:v>
      </x:c>
      <x:c r="EQ286" s="23" t="n">
        <x:f>SUMPRODUCT(B286:EO286,{0.4625,0.4329,0.4198,0.4084,0.4162,0.4354,0.4386,0.4564,0.4635,0.4023,0.3637,0.3975,0.4645,0.4897,0.465,0.4447,0.4343,0.4427,0.4764,0.4701,0.4423,0.4706,0.4679,0.4352,0.4555,0.4266,0.3965,0.5099,0.5219,0.4148,0.4234,0.4833,0.4785,0.4099,0.6147,0.9673,0.9896,0.9694,1.0291,0.9956,0.9595,0.968,0.9674,0.952,0.9006,0.8288,0.9971,1.3022,1.3537,1.3087,1.2887,1.2585,1.2584,1.2583,1.1832,1.1366,1.1333,1.0874,1.0478,1.0528,1.073,0.9959,0.9019,0.9578,0.8446,0.5781,0.5121,0.5277,0.5346,0.5655,0.5425,0.4799,0.4791,0.5059,0.5089,0.5016,0.6707,0.924,0.9583,0.9096,0.9135,0.9667,0.9696,0.9429,0.9956,1.0233,1.0331,1.1077,0.9808,0.7347,0.744,0.8117,0.8145,0.8332,0.8798,0.9368,0.9815,1.0107,1.0407,1.0887,1.1179,1.1192,1.1193,1.1263,1.1094,1.0566,1.1515,1.3156,1.2777,1.2313,1.2628,1.2597,1.2237,1.2133,1.2738,1.2983,1.2692,1.2688,1.2706,1.2722,1.3016,1.3005,1.2838,1.3009,1.1724,0.9542,0.9032,0.9132,0.9439,1.0211,0.8194,0.4517,0.3846,0.4002,0.3686,0.3834,0.3782,0.3489,0.367,0.3901,0.3883,0.3823,0.4216,0.4578})</x:f>
        <x:v>49479.71207547736</x:v>
      </x:c>
    </x:row>
    <x:row r="287" ht="14" customHeight="1">
      <x:c r="A287" s="3">
        <x:v>45974</x:v>
      </x:c>
      <x:c r="B287" s="23" t="n">
        <x:v>1400.0845540364583</x:v>
      </x:c>
      <x:c r="C287" s="23" t="n">
        <x:v>1392.0620930989583</x:v>
      </x:c>
      <x:c r="D287" s="23" t="n">
        <x:v>912.5486953173224</x:v>
      </x:c>
      <x:c r="E287" s="23" t="n">
        <x:v>578.1529947916666</x:v>
      </x:c>
      <x:c r="F287" s="23" t="n">
        <x:v>579.1081136067708</x:v>
      </x:c>
      <x:c r="G287" s="23" t="n">
        <x:v>575.2657063802083</x:v>
      </x:c>
      <x:c r="H287" s="23" t="n">
        <x:v>577.7701416015625</x:v>
      </x:c>
      <x:c r="I287" s="23" t="n">
        <x:v>586.0631103515625</x:v>
      </x:c>
      <x:c r="J287" s="23" t="n">
        <x:v>590.2152099609375</x:v>
      </x:c>
      <x:c r="K287" s="23" t="n">
        <x:v>590.2172037760416</x:v>
      </x:c>
      <x:c r="L287" s="23" t="n">
        <x:v>1421.949991861979</x:v>
      </x:c>
      <x:c r="M287" s="23" t="n">
        <x:v>585.9953206380208</x:v>
      </x:c>
      <x:c r="N287" s="23" t="n">
        <x:v>580.7646077473958</x:v>
      </x:c>
      <x:c r="O287" s="23" t="n">
        <x:v>588.0034586588541</x:v>
      </x:c>
      <x:c r="P287" s="23" t="n">
        <x:v>596.1281331380208</x:v>
      </x:c>
      <x:c r="Q287" s="23" t="n">
        <x:v>593.4149169921875</x:v>
      </x:c>
      <x:c r="R287" s="23" t="n">
        <x:v>595.2823893229166</x:v>
      </x:c>
      <x:c r="S287" s="23" t="n">
        <x:v>602.6389973958333</x:v>
      </x:c>
      <x:c r="T287" s="23" t="n">
        <x:v>601.2100423177083</x:v>
      </x:c>
      <x:c r="U287" s="23" t="n">
        <x:v>597.91943359375</x:v>
      </x:c>
      <x:c r="V287" s="23" t="n">
        <x:v>591.6846110026041</x:v>
      </x:c>
      <x:c r="W287" s="23" t="n">
        <x:v>600.5500895182291</x:v>
      </x:c>
      <x:c r="X287" s="23" t="n">
        <x:v>1436.376993815104</x:v>
      </x:c>
      <x:c r="Y287" s="23" t="n">
        <x:v>602.0136311848958</x:v>
      </x:c>
      <x:c r="Z287" s="23" t="n">
        <x:v>600.4385986328125</x:v>
      </x:c>
      <x:c r="AA287" s="23" t="n">
        <x:v>599.1072998046875</x:v>
      </x:c>
      <x:c r="AB287" s="23" t="n">
        <x:v>595.7681070963541</x:v>
      </x:c>
      <x:c r="AC287" s="23" t="n">
        <x:v>598.09228515625</x:v>
      </x:c>
      <x:c r="AD287" s="23" t="n">
        <x:v>597.9507649739583</x:v>
      </x:c>
      <x:c r="AE287" s="23" t="n">
        <x:v>599.14697265625</x:v>
      </x:c>
      <x:c r="AF287" s="23" t="n">
        <x:v>1432.7199300130208</x:v>
      </x:c>
      <x:c r="AG287" s="23" t="n">
        <x:v>603.5832926432291</x:v>
      </x:c>
      <x:c r="AH287" s="23" t="n">
        <x:v>612.0661214192708</x:v>
      </x:c>
      <x:c r="AI287" s="23" t="n">
        <x:v>1439.1463623046875</x:v>
      </x:c>
      <x:c r="AJ287" s="23" t="n">
        <x:v>640.4849446614583</x:v>
      </x:c>
      <x:c r="AK287" s="23" t="n">
        <x:v>0</x:v>
      </x:c>
      <x:c r="AL287" s="23" t="n">
        <x:v>3.4735655213999053</x:v>
      </x:c>
      <x:c r="AM287" s="23" t="n">
        <x:v>797.8429144039048</x:v>
      </x:c>
      <x:c r="AN287" s="23" t="n">
        <x:v>821.7699381510416</x:v>
      </x:c>
      <x:c r="AO287" s="23" t="n">
        <x:v>791.7755261398862</x:v>
      </x:c>
      <x:c r="AP287" s="23" t="n">
        <x:v>101.38234775529038</x:v>
      </x:c>
      <x:c r="AQ287" s="23" t="n">
        <x:v>737.1579076964272</x:v>
      </x:c>
      <x:c r="AR287" s="23" t="n">
        <x:v>681.0194552095185</x:v>
      </x:c>
      <x:c r="AS287" s="23" t="n">
        <x:v>635.8275826272585</x:v>
      </x:c>
      <x:c r="AT287" s="23" t="n">
        <x:v>583.7770760607234</x:v>
      </x:c>
      <x:c r="AU287" s="23" t="n">
        <x:v>521.6412806790012</x:v>
      </x:c>
      <x:c r="AV287" s="23" t="n">
        <x:v>0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757.0768746097552</x:v>
      </x:c>
      <x:c r="BP287" s="23" t="n">
        <x:v>727.2484049380442</x:v>
      </x:c>
      <x:c r="BQ287" s="23" t="n">
        <x:v>708.6279884987239</x:v>
      </x:c>
      <x:c r="BR287" s="23" t="n">
        <x:v>689.0763297385624</x:v>
      </x:c>
      <x:c r="BS287" s="23" t="n">
        <x:v>672.4127517110155</x:v>
      </x:c>
      <x:c r="BT287" s="23" t="n">
        <x:v>630.3232681239524</x:v>
      </x:c>
      <x:c r="BU287" s="23" t="n">
        <x:v>598.1817597221171</x:v>
      </x:c>
      <x:c r="BV287" s="23" t="n">
        <x:v>605.2364248161894</x:v>
      </x:c>
      <x:c r="BW287" s="23" t="n">
        <x:v>605.6302267862732</x:v>
      </x:c>
      <x:c r="BX287" s="23" t="n">
        <x:v>598.6660551767378</x:v>
      </x:c>
      <x:c r="BY287" s="23" t="n">
        <x:v>603.095383861606</x:v>
      </x:c>
      <x:c r="BZ287" s="23" t="n">
        <x:v>646.2491726931709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4.617075891574132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166.65911562791644</x:v>
      </x:c>
      <x:c r="CM287" s="23" t="n">
        <x:v>299.07624415442825</x:v>
      </x:c>
      <x:c r="CN287" s="23" t="n">
        <x:v>1182.4809489621744</x:v>
      </x:c>
      <x:c r="CO287" s="23" t="n">
        <x:v>398.65787933616605</x:v>
      </x:c>
      <x:c r="CP287" s="23" t="n">
        <x:v>443.77031039832747</x:v>
      </x:c>
      <x:c r="CQ287" s="23" t="n">
        <x:v>513.9802687792554</x:v>
      </x:c>
      <x:c r="CR287" s="23" t="n">
        <x:v>577.3199621980178</x:v>
      </x:c>
      <x:c r="CS287" s="23" t="n">
        <x:v>634.5964718084506</x:v>
      </x:c>
      <x:c r="CT287" s="23" t="n">
        <x:v>683.4096182020622</x:v>
      </x:c>
      <x:c r="CU287" s="23" t="n">
        <x:v>736.2985672658449</x:v>
      </x:c>
      <x:c r="CV287" s="23" t="n">
        <x:v>789.4229858289159</x:v>
      </x:c>
      <x:c r="CW287" s="23" t="n">
        <x:v>850.2769405485112</x:v>
      </x:c>
      <x:c r="CX287" s="23" t="n">
        <x:v>900.2389305094486</x:v>
      </x:c>
      <x:c r="CY287" s="23" t="n">
        <x:v>948.2680052747588</x:v>
      </x:c>
      <x:c r="CZ287" s="23" t="n">
        <x:v>992.6842260397485</x:v>
      </x:c>
      <x:c r="DA287" s="23" t="n">
        <x:v>997.7287728646527</x:v>
      </x:c>
      <x:c r="DB287" s="23" t="n">
        <x:v>1013.0199381510416</x:v>
      </x:c>
      <x:c r="DC287" s="23" t="n">
        <x:v>1038.2160597794561</x:v>
      </x:c>
      <x:c r="DD287" s="23" t="n">
        <x:v>899.3803166463136</x:v>
      </x:c>
      <x:c r="DE287" s="23" t="n">
        <x:v>0</x:v>
      </x:c>
      <x:c r="DF287" s="23" t="n">
        <x:v>0</x:v>
      </x:c>
      <x:c r="DG287" s="23" t="n">
        <x:v>709.9108072916666</x:v>
      </x:c>
      <x:c r="DH287" s="23" t="n">
        <x:v>0</x:v>
      </x:c>
      <x:c r="DI287" s="23" t="n">
        <x:v>0</x:v>
      </x:c>
      <x:c r="DJ287" s="23" t="n">
        <x:v>0</x:v>
      </x:c>
      <x:c r="DK287" s="23" t="n">
        <x:v>703.276611328125</x:v>
      </x:c>
      <x:c r="DL287" s="23" t="n">
        <x:v>692.1143391927083</x:v>
      </x:c>
      <x:c r="DM287" s="23" t="n">
        <x:v>648.4805865885403</x:v>
      </x:c>
      <x:c r="DN287" s="23" t="n">
        <x:v>0</x:v>
      </x:c>
      <x:c r="DO287" s="23" t="n">
        <x:v>708.7920735677083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716.497314453125</x:v>
      </x:c>
      <x:c r="DW287" s="23" t="n">
        <x:v>718.7803548177083</x:v>
      </x:c>
      <x:c r="DX287" s="23" t="n">
        <x:v>719.755615234375</x:v>
      </x:c>
      <x:c r="DY287" s="23" t="n">
        <x:v>718.3956705729166</x:v>
      </x:c>
      <x:c r="DZ287" s="23" t="n">
        <x:v>733.1686197916666</x:v>
      </x:c>
      <x:c r="EA287" s="23" t="n">
        <x:v>735.6853486458333</x:v>
      </x:c>
      <x:c r="EB287" s="23" t="n">
        <x:v>664.6871502604165</x:v>
      </x:c>
      <x:c r="EC287" s="23" t="n">
        <x:v>818.302686193898</x:v>
      </x:c>
      <x:c r="ED287" s="23" t="n">
        <x:v>1366.2823486328125</x:v>
      </x:c>
      <x:c r="EE287" s="23" t="n">
        <x:v>550.2559814453125</x:v>
      </x:c>
      <x:c r="EF287" s="23" t="n">
        <x:v>549.6300862630208</x:v>
      </x:c>
      <x:c r="EG287" s="23" t="n">
        <x:v>1382.5865885416665</x:v>
      </x:c>
      <x:c r="EH287" s="23" t="n">
        <x:v>549.2715657552083</x:v>
      </x:c>
      <x:c r="EI287" s="23" t="n">
        <x:v>558.5041910807291</x:v>
      </x:c>
      <x:c r="EJ287" s="23" t="n">
        <x:v>568.6957194010416</x:v>
      </x:c>
      <x:c r="EK287" s="23" t="n">
        <x:v>567.4104817708333</x:v>
      </x:c>
      <x:c r="EL287" s="23" t="n">
        <x:v>1399.8822835286458</x:v>
      </x:c>
      <x:c r="EM287" s="23" t="n">
        <x:v>1403.614054361979</x:v>
      </x:c>
      <x:c r="EN287" s="23" t="n">
        <x:v>1343.8614501953125</x:v>
      </x:c>
      <x:c r="EO287" s="23" t="n">
        <x:v>1256.0110677083333</x:v>
      </x:c>
      <x:c r="EP287" s="23" t="n">
        <x:f>SUM(B287:EO287)</x:f>
        <x:v>74465.37298928223</x:v>
      </x:c>
      <x:c r="EQ287" s="23" t="n">
        <x:f>SUMPRODUCT(B287:EO287,{0.404,0.4266,0.5086,0.465,0.426,0.4572,0.4857,0.4709,0.4392,0.4489,0.4589,0.4478,0.4397,0.4561,0.4768,0.4569,0.4134,0.3985,0.449,0.4673,0.4417,0.4484,0.4404,0.4241,0.4542,0.443,0.4136,0.4719,0.4729,0.4217,0.4652,0.469,0.3834,0.3456,0.5922,0.9554,1.0073,0.976,0.9927,0.9667,0.9736,0.9845,0.8958,0.8885,0.9174,0.7965,0.946,1.2943,1.3184,1.262,1.2704,1.2347,1.215,1.1973,1.1022,1.0595,1.0805,1.0523,1.0497,1.0626,0.9966,0.9534,0.9817,1.0001,0.8337,0.5875,0.5558,0.5853,0.5777,0.5807,0.5512,0.5135,0.5489,0.6009,0.6074,0.5807,0.699,0.9072,0.9658,0.9858,1.0065,0.9576,0.9725,1.0506,1.0495,1.0091,1.0268,1.1284,1.0351,0.8098,0.8022,0.8437,0.8461,0.8966,0.9283,0.9128,0.9082,0.9977,1.1155,1.1059,1.0663,1.075,1.1149,1.1276,1.1184,1.1483,1.2093,1.2592,1.2629,1.2766,1.3127,1.3222,1.283,1.246,1.283,1.2932,1.2645,1.2818,1.293,1.2804,1.2793,1.2592,1.2531,1.3023,1.1739,0.9332,0.8947,0.9092,0.9389,1.0516,0.8396,0.4255,0.3752,0.4324,0.4242,0.4358,0.4089,0.3757,0.4329,0.4286,0.3682,0.4077,0.4274,0.3745})</x:f>
        <x:v>50169.602820492306</x:v>
      </x:c>
    </x:row>
    <x:row r="288" ht="14" customHeight="1">
      <x:c r="A288" s="3">
        <x:v>45975</x:v>
      </x:c>
      <x:c r="B288" s="23" t="n">
        <x:v>407.09611002604163</x:v>
      </x:c>
      <x:c r="C288" s="23" t="n">
        <x:v>407.1332600911458</x:v>
      </x:c>
      <x:c r="D288" s="23" t="n">
        <x:v>1252.8924967447915</x:v>
      </x:c>
      <x:c r="E288" s="23" t="n">
        <x:v>1251.313720703125</x:v>
      </x:c>
      <x:c r="F288" s="23" t="n">
        <x:v>417.65238444010413</x:v>
      </x:c>
      <x:c r="G288" s="23" t="n">
        <x:v>411.7776692708333</x:v>
      </x:c>
      <x:c r="H288" s="23" t="n">
        <x:v>422.16630045572913</x:v>
      </x:c>
      <x:c r="I288" s="23" t="n">
        <x:v>421.9886067708333</x:v>
      </x:c>
      <x:c r="J288" s="23" t="n">
        <x:v>425.4659423828125</x:v>
      </x:c>
      <x:c r="K288" s="23" t="n">
        <x:v>425.951904296875</x:v>
      </x:c>
      <x:c r="L288" s="23" t="n">
        <x:v>427.5115559895833</x:v>
      </x:c>
      <x:c r="M288" s="23" t="n">
        <x:v>423.1781819661458</x:v>
      </x:c>
      <x:c r="N288" s="23" t="n">
        <x:v>429.5832112630208</x:v>
      </x:c>
      <x:c r="O288" s="23" t="n">
        <x:v>1263.15185546875</x:v>
      </x:c>
      <x:c r="P288" s="23" t="n">
        <x:v>432.5189208984375</x:v>
      </x:c>
      <x:c r="Q288" s="23" t="n">
        <x:v>437.1834716796875</x:v>
      </x:c>
      <x:c r="R288" s="23" t="n">
        <x:v>438.003662109375</x:v>
      </x:c>
      <x:c r="S288" s="23" t="n">
        <x:v>438.0581868489583</x:v>
      </x:c>
      <x:c r="T288" s="23" t="n">
        <x:v>438.89811197916663</x:v>
      </x:c>
      <x:c r="U288" s="23" t="n">
        <x:v>435.5047607421875</x:v>
      </x:c>
      <x:c r="V288" s="23" t="n">
        <x:v>431.9494222005208</x:v>
      </x:c>
      <x:c r="W288" s="23" t="n">
        <x:v>435.6527099609375</x:v>
      </x:c>
      <x:c r="X288" s="23" t="n">
        <x:v>444.7123616536458</x:v>
      </x:c>
      <x:c r="Y288" s="23" t="n">
        <x:v>442.67545572916663</x:v>
      </x:c>
      <x:c r="Z288" s="23" t="n">
        <x:v>0</x:v>
      </x:c>
      <x:c r="AA288" s="23" t="n">
        <x:v>433.477294921875</x:v>
      </x:c>
      <x:c r="AB288" s="23" t="n">
        <x:v>438.5862630208333</x:v>
      </x:c>
      <x:c r="AC288" s="23" t="n">
        <x:v>443.44388834635413</x:v>
      </x:c>
      <x:c r="AD288" s="23" t="n">
        <x:v>443.83182779947913</x:v>
      </x:c>
      <x:c r="AE288" s="23" t="n">
        <x:v>438.05314127604163</x:v>
      </x:c>
      <x:c r="AF288" s="23" t="n">
        <x:v>437.8031005859375</x:v>
      </x:c>
      <x:c r="AG288" s="23" t="n">
        <x:v>442.93631998697913</x:v>
      </x:c>
      <x:c r="AH288" s="23" t="n">
        <x:v>118.56410329002054</x:v>
      </x:c>
      <x:c r="AI288" s="23" t="n">
        <x:v>441.7663167317708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0</x:v>
      </x:c>
      <x:c r="CP288" s="23" t="n">
        <x:v>30.46217411678132</x:v>
      </x:c>
      <x:c r="CQ288" s="23" t="n">
        <x:v>79.07565849290614</x:v>
      </x:c>
      <x:c r="CR288" s="23" t="n">
        <x:v>124.94206949863693</x:v>
      </x:c>
      <x:c r="CS288" s="23" t="n">
        <x:v>181.90444390754624</x:v>
      </x:c>
      <x:c r="CT288" s="23" t="n">
        <x:v>225.13271390423995</x:v>
      </x:c>
      <x:c r="CU288" s="23" t="n">
        <x:v>280.3799010615188</x:v>
      </x:c>
      <x:c r="CV288" s="23" t="n">
        <x:v>346.18343853530865</x:v>
      </x:c>
      <x:c r="CW288" s="23" t="n">
        <x:v>406.79757049133724</x:v>
      </x:c>
      <x:c r="CX288" s="23" t="n">
        <x:v>404.3377098790934</x:v>
      </x:c>
      <x:c r="CY288" s="23" t="n">
        <x:v>386.46863353435543</x:v>
      </x:c>
      <x:c r="CZ288" s="23" t="n">
        <x:v>424.0978353324936</x:v>
      </x:c>
      <x:c r="DA288" s="23" t="n">
        <x:v>443.3867967159151</x:v>
      </x:c>
      <x:c r="DB288" s="23" t="n">
        <x:v>457.65238444010413</x:v>
      </x:c>
      <x:c r="DC288" s="23" t="n">
        <x:v>454.667337984565</x:v>
      </x:c>
      <x:c r="DD288" s="23" t="n">
        <x:v>26.43076996143933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452.74662272135413</x:v>
      </x:c>
      <x:c r="DX288" s="23" t="n">
        <x:v>452.74662272135413</x:v>
      </x:c>
      <x:c r="DY288" s="23" t="n">
        <x:v>455.01444498697913</x:v>
      </x:c>
      <x:c r="DZ288" s="23" t="n">
        <x:v>461.16162109375</x:v>
      </x:c>
      <x:c r="EA288" s="23" t="n">
        <x:v>446.9310112760416</x:v>
      </x:c>
      <x:c r="EB288" s="23" t="n">
        <x:v>443.8438313802083</x:v>
      </x:c>
      <x:c r="EC288" s="23" t="n">
        <x:v>1225.3277587890625</x:v>
      </x:c>
      <x:c r="ED288" s="23" t="n">
        <x:v>1226.290283203125</x:v>
      </x:c>
      <x:c r="EE288" s="23" t="n">
        <x:v>404.1397298177083</x:v>
      </x:c>
      <x:c r="EF288" s="23" t="n">
        <x:v>396.7818196614583</x:v>
      </x:c>
      <x:c r="EG288" s="23" t="n">
        <x:v>1230.2837727864583</x:v>
      </x:c>
      <x:c r="EH288" s="23" t="n">
        <x:v>680.6111578735855</x:v>
      </x:c>
      <x:c r="EI288" s="23" t="n">
        <x:v>403.5523274739583</x:v>
      </x:c>
      <x:c r="EJ288" s="23" t="n">
        <x:v>401.6042073567708</x:v>
      </x:c>
      <x:c r="EK288" s="23" t="n">
        <x:v>1236.886962890625</x:v>
      </x:c>
      <x:c r="EL288" s="23" t="n">
        <x:v>1237.563761393229</x:v>
      </x:c>
      <x:c r="EM288" s="23" t="n">
        <x:v>1236.102335611979</x:v>
      </x:c>
      <x:c r="EN288" s="23" t="n">
        <x:v>405.9913330078125</x:v>
      </x:c>
      <x:c r="EO288" s="23" t="n">
        <x:v>408.0978597005208</x:v>
      </x:c>
      <x:c r="EP288" s="23" t="n">
        <x:f>SUM(B288:EO288)</x:f>
        <x:v>33878.07942123339</x:v>
      </x:c>
      <x:c r="EQ288" s="23" t="n">
        <x:f>SUMPRODUCT(B288:EO288,{0.3255,0.3188,0.3395,0.341,0.3219,0.3124,0.3437,0.3705,0.352,0.2996,0.3308,0.3973,0.3421,0.3338,0.387,0.3477,0.3277,0.3555,0.3393,0.3144,0.3188,0.3486,0.3572,0.3427,0.346,0.3584,0.3662,0.3679,0.3738,0.3767,0.3611,0.3615,0.3651,0.3521,0.5019,0.7465,0.8127,0.7941,0.7934,0.8108,0.7847,0.7411,0.7647,0.7705,0.7206,0.6865,0.8008,0.9671,0.951,0.9325,0.9621,0.9161,0.908,0.9333,0.8695,0.8349,0.8531,0.8255,0.7923,0.767,0.7168,0.6744,0.6892,0.7493,0.6161,0.372,0.3445,0.3391,0.2892,0.3301,0.3637,0.3513,0.3531,0.3454,0.321,0.3286,0.4758,0.6726,0.6982,0.6529,0.6443,0.6927,0.7717,0.8055,0.7391,0.7425,0.8365,0.8581,0.7381,0.5823,0.5707,0.5911,0.5789,0.5865,0.6416,0.6905,0.6596,0.6834,0.7671,0.7777,0.7554,0.7475,0.7543,0.7401,0.6919,0.6651,0.8515,1.1314,1.1633,1.0946,1.0769,1.1197,1.1519,1.1329,1.0881,1.1029,1.1537,1.1351,1.1052,1.1046,1.1115,1.0964,1.1098,1.1899,1.0248,0.7443,0.805,0.866,0.8081,0.8173,0.6133,0.2825,0.2419,0.2909,0.2878,0.2944,0.3101,0.332,0.3564,0.3189,0.2692,0.3222,0.3456,0.3044})</x:f>
        <x:v>13962.810745135177</x:v>
      </x:c>
    </x:row>
    <x:row r="289" ht="14" customHeight="1">
      <x:c r="A289" s="3">
        <x:v>45976</x:v>
      </x:c>
      <x:c r="B289" s="23" t="n">
        <x:v>414.061279296875</x:v>
      </x:c>
      <x:c r="C289" s="23" t="n">
        <x:v>413.40738932291663</x:v>
      </x:c>
      <x:c r="D289" s="23" t="n">
        <x:v>894.1833890211398</x:v>
      </x:c>
      <x:c r="E289" s="23" t="n">
        <x:v>417.73291015625</x:v>
      </x:c>
      <x:c r="F289" s="23" t="n">
        <x:v>412.3719075520833</x:v>
      </x:c>
      <x:c r="G289" s="23" t="n">
        <x:v>413.9451904296875</x:v>
      </x:c>
      <x:c r="H289" s="23" t="n">
        <x:v>422.3511962890625</x:v>
      </x:c>
      <x:c r="I289" s="23" t="n">
        <x:v>426.09757486979163</x:v>
      </x:c>
      <x:c r="J289" s="23" t="n">
        <x:v>430.3662109375</x:v>
      </x:c>
      <x:c r="K289" s="23" t="n">
        <x:v>425.20914713541663</x:v>
      </x:c>
      <x:c r="L289" s="23" t="n">
        <x:v>426.5082600911458</x:v>
      </x:c>
      <x:c r="M289" s="23" t="n">
        <x:v>431.7733154296875</x:v>
      </x:c>
      <x:c r="N289" s="23" t="n">
        <x:v>436.3069661458333</x:v>
      </x:c>
      <x:c r="O289" s="23" t="n">
        <x:v>434.6663818359375</x:v>
      </x:c>
      <x:c r="P289" s="23" t="n">
        <x:v>436.0314534505208</x:v>
      </x:c>
      <x:c r="Q289" s="23" t="n">
        <x:v>435.6900634765625</x:v>
      </x:c>
      <x:c r="R289" s="23" t="n">
        <x:v>438.8603515625</x:v>
      </x:c>
      <x:c r="S289" s="23" t="n">
        <x:v>441.853515625</x:v>
      </x:c>
      <x:c r="T289" s="23" t="n">
        <x:v>440.83646647135413</x:v>
      </x:c>
      <x:c r="U289" s="23" t="n">
        <x:v>435.71256510416663</x:v>
      </x:c>
      <x:c r="V289" s="23" t="n">
        <x:v>429.8588460286458</x:v>
      </x:c>
      <x:c r="W289" s="23" t="n">
        <x:v>434.3065999348958</x:v>
      </x:c>
      <x:c r="X289" s="23" t="n">
        <x:v>436.5980224609375</x:v>
      </x:c>
      <x:c r="Y289" s="23" t="n">
        <x:v>443.269775390625</x:v>
      </x:c>
      <x:c r="Z289" s="23" t="n">
        <x:v>434.96537272135413</x:v>
      </x:c>
      <x:c r="AA289" s="23" t="n">
        <x:v>433.2184651692708</x:v>
      </x:c>
      <x:c r="AB289" s="23" t="n">
        <x:v>445.0782470703125</x:v>
      </x:c>
      <x:c r="AC289" s="23" t="n">
        <x:v>1277.8488362630208</x:v>
      </x:c>
      <x:c r="AD289" s="23" t="n">
        <x:v>440.4196370442708</x:v>
      </x:c>
      <x:c r="AE289" s="23" t="n">
        <x:v>443.78617350260413</x:v>
      </x:c>
      <x:c r="AF289" s="23" t="n">
        <x:v>447.4335530598958</x:v>
      </x:c>
      <x:c r="AG289" s="23" t="n">
        <x:v>449.66532389322913</x:v>
      </x:c>
      <x:c r="AH289" s="23" t="n">
        <x:v>447.1859944661458</x:v>
      </x:c>
      <x:c r="AI289" s="23" t="n">
        <x:v>433.9372151692708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0</x:v>
      </x:c>
      <x:c r="CP289" s="23" t="n">
        <x:v>36.52041171609956</x:v>
      </x:c>
      <x:c r="CQ289" s="23" t="n">
        <x:v>76.45948295046719</x:v>
      </x:c>
      <x:c r="CR289" s="23" t="n">
        <x:v>134.43372529240656</x:v>
      </x:c>
      <x:c r="CS289" s="23" t="n">
        <x:v>181.44906925586793</x:v>
      </x:c>
      <x:c r="CT289" s="23" t="n">
        <x:v>243.80685680356032</x:v>
      </x:c>
      <x:c r="CU289" s="23" t="n">
        <x:v>313.64277927897746</x:v>
      </x:c>
      <x:c r="CV289" s="23" t="n">
        <x:v>366.88985412320204</x:v>
      </x:c>
      <x:c r="CW289" s="23" t="n">
        <x:v>406.4655280703915</x:v>
      </x:c>
      <x:c r="CX289" s="23" t="n">
        <x:v>419.40024567345654</x:v>
      </x:c>
      <x:c r="CY289" s="23" t="n">
        <x:v>392.53244516527576</x:v>
      </x:c>
      <x:c r="CZ289" s="23" t="n">
        <x:v>421.3429387188429</x:v>
      </x:c>
      <x:c r="DA289" s="23" t="n">
        <x:v>439.77464710530467</x:v>
      </x:c>
      <x:c r="DB289" s="23" t="n">
        <x:v>451.08451334635413</x:v>
      </x:c>
      <x:c r="DC289" s="23" t="n">
        <x:v>443.7139107748415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449.612548828125</x:v>
      </x:c>
      <x:c r="DX289" s="23" t="n">
        <x:v>452.961181640625</x:v>
      </x:c>
      <x:c r="DY289" s="23" t="n">
        <x:v>455.049072265625</x:v>
      </x:c>
      <x:c r="DZ289" s="23" t="n">
        <x:v>459.1214599609375</x:v>
      </x:c>
      <x:c r="EA289" s="23" t="n">
        <x:v>438.9788028681126</x:v>
      </x:c>
      <x:c r="EB289" s="23" t="n">
        <x:v>450.64599609375</x:v>
      </x:c>
      <x:c r="EC289" s="23" t="n">
        <x:v>1232.2398274739583</x:v>
      </x:c>
      <x:c r="ED289" s="23" t="n">
        <x:v>1226.42822265625</x:v>
      </x:c>
      <x:c r="EE289" s="23" t="n">
        <x:v>402.1849365234375</x:v>
      </x:c>
      <x:c r="EF289" s="23" t="n">
        <x:v>1230.170939127604</x:v>
      </x:c>
      <x:c r="EG289" s="23" t="n">
        <x:v>1229.8844401041665</x:v>
      </x:c>
      <x:c r="EH289" s="23" t="n">
        <x:v>1228.188761393229</x:v>
      </x:c>
      <x:c r="EI289" s="23" t="n">
        <x:v>400.01542154947913</x:v>
      </x:c>
      <x:c r="EJ289" s="23" t="n">
        <x:v>505.15270745322124</x:v>
      </x:c>
      <x:c r="EK289" s="23" t="n">
        <x:v>1237.0811360677083</x:v>
      </x:c>
      <x:c r="EL289" s="23" t="n">
        <x:v>414.24674479166663</x:v>
      </x:c>
      <x:c r="EM289" s="23" t="n">
        <x:v>1233.9253743489583</x:v>
      </x:c>
      <x:c r="EN289" s="23" t="n">
        <x:v>433.1035970052083</x:v>
      </x:c>
      <x:c r="EO289" s="23" t="n">
        <x:v>0</x:v>
      </x:c>
      <x:c r="EP289" s="23" t="n">
        <x:f>SUM(B289:EO289)</x:f>
        <x:v>33832.045174805025</x:v>
      </x:c>
      <x:c r="EQ289" s="23" t="n">
        <x:f>SUMPRODUCT(B289:EO289,{0.2995,0.3322,0.3541,0.3268,0.3386,0.3847,0.374,0.3666,0.3681,0.3235,0.307,0.3244,0.3082,0.3037,0.3344,0.3701,0.3743,0.3608,0.3762,0.3913,0.394,0.397,0.3683,0.3427,0.3888,0.4036,0.3555,0.3214,0.3436,0.388,0.3832,0.3734,0.3656,0.3517,0.5139,0.7572,0.7781,0.7332,0.7392,0.7609,0.7893,0.7994,0.7677,0.7653,0.7507,0.6432,0.7331,0.968,0.9873,0.936,0.9075,0.8495,0.8507,0.907,0.912,0.8726,0.8212,0.7895,0.8179,0.857,0.8108,0.7605,0.7504,0.7188,0.5258,0.2797,0.2532,0.314,0.3301,0.2962,0.292,0.323,0.3197,0.2926,0.2769,0.3206,0.4966,0.6842,0.6692,0.6523,0.7143,0.7392,0.7266,0.7229,0.7605,0.7643,0.7723,0.8636,0.742,0.5105,0.5805,0.6352,0.5631,0.5846,0.6728,0.7231,0.6695,0.6411,0.6941,0.7593,0.7584,0.71,0.7104,0.7705,0.8024,0.7359,0.8598,1.108,1.1152,1.0908,1.1247,1.0935,1.0827,1.1031,1.0724,1.0526,1.0758,1.1098,1.1354,1.1473,1.1471,1.1261,1.1339,1.1995,1.0456,0.7681,0.754,0.7686,0.7402,0.8018,0.6366,0.3154,0.263,0.3117,0.3103,0.289,0.3184,0.3776,0.3791,0.3677,0.3711,0.3723,0.3779,0.4001})</x:f>
        <x:v>14366.672781299485</x:v>
      </x:c>
    </x:row>
    <x:row r="290" ht="14" customHeight="1">
      <x:c r="A290" s="3">
        <x:v>45977</x:v>
      </x:c>
      <x:c r="B290" s="23" t="n">
        <x:v>1396.219034830729</x:v>
      </x:c>
      <x:c r="C290" s="23" t="n">
        <x:v>1382.7493489583333</x:v>
      </x:c>
      <x:c r="D290" s="23" t="n">
        <x:v>579.2562255859375</x:v>
      </x:c>
      <x:c r="E290" s="23" t="n">
        <x:v>575.6427815755208</x:v>
      </x:c>
      <x:c r="F290" s="23" t="n">
        <x:v>1403.314493815104</x:v>
      </x:c>
      <x:c r="G290" s="23" t="n">
        <x:v>581.2921956380208</x:v>
      </x:c>
      <x:c r="H290" s="23" t="n">
        <x:v>582.6510823567708</x:v>
      </x:c>
      <x:c r="I290" s="23" t="n">
        <x:v>588.7449951171875</x:v>
      </x:c>
      <x:c r="J290" s="23" t="n">
        <x:v>587.3393961588541</x:v>
      </x:c>
      <x:c r="K290" s="23" t="n">
        <x:v>1003.4275644547326</x:v>
      </x:c>
      <x:c r="L290" s="23" t="n">
        <x:v>1414.3880615234375</x:v>
      </x:c>
      <x:c r="M290" s="23" t="n">
        <x:v>581.3466796875</x:v>
      </x:c>
      <x:c r="N290" s="23" t="n">
        <x:v>591.86962890625</x:v>
      </x:c>
      <x:c r="O290" s="23" t="n">
        <x:v>591.7589925130208</x:v>
      </x:c>
      <x:c r="P290" s="23" t="n">
        <x:v>590.9263509114583</x:v>
      </x:c>
      <x:c r="Q290" s="23" t="n">
        <x:v>595.6835123697916</x:v>
      </x:c>
      <x:c r="R290" s="23" t="n">
        <x:v>599.7593994140625</x:v>
      </x:c>
      <x:c r="S290" s="23" t="n">
        <x:v>1433.9447021484375</x:v>
      </x:c>
      <x:c r="T290" s="23" t="n">
        <x:v>601.2793375651041</x:v>
      </x:c>
      <x:c r="U290" s="23" t="n">
        <x:v>598.3821614583333</x:v>
      </x:c>
      <x:c r="V290" s="23" t="n">
        <x:v>598.949951171875</x:v>
      </x:c>
      <x:c r="W290" s="23" t="n">
        <x:v>596.8026936848958</x:v>
      </x:c>
      <x:c r="X290" s="23" t="n">
        <x:v>598.9327392578125</x:v>
      </x:c>
      <x:c r="Y290" s="23" t="n">
        <x:v>601.6507568359375</x:v>
      </x:c>
      <x:c r="Z290" s="23" t="n">
        <x:v>602.2239990234375</x:v>
      </x:c>
      <x:c r="AA290" s="23" t="n">
        <x:v>599.2168782552083</x:v>
      </x:c>
      <x:c r="AB290" s="23" t="n">
        <x:v>601.4645182291666</x:v>
      </x:c>
      <x:c r="AC290" s="23" t="n">
        <x:v>600.9939778645833</x:v>
      </x:c>
      <x:c r="AD290" s="23" t="n">
        <x:v>597.8450520833333</x:v>
      </x:c>
      <x:c r="AE290" s="23" t="n">
        <x:v>603.1046549479166</x:v>
      </x:c>
      <x:c r="AF290" s="23" t="n">
        <x:v>613.179443359375</x:v>
      </x:c>
      <x:c r="AG290" s="23" t="n">
        <x:v>607.8294270833333</x:v>
      </x:c>
      <x:c r="AH290" s="23" t="n">
        <x:v>596.0724690755208</x:v>
      </x:c>
      <x:c r="AI290" s="23" t="n">
        <x:v>1416.643107096354</x:v>
      </x:c>
      <x:c r="AJ290" s="23" t="n">
        <x:v>628.1286214192708</x:v>
      </x:c>
      <x:c r="AK290" s="23" t="n">
        <x:v>802.8401692708333</x:v>
      </x:c>
      <x:c r="AL290" s="23" t="n">
        <x:v>9.468415605113629</x:v>
      </x:c>
      <x:c r="AM290" s="23" t="n">
        <x:v>318.22352671244727</x:v>
      </x:c>
      <x:c r="AN290" s="23" t="n">
        <x:v>6.511596067171164</x:v>
      </x:c>
      <x:c r="AO290" s="23" t="n">
        <x:v>786.672467342262</x:v>
      </x:c>
      <x:c r="AP290" s="23" t="n">
        <x:v>767.4663141639018</x:v>
      </x:c>
      <x:c r="AQ290" s="23" t="n">
        <x:v>744.8848933391338</x:v>
      </x:c>
      <x:c r="AR290" s="23" t="n">
        <x:v>697.211623532453</x:v>
      </x:c>
      <x:c r="AS290" s="23" t="n">
        <x:v>646.9816309686724</x:v>
      </x:c>
      <x:c r="AT290" s="23" t="n">
        <x:v>594.064838557098</x:v>
      </x:c>
      <x:c r="AU290" s="23" t="n">
        <x:v>519.419767489303</x:v>
      </x:c>
      <x:c r="AV290" s="23" t="n">
        <x:v>0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0</x:v>
      </x:c>
      <x:c r="BO290" s="23" t="n">
        <x:v>782.3273990503894</x:v>
      </x:c>
      <x:c r="BP290" s="23" t="n">
        <x:v>746.872619716718</x:v>
      </x:c>
      <x:c r="BQ290" s="23" t="n">
        <x:v>728.5199343835975</x:v>
      </x:c>
      <x:c r="BR290" s="23" t="n">
        <x:v>727.1228242469624</x:v>
      </x:c>
      <x:c r="BS290" s="23" t="n">
        <x:v>720.6890299317938</x:v>
      </x:c>
      <x:c r="BT290" s="23" t="n">
        <x:v>682.2592125498197</x:v>
      </x:c>
      <x:c r="BU290" s="23" t="n">
        <x:v>650.2116328866093</x:v>
      </x:c>
      <x:c r="BV290" s="23" t="n">
        <x:v>636.2733577496119</x:v>
      </x:c>
      <x:c r="BW290" s="23" t="n">
        <x:v>668.1428197608179</x:v>
      </x:c>
      <x:c r="BX290" s="23" t="n">
        <x:v>697.6314432583237</x:v>
      </x:c>
      <x:c r="BY290" s="23" t="n">
        <x:v>704.9715254873037</x:v>
      </x:c>
      <x:c r="BZ290" s="23" t="n">
        <x:v>722.0388710814474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2.489434578539355</x:v>
      </x:c>
      <x:c r="CF290" s="23" t="n">
        <x:v>29.966202779092477</x:v>
      </x:c>
      <x:c r="CG290" s="23" t="n">
        <x:v>75.24470664150277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734.329548915846</x:v>
      </x:c>
      <x:c r="CN290" s="23" t="n">
        <x:v>1224.6215132248185</x:v>
      </x:c>
      <x:c r="CO290" s="23" t="n">
        <x:v>442.04869105195894</x:v>
      </x:c>
      <x:c r="CP290" s="23" t="n">
        <x:v>494.6679718336069</x:v>
      </x:c>
      <x:c r="CQ290" s="23" t="n">
        <x:v>550.3413814739866</x:v>
      </x:c>
      <x:c r="CR290" s="23" t="n">
        <x:v>598.7051817090621</x:v>
      </x:c>
      <x:c r="CS290" s="23" t="n">
        <x:v>645.46266244801</x:v>
      </x:c>
      <x:c r="CT290" s="23" t="n">
        <x:v>701.7252222329394</x:v>
      </x:c>
      <x:c r="CU290" s="23" t="n">
        <x:v>761.9663483498922</x:v>
      </x:c>
      <x:c r="CV290" s="23" t="n">
        <x:v>812.2298470084907</x:v>
      </x:c>
      <x:c r="CW290" s="23" t="n">
        <x:v>864.5134941875765</x:v>
      </x:c>
      <x:c r="CX290" s="23" t="n">
        <x:v>919.3581230567767</x:v>
      </x:c>
      <x:c r="CY290" s="23" t="n">
        <x:v>971.4072766296213</x:v>
      </x:c>
      <x:c r="CZ290" s="23" t="n">
        <x:v>1001.7418406110828</x:v>
      </x:c>
      <x:c r="DA290" s="23" t="n">
        <x:v>1017.6100327318633</x:v>
      </x:c>
      <x:c r="DB290" s="23" t="n">
        <x:v>1032.466064453125</x:v>
      </x:c>
      <x:c r="DC290" s="23" t="n">
        <x:v>1045.202575607293</x:v>
      </x:c>
      <x:c r="DD290" s="23" t="n">
        <x:v>912.2230631510416</x:v>
      </x:c>
      <x:c r="DE290" s="23" t="n">
        <x:v>0</x:v>
      </x:c>
      <x:c r="DF290" s="23" t="n">
        <x:v>0</x:v>
      </x:c>
      <x:c r="DG290" s="23" t="n">
        <x:v>702.8397623697916</x:v>
      </x:c>
      <x:c r="DH290" s="23" t="n">
        <x:v>676.2930501302083</x:v>
      </x:c>
      <x:c r="DI290" s="23" t="n">
        <x:v>707.462890625</x:v>
      </x:c>
      <x:c r="DJ290" s="23" t="n">
        <x:v>462.9450910026019</x:v>
      </x:c>
      <x:c r="DK290" s="23" t="n">
        <x:v>671.7068277994791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700.2709147135416</x:v>
      </x:c>
      <x:c r="DW290" s="23" t="n">
        <x:v>733.4474850340794</x:v>
      </x:c>
      <x:c r="DX290" s="23" t="n">
        <x:v>730.0762245691869</x:v>
      </x:c>
      <x:c r="DY290" s="23" t="n">
        <x:v>703.7549379099153</x:v>
      </x:c>
      <x:c r="DZ290" s="23" t="n">
        <x:v>676.6962890625</x:v>
      </x:c>
      <x:c r="EA290" s="23" t="n">
        <x:v>719.81689453125</x:v>
      </x:c>
      <x:c r="EB290" s="23" t="n">
        <x:v>641.7757161458333</x:v>
      </x:c>
      <x:c r="EC290" s="23" t="n">
        <x:v>547.5294189453125</x:v>
      </x:c>
      <x:c r="ED290" s="23" t="n">
        <x:v>790.8886683625899</x:v>
      </x:c>
      <x:c r="EE290" s="23" t="n">
        <x:v>549.0609944661458</x:v>
      </x:c>
      <x:c r="EF290" s="23" t="n">
        <x:v>1374.080118815104</x:v>
      </x:c>
      <x:c r="EG290" s="23" t="n">
        <x:v>1377.650634765625</x:v>
      </x:c>
      <x:c r="EH290" s="23" t="n">
        <x:v>552.3597005208333</x:v>
      </x:c>
      <x:c r="EI290" s="23" t="n">
        <x:v>552.69921875</x:v>
      </x:c>
      <x:c r="EJ290" s="23" t="n">
        <x:v>1372.3392333984375</x:v>
      </x:c>
      <x:c r="EK290" s="23" t="n">
        <x:v>1358.4752197265625</x:v>
      </x:c>
      <x:c r="EL290" s="23" t="n">
        <x:v>1375.4872639973958</x:v>
      </x:c>
      <x:c r="EM290" s="23" t="n">
        <x:v>1389.056681315104</x:v>
      </x:c>
      <x:c r="EN290" s="23" t="n">
        <x:v>563.0182698567708</x:v>
      </x:c>
      <x:c r="EO290" s="23" t="n">
        <x:v>572.2146402994791</x:v>
      </x:c>
      <x:c r="EP290" s="23" t="n">
        <x:f>SUM(B290:EO290)</x:f>
        <x:v>75844.08747731727</x:v>
      </x:c>
      <x:c r="EQ290" s="23" t="n">
        <x:f>SUMPRODUCT(B290:EO290,{0.4352,0.4243,0.3913,0.4205,0.4548,0.4627,0.4611,0.4133,0.3707,0.4305,0.4733,0.4469,0.4138,0.4078,0.4368,0.479,0.467,0.4303,0.461,0.4761,0.4412,0.4084,0.3975,0.4077,0.426,0.4378,0.4272,0.3965,0.4171,0.4672,0.4604,0.4888,0.498,0.3851,0.5908,0.9986,1.0208,0.9501,0.9844,1.0141,0.9922,0.9516,0.9585,0.9706,0.919,0.8173,0.9837,1.3027,1.3256,1.2962,1.3191,1.251,1.2202,1.2362,1.1726,1.116,1.1033,1.0802,1.0505,1.0375,1.0493,1.0225,1.0052,1.0787,0.9575,0.6887,0.6198,0.6075,0.577,0.6019,0.5736,0.4938,0.4887,0.5458,0.5709,0.506,0.6037,0.8477,0.9536,0.9542,0.9355,0.9429,0.9775,1.0214,1.0487,1.0379,1.0564,1.163,1.0516,0.7815,0.7448,0.8387,0.8974,0.8676,0.875,0.9366,0.9528,0.9685,1.0048,1.0382,1.1045,1.1649,1.1376,1.1226,1.1368,1.1177,1.1918,1.3141,1.3011,1.2881,1.3175,1.2923,1.2557,1.2555,1.2859,1.2625,1.2309,1.3119,1.3416,1.2749,1.2355,1.2512,1.3033,1.3282,1.1761,0.9563,0.9448,0.9733,0.9652,0.9687,0.7258,0.3752,0.3594,0.4442,0.4416,0.3952,0.386,0.405,0.3813,0.383,0.4195,0.4273,0.4287,0.4158})</x:f>
        <x:v>50870.861848125394</x:v>
      </x:c>
    </x:row>
    <x:row r="291" ht="14" customHeight="1">
      <x:c r="A291" s="3">
        <x:v>45978</x:v>
      </x:c>
      <x:c r="B291" s="23" t="n">
        <x:v>1151.2625220679006</x:v>
      </x:c>
      <x:c r="C291" s="23" t="n">
        <x:v>573.0211181640625</x:v>
      </x:c>
      <x:c r="D291" s="23" t="n">
        <x:v>583.605224609375</x:v>
      </x:c>
      <x:c r="E291" s="23" t="n">
        <x:v>578.0397542317708</x:v>
      </x:c>
      <x:c r="F291" s="23" t="n">
        <x:v>1406.8305257161458</x:v>
      </x:c>
      <x:c r="G291" s="23" t="n">
        <x:v>1411.2215169270833</x:v>
      </x:c>
      <x:c r="H291" s="23" t="n">
        <x:v>575.713623046875</x:v>
      </x:c>
      <x:c r="I291" s="23" t="n">
        <x:v>578.8236897786458</x:v>
      </x:c>
      <x:c r="J291" s="23" t="n">
        <x:v>585.7138264973958</x:v>
      </x:c>
      <x:c r="K291" s="23" t="n">
        <x:v>580.7620849609375</x:v>
      </x:c>
      <x:c r="L291" s="23" t="n">
        <x:v>586.5218098958333</x:v>
      </x:c>
      <x:c r="M291" s="23" t="n">
        <x:v>594.1310628255208</x:v>
      </x:c>
      <x:c r="N291" s="23" t="n">
        <x:v>1425.782023111979</x:v>
      </x:c>
      <x:c r="O291" s="23" t="n">
        <x:v>585.0338541666666</x:v>
      </x:c>
      <x:c r="P291" s="23" t="n">
        <x:v>591.7152913411458</x:v>
      </x:c>
      <x:c r="Q291" s="23" t="n">
        <x:v>595.189697265625</x:v>
      </x:c>
      <x:c r="R291" s="23" t="n">
        <x:v>1433.7395833333333</x:v>
      </x:c>
      <x:c r="S291" s="23" t="n">
        <x:v>1429.239542643229</x:v>
      </x:c>
      <x:c r="T291" s="23" t="n">
        <x:v>594.7204182942708</x:v>
      </x:c>
      <x:c r="U291" s="23" t="n">
        <x:v>595.4908854166666</x:v>
      </x:c>
      <x:c r="V291" s="23" t="n">
        <x:v>600.3592936197916</x:v>
      </x:c>
      <x:c r="W291" s="23" t="n">
        <x:v>590.5995279947916</x:v>
      </x:c>
      <x:c r="X291" s="23" t="n">
        <x:v>598.5550944010416</x:v>
      </x:c>
      <x:c r="Y291" s="23" t="n">
        <x:v>604.8522135416666</x:v>
      </x:c>
      <x:c r="Z291" s="23" t="n">
        <x:v>602.9977213541666</x:v>
      </x:c>
      <x:c r="AA291" s="23" t="n">
        <x:v>601.158203125</x:v>
      </x:c>
      <x:c r="AB291" s="23" t="n">
        <x:v>600.9457600911458</x:v>
      </x:c>
      <x:c r="AC291" s="23" t="n">
        <x:v>603.99951171875</x:v>
      </x:c>
      <x:c r="AD291" s="23" t="n">
        <x:v>601.5813802083333</x:v>
      </x:c>
      <x:c r="AE291" s="23" t="n">
        <x:v>600.3561604817708</x:v>
      </x:c>
      <x:c r="AF291" s="23" t="n">
        <x:v>598.8441975911458</x:v>
      </x:c>
      <x:c r="AG291" s="23" t="n">
        <x:v>599.7538655598958</x:v>
      </x:c>
      <x:c r="AH291" s="23" t="n">
        <x:v>604.4524739583333</x:v>
      </x:c>
      <x:c r="AI291" s="23" t="n">
        <x:v>1426.249796549479</x:v>
      </x:c>
      <x:c r="AJ291" s="23" t="n">
        <x:v>656.9807942708333</x:v>
      </x:c>
      <x:c r="AK291" s="23" t="n">
        <x:v>0</x:v>
      </x:c>
      <x:c r="AL291" s="23" t="n">
        <x:v>5.898763480189548</x:v>
      </x:c>
      <x:c r="AM291" s="23" t="n">
        <x:v>785.5464169082485</x:v>
      </x:c>
      <x:c r="AN291" s="23" t="n">
        <x:v>0</x:v>
      </x:c>
      <x:c r="AO291" s="23" t="n">
        <x:v>796.2744797474359</x:v>
      </x:c>
      <x:c r="AP291" s="23" t="n">
        <x:v>778.7008754144965</x:v>
      </x:c>
      <x:c r="AQ291" s="23" t="n">
        <x:v>739.2217523938358</x:v>
      </x:c>
      <x:c r="AR291" s="23" t="n">
        <x:v>695.3247476708425</x:v>
      </x:c>
      <x:c r="AS291" s="23" t="n">
        <x:v>647.3661669020419</x:v>
      </x:c>
      <x:c r="AT291" s="23" t="n">
        <x:v>596.2424114501308</x:v>
      </x:c>
      <x:c r="AU291" s="23" t="n">
        <x:v>565.2228277715312</x:v>
      </x:c>
      <x:c r="AV291" s="23" t="n">
        <x:v>571.4886704751751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9.388962271289984</x:v>
      </x:c>
      <x:c r="BO291" s="23" t="n">
        <x:v>810.0087948336707</x:v>
      </x:c>
      <x:c r="BP291" s="23" t="n">
        <x:v>791.9969042557069</x:v>
      </x:c>
      <x:c r="BQ291" s="23" t="n">
        <x:v>760.7699164734679</x:v>
      </x:c>
      <x:c r="BR291" s="23" t="n">
        <x:v>746.734634243796</x:v>
      </x:c>
      <x:c r="BS291" s="23" t="n">
        <x:v>715.631286598069</x:v>
      </x:c>
      <x:c r="BT291" s="23" t="n">
        <x:v>683.4227959921178</x:v>
      </x:c>
      <x:c r="BU291" s="23" t="n">
        <x:v>643.9445665125804</x:v>
      </x:c>
      <x:c r="BV291" s="23" t="n">
        <x:v>633.81046273363</x:v>
      </x:c>
      <x:c r="BW291" s="23" t="n">
        <x:v>642.3045743461053</x:v>
      </x:c>
      <x:c r="BX291" s="23" t="n">
        <x:v>649.0005723028837</x:v>
      </x:c>
      <x:c r="BY291" s="23" t="n">
        <x:v>644.5350222505947</x:v>
      </x:c>
      <x:c r="BZ291" s="23" t="n">
        <x:v>688.5906230893779</x:v>
      </x:c>
      <x:c r="CA291" s="23" t="n">
        <x:v>0</x:v>
      </x:c>
      <x:c r="CB291" s="23" t="n">
        <x:v>0</x:v>
      </x:c>
      <x:c r="CC291" s="23" t="n">
        <x:v>0</x:v>
      </x:c>
      <x:c r="CD291" s="23" t="n">
        <x:v>0</x:v>
      </x:c>
      <x:c r="CE291" s="23" t="n">
        <x:v>26.66072935404054</x:v>
      </x:c>
      <x:c r="CF291" s="23" t="n">
        <x:v>48.908382878701254</x:v>
      </x:c>
      <x:c r="CG291" s="23" t="n">
        <x:v>85.73684343569266</x:v>
      </x:c>
      <x:c r="CH291" s="23" t="n">
        <x:v>105.5378612102789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1171.0971723776988</x:v>
      </x:c>
      <x:c r="CN291" s="23" t="n">
        <x:v>662.9024268635089</x:v>
      </x:c>
      <x:c r="CO291" s="23" t="n">
        <x:v>443.5076737393839</x:v>
      </x:c>
      <x:c r="CP291" s="23" t="n">
        <x:v>495.42493143685635</x:v>
      </x:c>
      <x:c r="CQ291" s="23" t="n">
        <x:v>546.9059224926262</x:v>
      </x:c>
      <x:c r="CR291" s="23" t="n">
        <x:v>602.835721014822</x:v>
      </x:c>
      <x:c r="CS291" s="23" t="n">
        <x:v>663.4118581909921</x:v>
      </x:c>
      <x:c r="CT291" s="23" t="n">
        <x:v>718.5628454953714</x:v>
      </x:c>
      <x:c r="CU291" s="23" t="n">
        <x:v>769.2595462092534</x:v>
      </x:c>
      <x:c r="CV291" s="23" t="n">
        <x:v>822.2659534180503</x:v>
      </x:c>
      <x:c r="CW291" s="23" t="n">
        <x:v>879.1827202844029</x:v>
      </x:c>
      <x:c r="CX291" s="23" t="n">
        <x:v>935.8588047206673</x:v>
      </x:c>
      <x:c r="CY291" s="23" t="n">
        <x:v>977.1516415640672</x:v>
      </x:c>
      <x:c r="CZ291" s="23" t="n">
        <x:v>1003.0712961941813</x:v>
      </x:c>
      <x:c r="DA291" s="23" t="n">
        <x:v>1009.0769986424827</x:v>
      </x:c>
      <x:c r="DB291" s="23" t="n">
        <x:v>1014.260009765625</x:v>
      </x:c>
      <x:c r="DC291" s="23" t="n">
        <x:v>1038.9646581357088</x:v>
      </x:c>
      <x:c r="DD291" s="23" t="n">
        <x:v>910.1844889322916</x:v>
      </x:c>
      <x:c r="DE291" s="23" t="n">
        <x:v>0</x:v>
      </x:c>
      <x:c r="DF291" s="23" t="n">
        <x:v>0</x:v>
      </x:c>
      <x:c r="DG291" s="23" t="n">
        <x:v>716.8408203125</x:v>
      </x:c>
      <x:c r="DH291" s="23" t="n">
        <x:v>0</x:v>
      </x:c>
      <x:c r="DI291" s="23" t="n">
        <x:v>0</x:v>
      </x:c>
      <x:c r="DJ291" s="23" t="n">
        <x:v>0</x:v>
      </x:c>
      <x:c r="DK291" s="23" t="n">
        <x:v>706.9755045572916</x:v>
      </x:c>
      <x:c r="DL291" s="23" t="n">
        <x:v>0</x:v>
      </x:c>
      <x:c r="DM291" s="23" t="n">
        <x:v>0</x:v>
      </x:c>
      <x:c r="DN291" s="23" t="n">
        <x:v>0</x:v>
      </x:c>
      <x:c r="DO291" s="23" t="n">
        <x:v>714.7066243489583</x:v>
      </x:c>
      <x:c r="DP291" s="23" t="n">
        <x:v>0</x:v>
      </x:c>
      <x:c r="DQ291" s="23" t="n">
        <x:v>0</x:v>
      </x:c>
      <x:c r="DR291" s="23" t="n">
        <x:v>0</x:v>
      </x:c>
      <x:c r="DS291" s="23" t="n">
        <x:v>696.1336220703131</x:v>
      </x:c>
      <x:c r="DT291" s="23" t="n">
        <x:v>712.3004557291666</x:v>
      </x:c>
      <x:c r="DU291" s="23" t="n">
        <x:v>0</x:v>
      </x:c>
      <x:c r="DV291" s="23" t="n">
        <x:v>717.9812825520833</x:v>
      </x:c>
      <x:c r="DW291" s="23" t="n">
        <x:v>729.0771484375</x:v>
      </x:c>
      <x:c r="DX291" s="23" t="n">
        <x:v>715.0940095182291</x:v>
      </x:c>
      <x:c r="DY291" s="23" t="n">
        <x:v>704.1561686197916</x:v>
      </x:c>
      <x:c r="DZ291" s="23" t="n">
        <x:v>714.81201171875</x:v>
      </x:c>
      <x:c r="EA291" s="23" t="n">
        <x:v>721.3204408854167</x:v>
      </x:c>
      <x:c r="EB291" s="23" t="n">
        <x:v>656.2951253255208</x:v>
      </x:c>
      <x:c r="EC291" s="23" t="n">
        <x:v>555.2715250651041</x:v>
      </x:c>
      <x:c r="ED291" s="23" t="n">
        <x:v>1372.5867919921875</x:v>
      </x:c>
      <x:c r="EE291" s="23" t="n">
        <x:v>543.5118408203125</x:v>
      </x:c>
      <x:c r="EF291" s="23" t="n">
        <x:v>547.5068359375</x:v>
      </x:c>
      <x:c r="EG291" s="23" t="n">
        <x:v>1385.0985107421875</x:v>
      </x:c>
      <x:c r="EH291" s="23" t="n">
        <x:v>1388.1653645833333</x:v>
      </x:c>
      <x:c r="EI291" s="23" t="n">
        <x:v>1397.511027018229</x:v>
      </x:c>
      <x:c r="EJ291" s="23" t="n">
        <x:v>547.2569580078125</x:v>
      </x:c>
      <x:c r="EK291" s="23" t="n">
        <x:v>1375.2882486979165</x:v>
      </x:c>
      <x:c r="EL291" s="23" t="n">
        <x:v>839.3900885376485</x:v>
      </x:c>
      <x:c r="EM291" s="23" t="n">
        <x:v>573.986083984375</x:v>
      </x:c>
      <x:c r="EN291" s="23" t="n">
        <x:v>571.122314453125</x:v>
      </x:c>
      <x:c r="EO291" s="23" t="n">
        <x:v>1404.78955078125</x:v>
      </x:c>
      <x:c r="EP291" s="23" t="n">
        <x:f>SUM(B291:EO291)</x:f>
        <x:v>76887.61711793103</x:v>
      </x:c>
      <x:c r="EQ291" s="23" t="n">
        <x:f>SUMPRODUCT(B291:EO291,{0.3623,0.3717,0.4424,0.4672,0.4683,0.4832,0.5101,0.4708,0.3909,0.3865,0.4472,0.5007,0.4784,0.4385,0.4244,0.4351,0.4773,0.5108,0.4742,0.4174,0.3978,0.4336,0.4708,0.4705,0.4366,0.4111,0.4031,0.3962,0.4331,0.4897,0.486,0.4472,0.4074,0.4169,0.6463,0.9611,1.02,0.9883,0.9856,0.9691,0.9538,0.969,1.02,1.0232,0.9312,0.8197,1.0004,1.3317,1.3437,1.2884,1.299,1.2513,1.2045,1.1954,1.1896,1.1574,1.1091,1.08,1.0533,1.0303,1.0267,1.0001,0.9933,1.0582,0.9037,0.6076,0.5631,0.6077,0.6045,0.5837,0.5655,0.5437,0.5012,0.4672,0.4518,0.4707,0.6717,0.9217,0.9148,0.8993,0.9665,0.9582,0.9157,0.9189,0.9974,1.0407,1.0498,1.0935,0.9417,0.7092,0.7715,0.8739,0.8752,0.8841,0.9079,0.923,0.9204,0.9529,1.0241,1.0818,1.11,1.1083,1.0836,1.0491,1.0449,1.1154,1.2205,1.2891,1.2712,1.2346,1.2388,1.2839,1.2891,1.2587,1.2728,1.2989,1.3045,1.2868,1.2467,1.2096,1.2135,1.2517,1.3059,1.3302,1.182,0.9544,0.9076,0.9365,0.9765,1.0232,0.7936,0.4229,0.3675,0.4213,0.4243,0.4213,0.4072,0.4079,0.4569,0.4423,0.3771,0.3874,0.4093,0.4047})</x:f>
        <x:v>51841.06032209429</x:v>
      </x:c>
    </x:row>
    <x:row r="292" ht="14" customHeight="1">
      <x:c r="A292" s="3">
        <x:v>45979</x:v>
      </x:c>
      <x:c r="B292" s="23" t="n">
        <x:v>568.7550455729166</x:v>
      </x:c>
      <x:c r="C292" s="23" t="n">
        <x:v>570.4340413411458</x:v>
      </x:c>
      <x:c r="D292" s="23" t="n">
        <x:v>565.7447509765625</x:v>
      </x:c>
      <x:c r="E292" s="23" t="n">
        <x:v>1406.55126953125</x:v>
      </x:c>
      <x:c r="F292" s="23" t="n">
        <x:v>578.3292236328125</x:v>
      </x:c>
      <x:c r="G292" s="23" t="n">
        <x:v>574.0842692057291</x:v>
      </x:c>
      <x:c r="H292" s="23" t="n">
        <x:v>579.8708089192708</x:v>
      </x:c>
      <x:c r="I292" s="23" t="n">
        <x:v>571.8825276692708</x:v>
      </x:c>
      <x:c r="J292" s="23" t="n">
        <x:v>567.8192545572916</x:v>
      </x:c>
      <x:c r="K292" s="23" t="n">
        <x:v>580.6287434895833</x:v>
      </x:c>
      <x:c r="L292" s="23" t="n">
        <x:v>591.8843587239583</x:v>
      </x:c>
      <x:c r="M292" s="23" t="n">
        <x:v>589.5580240885416</x:v>
      </x:c>
      <x:c r="N292" s="23" t="n">
        <x:v>999.5433656547375</x:v>
      </x:c>
      <x:c r="O292" s="23" t="n">
        <x:v>583.9306233723958</x:v>
      </x:c>
      <x:c r="P292" s="23" t="n">
        <x:v>594.2574055989583</x:v>
      </x:c>
      <x:c r="Q292" s="23" t="n">
        <x:v>593.496337890625</x:v>
      </x:c>
      <x:c r="R292" s="23" t="n">
        <x:v>1434.9024658203125</x:v>
      </x:c>
      <x:c r="S292" s="23" t="n">
        <x:v>599.7658284505208</x:v>
      </x:c>
      <x:c r="T292" s="23" t="n">
        <x:v>1424.5060628255208</x:v>
      </x:c>
      <x:c r="U292" s="23" t="n">
        <x:v>591.7193603515625</x:v>
      </x:c>
      <x:c r="V292" s="23" t="n">
        <x:v>601.3895670572916</x:v>
      </x:c>
      <x:c r="W292" s="23" t="n">
        <x:v>603.5815836588541</x:v>
      </x:c>
      <x:c r="X292" s="23" t="n">
        <x:v>600.2657877604166</x:v>
      </x:c>
      <x:c r="Y292" s="23" t="n">
        <x:v>598.2566324869791</x:v>
      </x:c>
      <x:c r="Z292" s="23" t="n">
        <x:v>1429.5882975260415</x:v>
      </x:c>
      <x:c r="AA292" s="23" t="n">
        <x:v>1429.1341552734375</x:v>
      </x:c>
      <x:c r="AB292" s="23" t="n">
        <x:v>601.628173828125</x:v>
      </x:c>
      <x:c r="AC292" s="23" t="n">
        <x:v>604.6106363932291</x:v>
      </x:c>
      <x:c r="AD292" s="23" t="n">
        <x:v>601.3696695963541</x:v>
      </x:c>
      <x:c r="AE292" s="23" t="n">
        <x:v>600.31640625</x:v>
      </x:c>
      <x:c r="AF292" s="23" t="n">
        <x:v>605.5233968098958</x:v>
      </x:c>
      <x:c r="AG292" s="23" t="n">
        <x:v>611.0204264322916</x:v>
      </x:c>
      <x:c r="AH292" s="23" t="n">
        <x:v>608.4147542317708</x:v>
      </x:c>
      <x:c r="AI292" s="23" t="n">
        <x:v>1430.9954427083333</x:v>
      </x:c>
      <x:c r="AJ292" s="23" t="n">
        <x:v>639.7423502604166</x:v>
      </x:c>
      <x:c r="AK292" s="23" t="n">
        <x:v>0</x:v>
      </x:c>
      <x:c r="AL292" s="23" t="n">
        <x:v>807.7615559895833</x:v>
      </x:c>
      <x:c r="AM292" s="23" t="n">
        <x:v>794.3964412650422</x:v>
      </x:c>
      <x:c r="AN292" s="23" t="n">
        <x:v>5.8675293947139835</x:v>
      </x:c>
      <x:c r="AO292" s="23" t="n">
        <x:v>698.4068396690861</x:v>
      </x:c>
      <x:c r="AP292" s="23" t="n">
        <x:v>782.180213185367</x:v>
      </x:c>
      <x:c r="AQ292" s="23" t="n">
        <x:v>740.3263152102911</x:v>
      </x:c>
      <x:c r="AR292" s="23" t="n">
        <x:v>696.7589115631863</x:v>
      </x:c>
      <x:c r="AS292" s="23" t="n">
        <x:v>653.4356163590053</x:v>
      </x:c>
      <x:c r="AT292" s="23" t="n">
        <x:v>604.2778414704418</x:v>
      </x:c>
      <x:c r="AU292" s="23" t="n">
        <x:v>542.1078083727234</x:v>
      </x:c>
      <x:c r="AV292" s="23" t="n">
        <x:v>0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1.8884934638934585</x:v>
      </x:c>
      <x:c r="BO292" s="23" t="n">
        <x:v>803.5797629011491</x:v>
      </x:c>
      <x:c r="BP292" s="23" t="n">
        <x:v>779.6482852857046</x:v>
      </x:c>
      <x:c r="BQ292" s="23" t="n">
        <x:v>755.373500889928</x:v>
      </x:c>
      <x:c r="BR292" s="23" t="n">
        <x:v>726.7463490436281</x:v>
      </x:c>
      <x:c r="BS292" s="23" t="n">
        <x:v>714.7454070074227</x:v>
      </x:c>
      <x:c r="BT292" s="23" t="n">
        <x:v>671.873584875488</x:v>
      </x:c>
      <x:c r="BU292" s="23" t="n">
        <x:v>631.804748155615</x:v>
      </x:c>
      <x:c r="BV292" s="23" t="n">
        <x:v>631.1154701155542</x:v>
      </x:c>
      <x:c r="BW292" s="23" t="n">
        <x:v>639.8341065357309</x:v>
      </x:c>
      <x:c r="BX292" s="23" t="n">
        <x:v>638.0673163683842</x:v>
      </x:c>
      <x:c r="BY292" s="23" t="n">
        <x:v>660.4350166160305</x:v>
      </x:c>
      <x:c r="BZ292" s="23" t="n">
        <x:v>701.6438162645252</x:v>
      </x:c>
      <x:c r="CA292" s="23" t="n">
        <x:v>0</x:v>
      </x:c>
      <x:c r="CB292" s="23" t="n">
        <x:v>0</x:v>
      </x:c>
      <x:c r="CC292" s="23" t="n">
        <x:v>0</x:v>
      </x:c>
      <x:c r="CD292" s="23" t="n">
        <x:v>0</x:v>
      </x:c>
      <x:c r="CE292" s="23" t="n">
        <x:v>21.274252387909502</x:v>
      </x:c>
      <x:c r="CF292" s="23" t="n">
        <x:v>50.24591667721627</x:v>
      </x:c>
      <x:c r="CG292" s="23" t="n">
        <x:v>70.18062141780138</x:v>
      </x:c>
      <x:c r="CH292" s="23" t="n">
        <x:v>103.69977431787552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1166.3206490104542</x:v>
      </x:c>
      <x:c r="CN292" s="23" t="n">
        <x:v>627.4689245591246</x:v>
      </x:c>
      <x:c r="CO292" s="23" t="n">
        <x:v>433.6893566872492</x:v>
      </x:c>
      <x:c r="CP292" s="23" t="n">
        <x:v>485.0684458973084</x:v>
      </x:c>
      <x:c r="CQ292" s="23" t="n">
        <x:v>538.8973946401206</x:v>
      </x:c>
      <x:c r="CR292" s="23" t="n">
        <x:v>598.7379549017269</x:v>
      </x:c>
      <x:c r="CS292" s="23" t="n">
        <x:v>654.5455378094452</x:v>
      </x:c>
      <x:c r="CT292" s="23" t="n">
        <x:v>708.6151756394165</x:v>
      </x:c>
      <x:c r="CU292" s="23" t="n">
        <x:v>757.5030127410314</x:v>
      </x:c>
      <x:c r="CV292" s="23" t="n">
        <x:v>818.2005628179706</x:v>
      </x:c>
      <x:c r="CW292" s="23" t="n">
        <x:v>883.0379514182006</x:v>
      </x:c>
      <x:c r="CX292" s="23" t="n">
        <x:v>936.2315104875338</x:v>
      </x:c>
      <x:c r="CY292" s="23" t="n">
        <x:v>966.4030720164701</x:v>
      </x:c>
      <x:c r="CZ292" s="23" t="n">
        <x:v>1001.587751964934</x:v>
      </x:c>
      <x:c r="DA292" s="23" t="n">
        <x:v>1013.1948166760067</x:v>
      </x:c>
      <x:c r="DB292" s="23" t="n">
        <x:v>1019.3719889322916</x:v>
      </x:c>
      <x:c r="DC292" s="23" t="n">
        <x:v>1031.9070021763532</x:v>
      </x:c>
      <x:c r="DD292" s="23" t="n">
        <x:v>897.5992024739583</x:v>
      </x:c>
      <x:c r="DE292" s="23" t="n">
        <x:v>0</x:v>
      </x:c>
      <x:c r="DF292" s="23" t="n">
        <x:v>0</x:v>
      </x:c>
      <x:c r="DG292" s="23" t="n">
        <x:v>714.6354166666666</x:v>
      </x:c>
      <x:c r="DH292" s="23" t="n">
        <x:v>704.5802408854166</x:v>
      </x:c>
      <x:c r="DI292" s="23" t="n">
        <x:v>0</x:v>
      </x:c>
      <x:c r="DJ292" s="23" t="n">
        <x:v>0</x:v>
      </x:c>
      <x:c r="DK292" s="23" t="n">
        <x:v>689.9363606770833</x:v>
      </x:c>
      <x:c r="DL292" s="23" t="n">
        <x:v>717.5594075520833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672.5771442057293</x:v>
      </x:c>
      <x:c r="DT292" s="23" t="n">
        <x:v>0</x:v>
      </x:c>
      <x:c r="DU292" s="23" t="n">
        <x:v>0</x:v>
      </x:c>
      <x:c r="DV292" s="23" t="n">
        <x:v>706.4166666666666</x:v>
      </x:c>
      <x:c r="DW292" s="23" t="n">
        <x:v>715.380126953125</x:v>
      </x:c>
      <x:c r="DX292" s="23" t="n">
        <x:v>727.152099609375</x:v>
      </x:c>
      <x:c r="DY292" s="23" t="n">
        <x:v>726.3565266927083</x:v>
      </x:c>
      <x:c r="DZ292" s="23" t="n">
        <x:v>720.4837239583333</x:v>
      </x:c>
      <x:c r="EA292" s="23" t="n">
        <x:v>722.5713514453124</x:v>
      </x:c>
      <x:c r="EB292" s="23" t="n">
        <x:v>650.142578125</x:v>
      </x:c>
      <x:c r="EC292" s="23" t="n">
        <x:v>1371.3326416015625</x:v>
      </x:c>
      <x:c r="ED292" s="23" t="n">
        <x:v>1389.3732096354165</x:v>
      </x:c>
      <x:c r="EE292" s="23" t="n">
        <x:v>572.9404703776041</x:v>
      </x:c>
      <x:c r="EF292" s="23" t="n">
        <x:v>1385.3981119791665</x:v>
      </x:c>
      <x:c r="EG292" s="23" t="n">
        <x:v>1381.086181640625</x:v>
      </x:c>
      <x:c r="EH292" s="23" t="n">
        <x:v>829.4545416626485</x:v>
      </x:c>
      <x:c r="EI292" s="23" t="n">
        <x:v>546.8498128255208</x:v>
      </x:c>
      <x:c r="EJ292" s="23" t="n">
        <x:v>557.1558024088541</x:v>
      </x:c>
      <x:c r="EK292" s="23" t="n">
        <x:v>571.854248046875</x:v>
      </x:c>
      <x:c r="EL292" s="23" t="n">
        <x:v>564.18115234375</x:v>
      </x:c>
      <x:c r="EM292" s="23" t="n">
        <x:v>1392.1371663411458</x:v>
      </x:c>
      <x:c r="EN292" s="23" t="n">
        <x:v>1396.3519287109375</x:v>
      </x:c>
      <x:c r="EO292" s="23" t="n">
        <x:v>571.3252360026041</x:v>
      </x:c>
      <x:c r="EP292" s="23" t="n">
        <x:f>SUM(B292:EO292)</x:f>
        <x:v>76596.78900061351</x:v>
      </x:c>
      <x:c r="EQ292" s="23" t="n">
        <x:f>SUMPRODUCT(B292:EO292,{0.4033,0.4056,0.4154,0.4373,0.4379,0.4365,0.4821,0.4998,0.4701,0.4485,0.4442,0.4364,0.4056,0.4018,0.4232,0.4227,0.4453,0.4678,0.4212,0.418,0.4645,0.4516,0.4149,0.3847,0.364,0.4161,0.4983,0.4891,0.4336,0.4061,0.4386,0.4529,0.3922,0.3257,0.6018,1.0315,1.0412,0.9337,0.9412,0.9977,1.0321,1.0016,0.9162,0.8864,0.8877,0.8338,1.0114,1.3211,1.3419,1.2787,1.2654,1.2292,1.1985,1.1819,1.1474,1.0937,1.0589,1.0782,1.058,1.0051,1.0162,1.0188,1.0173,1.0583,0.8952,0.6268,0.6137,0.599,0.5274,0.6037,0.6414,0.5934,0.6062,0.6363,0.6141,0.5522,0.6838,0.9299,0.9685,0.9644,0.9938,0.9676,0.9881,1.0868,1.1656,1.1032,1.0232,1.1448,1.0918,0.8545,0.8155,0.8616,0.8803,0.8897,0.9048,0.942,1.0068,1.0476,1.0576,1.0737,1.0751,1.0864,1.1551,1.181,1.1143,1.0279,1.1234,1.2968,1.242,1.1777,1.2228,1.2738,1.2812,1.2643,1.2769,1.2941,1.2917,1.271,1.2535,1.257,1.2731,1.2317,1.1856,1.238,1.1585,0.9797,0.966,0.9324,0.8726,0.938,0.7559,0.4182,0.4167,0.4641,0.4227,0.4474,0.4615,0.4356,0.4262,0.4009,0.3853,0.4391,0.4407,0.4046})</x:f>
        <x:v>51889.180170140215</x:v>
      </x:c>
    </x:row>
    <x:row r="293" ht="14" customHeight="1">
      <x:c r="A293" s="3">
        <x:v>45980</x:v>
      </x:c>
      <x:c r="B293" s="23" t="n">
        <x:v>563.4022623697916</x:v>
      </x:c>
      <x:c r="C293" s="23" t="n">
        <x:v>569.19140625</x:v>
      </x:c>
      <x:c r="D293" s="23" t="n">
        <x:v>579.6304524739583</x:v>
      </x:c>
      <x:c r="E293" s="23" t="n">
        <x:v>1409.173095703125</x:v>
      </x:c>
      <x:c r="F293" s="23" t="n">
        <x:v>1406.3414306640625</x:v>
      </x:c>
      <x:c r="G293" s="23" t="n">
        <x:v>575.6253662109375</x:v>
      </x:c>
      <x:c r="H293" s="23" t="n">
        <x:v>589.2691243489583</x:v>
      </x:c>
      <x:c r="I293" s="23" t="n">
        <x:v>595.0629475911458</x:v>
      </x:c>
      <x:c r="J293" s="23" t="n">
        <x:v>588.5932210286458</x:v>
      </x:c>
      <x:c r="K293" s="23" t="n">
        <x:v>951.8807285011559</x:v>
      </x:c>
      <x:c r="L293" s="23" t="n">
        <x:v>1418.1597900390625</x:v>
      </x:c>
      <x:c r="M293" s="23" t="n">
        <x:v>1423.528605143229</x:v>
      </x:c>
      <x:c r="N293" s="23" t="n">
        <x:v>592.2860921223958</x:v>
      </x:c>
      <x:c r="O293" s="23" t="n">
        <x:v>589.5964762369791</x:v>
      </x:c>
      <x:c r="P293" s="23" t="n">
        <x:v>588.3377685546875</x:v>
      </x:c>
      <x:c r="Q293" s="23" t="n">
        <x:v>598.2555338541666</x:v>
      </x:c>
      <x:c r="R293" s="23" t="n">
        <x:v>599.7607828776041</x:v>
      </x:c>
      <x:c r="S293" s="23" t="n">
        <x:v>599.6431070963541</x:v>
      </x:c>
      <x:c r="T293" s="23" t="n">
        <x:v>602.1490071614583</x:v>
      </x:c>
      <x:c r="U293" s="23" t="n">
        <x:v>600.5624186197916</x:v>
      </x:c>
      <x:c r="V293" s="23" t="n">
        <x:v>592.4539794921875</x:v>
      </x:c>
      <x:c r="W293" s="23" t="n">
        <x:v>600.0865885416666</x:v>
      </x:c>
      <x:c r="X293" s="23" t="n">
        <x:v>599.3794352213541</x:v>
      </x:c>
      <x:c r="Y293" s="23" t="n">
        <x:v>601.3177083333333</x:v>
      </x:c>
      <x:c r="Z293" s="23" t="n">
        <x:v>600.34716796875</x:v>
      </x:c>
      <x:c r="AA293" s="23" t="n">
        <x:v>601.3022054036458</x:v>
      </x:c>
      <x:c r="AB293" s="23" t="n">
        <x:v>1435.894327799479</x:v>
      </x:c>
      <x:c r="AC293" s="23" t="n">
        <x:v>607.0030110677083</x:v>
      </x:c>
      <x:c r="AD293" s="23" t="n">
        <x:v>605.654296875</x:v>
      </x:c>
      <x:c r="AE293" s="23" t="n">
        <x:v>598.7552083333333</x:v>
      </x:c>
      <x:c r="AF293" s="23" t="n">
        <x:v>603.9397786458333</x:v>
      </x:c>
      <x:c r="AG293" s="23" t="n">
        <x:v>608.7168782552083</x:v>
      </x:c>
      <x:c r="AH293" s="23" t="n">
        <x:v>603.8041178385416</x:v>
      </x:c>
      <x:c r="AI293" s="23" t="n">
        <x:v>1426.661376953125</x:v>
      </x:c>
      <x:c r="AJ293" s="23" t="n">
        <x:v>633.6830647786458</x:v>
      </x:c>
      <x:c r="AK293" s="23" t="n">
        <x:v>0</x:v>
      </x:c>
      <x:c r="AL293" s="23" t="n">
        <x:v>354.8633030694125</x:v>
      </x:c>
      <x:c r="AM293" s="23" t="n">
        <x:v>794.6954644658076</x:v>
      </x:c>
      <x:c r="AN293" s="23" t="n">
        <x:v>5.3648438478389835</x:v>
      </x:c>
      <x:c r="AO293" s="23" t="n">
        <x:v>794.718275064332</x:v>
      </x:c>
      <x:c r="AP293" s="23" t="n">
        <x:v>781.6301277812796</x:v>
      </x:c>
      <x:c r="AQ293" s="23" t="n">
        <x:v>744.5126605515525</x:v>
      </x:c>
      <x:c r="AR293" s="23" t="n">
        <x:v>703.232568736189</x:v>
      </x:c>
      <x:c r="AS293" s="23" t="n">
        <x:v>653.5377229568077</x:v>
      </x:c>
      <x:c r="AT293" s="23" t="n">
        <x:v>599.491989420748</x:v>
      </x:c>
      <x:c r="AU293" s="23" t="n">
        <x:v>529.2064288317495</x:v>
      </x:c>
      <x:c r="AV293" s="23" t="n">
        <x:v>0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73.76077021401002</x:v>
      </x:c>
      <x:c r="BM293" s="23" t="n">
        <x:v>49.913146915841175</x:v>
      </x:c>
      <x:c r="BN293" s="23" t="n">
        <x:v>15.309279318792806</x:v>
      </x:c>
      <x:c r="BO293" s="23" t="n">
        <x:v>814.2358045768715</x:v>
      </x:c>
      <x:c r="BP293" s="23" t="n">
        <x:v>783.7653606116239</x:v>
      </x:c>
      <x:c r="BQ293" s="23" t="n">
        <x:v>766.4304883411694</x:v>
      </x:c>
      <x:c r="BR293" s="23" t="n">
        <x:v>745.4630663137032</x:v>
      </x:c>
      <x:c r="BS293" s="23" t="n">
        <x:v>737.7550737933449</x:v>
      </x:c>
      <x:c r="BT293" s="23" t="n">
        <x:v>701.8533191873255</x:v>
      </x:c>
      <x:c r="BU293" s="23" t="n">
        <x:v>655.1453416800227</x:v>
      </x:c>
      <x:c r="BV293" s="23" t="n">
        <x:v>654.3189845534571</x:v>
      </x:c>
      <x:c r="BW293" s="23" t="n">
        <x:v>665.7428323138074</x:v>
      </x:c>
      <x:c r="BX293" s="23" t="n">
        <x:v>685.7630744768394</x:v>
      </x:c>
      <x:c r="BY293" s="23" t="n">
        <x:v>692.6453500803042</x:v>
      </x:c>
      <x:c r="BZ293" s="23" t="n">
        <x:v>729.5802924993648</x:v>
      </x:c>
      <x:c r="CA293" s="23" t="n">
        <x:v>0</x:v>
      </x:c>
      <x:c r="CB293" s="23" t="n">
        <x:v>0</x:v>
      </x:c>
      <x:c r="CC293" s="23" t="n">
        <x:v>0</x:v>
      </x:c>
      <x:c r="CD293" s="23" t="n">
        <x:v>0</x:v>
      </x:c>
      <x:c r="CE293" s="23" t="n">
        <x:v>0</x:v>
      </x:c>
      <x:c r="CF293" s="23" t="n">
        <x:v>70.47020885904688</x:v>
      </x:c>
      <x:c r="CG293" s="23" t="n">
        <x:v>110.15677001366005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1186.6462046752101</x:v>
      </x:c>
      <x:c r="CN293" s="23" t="n">
        <x:v>1237.8237087327757</x:v>
      </x:c>
      <x:c r="CO293" s="23" t="n">
        <x:v>448.96854216929324</x:v>
      </x:c>
      <x:c r="CP293" s="23" t="n">
        <x:v>494.46256575742547</x:v>
      </x:c>
      <x:c r="CQ293" s="23" t="n">
        <x:v>551.3069542499466</x:v>
      </x:c>
      <x:c r="CR293" s="23" t="n">
        <x:v>607.4968725523897</x:v>
      </x:c>
      <x:c r="CS293" s="23" t="n">
        <x:v>659.6366772662375</x:v>
      </x:c>
      <x:c r="CT293" s="23" t="n">
        <x:v>724.929342508318</x:v>
      </x:c>
      <x:c r="CU293" s="23" t="n">
        <x:v>779.3520151392464</x:v>
      </x:c>
      <x:c r="CV293" s="23" t="n">
        <x:v>816.3953930211303</x:v>
      </x:c>
      <x:c r="CW293" s="23" t="n">
        <x:v>872.1847637697507</x:v>
      </x:c>
      <x:c r="CX293" s="23" t="n">
        <x:v>928.2729633616902</x:v>
      </x:c>
      <x:c r="CY293" s="23" t="n">
        <x:v>972.7285261606696</x:v>
      </x:c>
      <x:c r="CZ293" s="23" t="n">
        <x:v>1001.0515393655588</x:v>
      </x:c>
      <x:c r="DA293" s="23" t="n">
        <x:v>1011.0262387241576</x:v>
      </x:c>
      <x:c r="DB293" s="23" t="n">
        <x:v>1015.7036946614583</x:v>
      </x:c>
      <x:c r="DC293" s="23" t="n">
        <x:v>1026.502573300074</x:v>
      </x:c>
      <x:c r="DD293" s="23" t="n">
        <x:v>901.8343912760416</x:v>
      </x:c>
      <x:c r="DE293" s="23" t="n">
        <x:v>0</x:v>
      </x:c>
      <x:c r="DF293" s="23" t="n">
        <x:v>0</x:v>
      </x:c>
      <x:c r="DG293" s="23" t="n">
        <x:v>696.7607421875</x:v>
      </x:c>
      <x:c r="DH293" s="23" t="n">
        <x:v>0</x:v>
      </x:c>
      <x:c r="DI293" s="23" t="n">
        <x:v>717.9910481770833</x:v>
      </x:c>
      <x:c r="DJ293" s="23" t="n">
        <x:v>716.5221354166666</x:v>
      </x:c>
      <x:c r="DK293" s="23" t="n">
        <x:v>687.622314453125</x:v>
      </x:c>
      <x:c r="DL293" s="23" t="n">
        <x:v>676.8542197265631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709.7393391927083</x:v>
      </x:c>
      <x:c r="DW293" s="23" t="n">
        <x:v>704.0076823318542</x:v>
      </x:c>
      <x:c r="DX293" s="23" t="n">
        <x:v>722.009765625</x:v>
      </x:c>
      <x:c r="DY293" s="23" t="n">
        <x:v>720.112548828125</x:v>
      </x:c>
      <x:c r="DZ293" s="23" t="n">
        <x:v>714.5130208333333</x:v>
      </x:c>
      <x:c r="EA293" s="23" t="n">
        <x:v>718.4904612760416</x:v>
      </x:c>
      <x:c r="EB293" s="23" t="n">
        <x:v>654.6005045572916</x:v>
      </x:c>
      <x:c r="EC293" s="23" t="n">
        <x:v>563.4146728515625</x:v>
      </x:c>
      <x:c r="ED293" s="23" t="n">
        <x:v>549.8507893880208</x:v>
      </x:c>
      <x:c r="EE293" s="23" t="n">
        <x:v>563.6314290364583</x:v>
      </x:c>
      <x:c r="EF293" s="23" t="n">
        <x:v>570.0859781901041</x:v>
      </x:c>
      <x:c r="EG293" s="23" t="n">
        <x:v>1392.5746256510415</x:v>
      </x:c>
      <x:c r="EH293" s="23" t="n">
        <x:v>1386.38818359375</x:v>
      </x:c>
      <x:c r="EI293" s="23" t="n">
        <x:v>1391.231730143229</x:v>
      </x:c>
      <x:c r="EJ293" s="23" t="n">
        <x:v>1380.6302083333333</x:v>
      </x:c>
      <x:c r="EK293" s="23" t="n">
        <x:v>1386.964884440104</x:v>
      </x:c>
      <x:c r="EL293" s="23" t="n">
        <x:v>1393.6442464192708</x:v>
      </x:c>
      <x:c r="EM293" s="23" t="n">
        <x:v>827.8898037069189</x:v>
      </x:c>
      <x:c r="EN293" s="23" t="n">
        <x:v>550.0638427734375</x:v>
      </x:c>
      <x:c r="EO293" s="23" t="n">
        <x:v>556.9731038411458</x:v>
      </x:c>
      <x:c r="EP293" s="23" t="n">
        <x:f>SUM(B293:EO293)</x:f>
        <x:v>77261.90155849524</x:v>
      </x:c>
      <x:c r="EQ293" s="23" t="n">
        <x:f>SUMPRODUCT(B293:EO293,{0.4591,0.4652,0.4085,0.4215,0.455,0.4618,0.4503,0.4494,0.4561,0.4442,0.4403,0.4616,0.4902,0.4623,0.4062,0.4185,0.4584,0.4817,0.4833,0.4829,0.487,0.4873,0.4881,0.4791,0.4507,0.4645,0.5042,0.4914,0.4791,0.4722,0.4233,0.3985,0.3917,0.3783,0.6406,1.0149,1.0144,0.9393,0.9659,0.9789,1.0007,1.0223,0.9949,0.9849,0.946,0.8118,0.9773,1.3324,1.3453,1.2692,1.2742,1.2669,1.2457,1.1981,1.1102,1.1027,1.1521,1.1131,1.0598,1.0476,1.0535,1.0448,1.0375,1.0457,0.8881,0.6458,0.6084,0.6592,0.6706,0.6255,0.5731,0.5502,0.5573,0.5604,0.5231,0.4697,0.6272,0.9029,0.9615,0.9696,0.9919,0.9302,0.9494,1.0427,1.0377,1.054,1.1365,1.173,1.0377,0.8471,0.851,0.8618,0.833,0.9004,0.926,0.9087,0.9896,1.0524,1.0407,1.0241,1.066,1.1221,1.0936,1.0773,1.0942,1.086,1.1701,1.3023,1.3038,1.2811,1.3014,1.3149,1.2598,1.1974,1.2492,1.2879,1.2727,1.2846,1.2923,1.2697,1.2305,1.2076,1.2289,1.2721,1.1617,0.9613,0.9183,0.9159,0.9291,1.0122,0.8172,0.4446,0.3761,0.4215,0.4288,0.4409,0.4389,0.4316,0.4503,0.4353,0.399,0.4184,0.4488,0.4395})</x:f>
        <x:v>53040.37666044703</x:v>
      </x:c>
    </x:row>
    <x:row r="294" ht="14" customHeight="1">
      <x:c r="A294" s="3">
        <x:v>45981</x:v>
      </x:c>
      <x:c r="B294" s="23" t="n">
        <x:v>1392.4708251953125</x:v>
      </x:c>
      <x:c r="C294" s="23" t="n">
        <x:v>1402.9931233723958</x:v>
      </x:c>
      <x:c r="D294" s="23" t="n">
        <x:v>577.5880940755208</x:v>
      </x:c>
      <x:c r="E294" s="23" t="n">
        <x:v>576.716064453125</x:v>
      </x:c>
      <x:c r="F294" s="23" t="n">
        <x:v>578.98876953125</x:v>
      </x:c>
      <x:c r="G294" s="23" t="n">
        <x:v>578.8542887369791</x:v>
      </x:c>
      <x:c r="H294" s="23" t="n">
        <x:v>588.0157470703125</x:v>
      </x:c>
      <x:c r="I294" s="23" t="n">
        <x:v>590.27783203125</x:v>
      </x:c>
      <x:c r="J294" s="23" t="n">
        <x:v>581.852294921875</x:v>
      </x:c>
      <x:c r="K294" s="23" t="n">
        <x:v>579.3856608072916</x:v>
      </x:c>
      <x:c r="L294" s="23" t="n">
        <x:v>590.5908203125</x:v>
      </x:c>
      <x:c r="M294" s="23" t="n">
        <x:v>596.8201090494791</x:v>
      </x:c>
      <x:c r="N294" s="23" t="n">
        <x:v>591.3299967447916</x:v>
      </x:c>
      <x:c r="O294" s="23" t="n">
        <x:v>589.1775309244791</x:v>
      </x:c>
      <x:c r="P294" s="23" t="n">
        <x:v>598.1951904296875</x:v>
      </x:c>
      <x:c r="Q294" s="23" t="n">
        <x:v>599.9857177734375</x:v>
      </x:c>
      <x:c r="R294" s="23" t="n">
        <x:v>1432.8009847005208</x:v>
      </x:c>
      <x:c r="S294" s="23" t="n">
        <x:v>1436.309366861979</x:v>
      </x:c>
      <x:c r="T294" s="23" t="n">
        <x:v>602.1747233072916</x:v>
      </x:c>
      <x:c r="U294" s="23" t="n">
        <x:v>600.4295247395833</x:v>
      </x:c>
      <x:c r="V294" s="23" t="n">
        <x:v>591.6413167317708</x:v>
      </x:c>
      <x:c r="W294" s="23" t="n">
        <x:v>597.9051513671875</x:v>
      </x:c>
      <x:c r="X294" s="23" t="n">
        <x:v>1431.707316080729</x:v>
      </x:c>
      <x:c r="Y294" s="23" t="n">
        <x:v>606.1061197916666</x:v>
      </x:c>
      <x:c r="Z294" s="23" t="n">
        <x:v>600.8976643880208</x:v>
      </x:c>
      <x:c r="AA294" s="23" t="n">
        <x:v>597.75</x:v>
      </x:c>
      <x:c r="AB294" s="23" t="n">
        <x:v>600.4708658854166</x:v>
      </x:c>
      <x:c r="AC294" s="23" t="n">
        <x:v>604.02685546875</x:v>
      </x:c>
      <x:c r="AD294" s="23" t="n">
        <x:v>602.3602701822916</x:v>
      </x:c>
      <x:c r="AE294" s="23" t="n">
        <x:v>601.62939453125</x:v>
      </x:c>
      <x:c r="AF294" s="23" t="n">
        <x:v>604.0410563151041</x:v>
      </x:c>
      <x:c r="AG294" s="23" t="n">
        <x:v>604.2147623697916</x:v>
      </x:c>
      <x:c r="AH294" s="23" t="n">
        <x:v>1039.4607909794577</x:v>
      </x:c>
      <x:c r="AI294" s="23" t="n">
        <x:v>1428.8680013020833</x:v>
      </x:c>
      <x:c r="AJ294" s="23" t="n">
        <x:v>661.1656494140625</x:v>
      </x:c>
      <x:c r="AK294" s="23" t="n">
        <x:v>0</x:v>
      </x:c>
      <x:c r="AL294" s="23" t="n">
        <x:v>0</x:v>
      </x:c>
      <x:c r="AM294" s="23" t="n">
        <x:v>795.0110086030204</x:v>
      </x:c>
      <x:c r="AN294" s="23" t="n">
        <x:v>799.0955403645833</x:v>
      </x:c>
      <x:c r="AO294" s="23" t="n">
        <x:v>791.8410666250758</x:v>
      </x:c>
      <x:c r="AP294" s="23" t="n">
        <x:v>782.1289308635298</x:v>
      </x:c>
      <x:c r="AQ294" s="23" t="n">
        <x:v>757.0566131325442</x:v>
      </x:c>
      <x:c r="AR294" s="23" t="n">
        <x:v>708.3356011749729</x:v>
      </x:c>
      <x:c r="AS294" s="23" t="n">
        <x:v>657.7716249710961</x:v>
      </x:c>
      <x:c r="AT294" s="23" t="n">
        <x:v>607.2306882950317</x:v>
      </x:c>
      <x:c r="AU294" s="23" t="n">
        <x:v>537.7849601009608</x:v>
      </x:c>
      <x:c r="AV294" s="23" t="n">
        <x:v>103.11117357845819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28.46734147815444</x:v>
      </x:c>
      <x:c r="BO294" s="23" t="n">
        <x:v>829.1379169319927</x:v>
      </x:c>
      <x:c r="BP294" s="23" t="n">
        <x:v>801.213343335844</x:v>
      </x:c>
      <x:c r="BQ294" s="23" t="n">
        <x:v>779.5661047917847</x:v>
      </x:c>
      <x:c r="BR294" s="23" t="n">
        <x:v>753.7704698641146</x:v>
      </x:c>
      <x:c r="BS294" s="23" t="n">
        <x:v>744.5220828773117</x:v>
      </x:c>
      <x:c r="BT294" s="23" t="n">
        <x:v>704.3521950959491</x:v>
      </x:c>
      <x:c r="BU294" s="23" t="n">
        <x:v>654.2364173737844</x:v>
      </x:c>
      <x:c r="BV294" s="23" t="n">
        <x:v>646.3226209415957</x:v>
      </x:c>
      <x:c r="BW294" s="23" t="n">
        <x:v>664.190058949735</x:v>
      </x:c>
      <x:c r="BX294" s="23" t="n">
        <x:v>679.8453960978051</x:v>
      </x:c>
      <x:c r="BY294" s="23" t="n">
        <x:v>683.6108605013924</x:v>
      </x:c>
      <x:c r="BZ294" s="23" t="n">
        <x:v>712.6256995290712</x:v>
      </x:c>
      <x:c r="CA294" s="23" t="n">
        <x:v>0</x:v>
      </x:c>
      <x:c r="CB294" s="23" t="n">
        <x:v>0</x:v>
      </x:c>
      <x:c r="CC294" s="23" t="n">
        <x:v>0</x:v>
      </x:c>
      <x:c r="CD294" s="23" t="n">
        <x:v>0</x:v>
      </x:c>
      <x:c r="CE294" s="23" t="n">
        <x:v>23.73176537178187</x:v>
      </x:c>
      <x:c r="CF294" s="23" t="n">
        <x:v>55.00603560386965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1038.874312311953</x:v>
      </x:c>
      <x:c r="CN294" s="23" t="n">
        <x:v>1245.6198787063186</x:v>
      </x:c>
      <x:c r="CO294" s="23" t="n">
        <x:v>459.1764279999348</x:v>
      </x:c>
      <x:c r="CP294" s="23" t="n">
        <x:v>494.93673589579225</x:v>
      </x:c>
      <x:c r="CQ294" s="23" t="n">
        <x:v>555.3185810950732</x:v>
      </x:c>
      <x:c r="CR294" s="23" t="n">
        <x:v>608.6718711626725</x:v>
      </x:c>
      <x:c r="CS294" s="23" t="n">
        <x:v>660.1990952817927</x:v>
      </x:c>
      <x:c r="CT294" s="23" t="n">
        <x:v>715.3359179352244</x:v>
      </x:c>
      <x:c r="CU294" s="23" t="n">
        <x:v>776.0555739730446</x:v>
      </x:c>
      <x:c r="CV294" s="23" t="n">
        <x:v>828.0245828272961</x:v>
      </x:c>
      <x:c r="CW294" s="23" t="n">
        <x:v>876.3754442484515</x:v>
      </x:c>
      <x:c r="CX294" s="23" t="n">
        <x:v>924.3617746234327</x:v>
      </x:c>
      <x:c r="CY294" s="23" t="n">
        <x:v>969.7636984795411</x:v>
      </x:c>
      <x:c r="CZ294" s="23" t="n">
        <x:v>997.6160839024662</x:v>
      </x:c>
      <x:c r="DA294" s="23" t="n">
        <x:v>996.6285928785207</x:v>
      </x:c>
      <x:c r="DB294" s="23" t="n">
        <x:v>1002.02783203125</x:v>
      </x:c>
      <x:c r="DC294" s="23" t="n">
        <x:v>1043.6224898721264</x:v>
      </x:c>
      <x:c r="DD294" s="23" t="n">
        <x:v>907.4046223958333</x:v>
      </x:c>
      <x:c r="DE294" s="23" t="n">
        <x:v>0</x:v>
      </x:c>
      <x:c r="DF294" s="23" t="n">
        <x:v>0</x:v>
      </x:c>
      <x:c r="DG294" s="23" t="n">
        <x:v>0</x:v>
      </x:c>
      <x:c r="DH294" s="23" t="n">
        <x:v>0</x:v>
      </x:c>
      <x:c r="DI294" s="23" t="n">
        <x:v>0</x:v>
      </x:c>
      <x:c r="DJ294" s="23" t="n">
        <x:v>0</x:v>
      </x:c>
      <x:c r="DK294" s="23" t="n">
        <x:v>717.634033203125</x:v>
      </x:c>
      <x:c r="DL294" s="23" t="n">
        <x:v>715.6420084635416</x:v>
      </x:c>
      <x:c r="DM294" s="23" t="n">
        <x:v>676.4639443359365</x:v>
      </x:c>
      <x:c r="DN294" s="23" t="n">
        <x:v>715.5418294270833</x:v>
      </x:c>
      <x:c r="DO294" s="23" t="n">
        <x:v>718.8912760416666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713.22412109375</x:v>
      </x:c>
      <x:c r="DW294" s="23" t="n">
        <x:v>741.683349609375</x:v>
      </x:c>
      <x:c r="DX294" s="23" t="n">
        <x:v>732.7294108072916</x:v>
      </x:c>
      <x:c r="DY294" s="23" t="n">
        <x:v>720.36279296875</x:v>
      </x:c>
      <x:c r="DZ294" s="23" t="n">
        <x:v>722.5564778645833</x:v>
      </x:c>
      <x:c r="EA294" s="23" t="n">
        <x:v>734.5994276171874</x:v>
      </x:c>
      <x:c r="EB294" s="23" t="n">
        <x:v>649.1468912760416</x:v>
      </x:c>
      <x:c r="EC294" s="23" t="n">
        <x:v>1367.3666178385415</x:v>
      </x:c>
      <x:c r="ED294" s="23" t="n">
        <x:v>1366.6478678385415</x:v>
      </x:c>
      <x:c r="EE294" s="23" t="n">
        <x:v>557.780517578125</x:v>
      </x:c>
      <x:c r="EF294" s="23" t="n">
        <x:v>555.2916259765625</x:v>
      </x:c>
      <x:c r="EG294" s="23" t="n">
        <x:v>1383.6702880859375</x:v>
      </x:c>
      <x:c r="EH294" s="23" t="n">
        <x:v>1387.3053792317708</x:v>
      </x:c>
      <x:c r="EI294" s="23" t="n">
        <x:v>842.3158697876485</x:v>
      </x:c>
      <x:c r="EJ294" s="23" t="n">
        <x:v>574.5168050130208</x:v>
      </x:c>
      <x:c r="EK294" s="23" t="n">
        <x:v>570.6485188802083</x:v>
      </x:c>
      <x:c r="EL294" s="23" t="n">
        <x:v>1381.0771077473958</x:v>
      </x:c>
      <x:c r="EM294" s="23" t="n">
        <x:v>566.4845377604166</x:v>
      </x:c>
      <x:c r="EN294" s="23" t="n">
        <x:v>483.7257893880208</x:v>
      </x:c>
      <x:c r="EO294" s="23" t="n">
        <x:v>1255.787109375</x:v>
      </x:c>
      <x:c r="EP294" s="23" t="n">
        <x:f>SUM(B294:EO294)</x:f>
        <x:v>77508.27450913035</x:v>
      </x:c>
      <x:c r="EQ294" s="23" t="n">
        <x:f>SUMPRODUCT(B294:EO294,{0.3907,0.4025,0.4663,0.4714,0.4326,0.4296,0.5103,0.4772,0.3754,0.4401,0.4618,0.3923,0.4008,0.4268,0.4326,0.4464,0.4312,0.4023,0.4185,0.4333,0.44,0.471,0.4551,0.4285,0.4944,0.4961,0.4273,0.4383,0.4474,0.4296,0.4482,0.4514,0.4082,0.3833,0.6049,0.9551,1.0494,0.9822,0.9359,0.9948,1.0039,0.9335,0.9051,0.9029,0.8614,0.784,0.9824,1.3492,1.4244,1.3216,1.2247,1.2061,1.2073,1.1846,1.1424,1.0904,1.0736,1.1227,1.0822,0.9869,1.0194,1.0144,0.9578,0.9814,0.8545,0.6137,0.552,0.5505,0.5268,0.5269,0.537,0.561,0.611,0.6006,0.5388,0.5485,0.7176,0.9493,1.0369,1.0275,0.9899,0.9592,1.0104,1.0898,1.0659,1.0433,1.1013,1.1816,1.04,0.7946,0.8216,0.9097,0.9224,0.9329,0.9501,0.9714,0.9903,0.9615,0.9341,1.0126,1.1046,1.126,1.0786,1.0708,1.123,1.1617,1.1933,1.2424,1.3093,1.3107,1.2577,1.25,1.2791,1.312,1.3208,1.2874,1.245,1.2485,1.2475,1.2514,1.3091,1.2896,1.2265,1.2664,1.1789,0.9818,0.941,0.9403,0.9481,1.0152,0.8088,0.4474,0.41,0.4361,0.3963,0.4266,0.4403,0.4076,0.3998,0.423,0.44,0.4086,0.3658,0.3421})</x:f>
        <x:v>52386.19866620311</x:v>
      </x:c>
    </x:row>
    <x:row r="295" ht="14" customHeight="1">
      <x:c r="A295" s="3">
        <x:v>45982</x:v>
      </x:c>
      <x:c r="B295" s="23" t="n">
        <x:v>408.2685546875</x:v>
      </x:c>
      <x:c r="C295" s="23" t="n">
        <x:v>409.7708333333333</x:v>
      </x:c>
      <x:c r="D295" s="23" t="n">
        <x:v>1251.1073811848958</x:v>
      </x:c>
      <x:c r="E295" s="23" t="n">
        <x:v>410.605224609375</x:v>
      </x:c>
      <x:c r="F295" s="23" t="n">
        <x:v>413.5907796223958</x:v>
      </x:c>
      <x:c r="G295" s="23" t="n">
        <x:v>423.9716389973958</x:v>
      </x:c>
      <x:c r="H295" s="23" t="n">
        <x:v>422.27384440104163</x:v>
      </x:c>
      <x:c r="I295" s="23" t="n">
        <x:v>430.0787353515625</x:v>
      </x:c>
      <x:c r="J295" s="23" t="n">
        <x:v>425.83976236979163</x:v>
      </x:c>
      <x:c r="K295" s="23" t="n">
        <x:v>1258.170450846354</x:v>
      </x:c>
      <x:c r="L295" s="23" t="n">
        <x:v>431.3763427734375</x:v>
      </x:c>
      <x:c r="M295" s="23" t="n">
        <x:v>434.62003580729163</x:v>
      </x:c>
      <x:c r="N295" s="23" t="n">
        <x:v>429.287109375</x:v>
      </x:c>
      <x:c r="O295" s="23" t="n">
        <x:v>425.8478597005208</x:v>
      </x:c>
      <x:c r="P295" s="23" t="n">
        <x:v>427.20166015625</x:v>
      </x:c>
      <x:c r="Q295" s="23" t="n">
        <x:v>437.2093505859375</x:v>
      </x:c>
      <x:c r="R295" s="23" t="n">
        <x:v>628.5264049360699</x:v>
      </x:c>
      <x:c r="S295" s="23" t="n">
        <x:v>433.767578125</x:v>
      </x:c>
      <x:c r="T295" s="23" t="n">
        <x:v>436.2300618489583</x:v>
      </x:c>
      <x:c r="U295" s="23" t="n">
        <x:v>444.23563639322913</x:v>
      </x:c>
      <x:c r="V295" s="23" t="n">
        <x:v>443.0435384114583</x:v>
      </x:c>
      <x:c r="W295" s="23" t="n">
        <x:v>438.7998860677083</x:v>
      </x:c>
      <x:c r="X295" s="23" t="n">
        <x:v>438.94254557291663</x:v>
      </x:c>
      <x:c r="Y295" s="23" t="n">
        <x:v>442.7109375</x:v>
      </x:c>
      <x:c r="Z295" s="23" t="n">
        <x:v>438.003662109375</x:v>
      </x:c>
      <x:c r="AA295" s="23" t="n">
        <x:v>433.8345540364583</x:v>
      </x:c>
      <x:c r="AB295" s="23" t="n">
        <x:v>438.5862630208333</x:v>
      </x:c>
      <x:c r="AC295" s="23" t="n">
        <x:v>440.9773763020833</x:v>
      </x:c>
      <x:c r="AD295" s="23" t="n">
        <x:v>440.96337890625</x:v>
      </x:c>
      <x:c r="AE295" s="23" t="n">
        <x:v>438.30448404947913</x:v>
      </x:c>
      <x:c r="AF295" s="23" t="n">
        <x:v>442.7987874348958</x:v>
      </x:c>
      <x:c r="AG295" s="23" t="n">
        <x:v>446.97257486979163</x:v>
      </x:c>
      <x:c r="AH295" s="23" t="n">
        <x:v>441.8587239583333</x:v>
      </x:c>
      <x:c r="AI295" s="23" t="n">
        <x:v>437.7176513671875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0</x:v>
      </x:c>
      <x:c r="CO295" s="23" t="n">
        <x:v>12.429394757042928</x:v>
      </x:c>
      <x:c r="CP295" s="23" t="n">
        <x:v>74.08363978851199</x:v>
      </x:c>
      <x:c r="CQ295" s="23" t="n">
        <x:v>131.4342851212322</x:v>
      </x:c>
      <x:c r="CR295" s="23" t="n">
        <x:v>180.6209995606585</x:v>
      </x:c>
      <x:c r="CS295" s="23" t="n">
        <x:v>216.33309194323823</x:v>
      </x:c>
      <x:c r="CT295" s="23" t="n">
        <x:v>251.0997943342892</x:v>
      </x:c>
      <x:c r="CU295" s="23" t="n">
        <x:v>311.96816761584176</x:v>
      </x:c>
      <x:c r="CV295" s="23" t="n">
        <x:v>381.7335269261267</x:v>
      </x:c>
      <x:c r="CW295" s="23" t="n">
        <x:v>429.4788783497725</x:v>
      </x:c>
      <x:c r="CX295" s="23" t="n">
        <x:v>429.32607647954376</x:v>
      </x:c>
      <x:c r="CY295" s="23" t="n">
        <x:v>405.48883494939275</x:v>
      </x:c>
      <x:c r="CZ295" s="23" t="n">
        <x:v>437.45677615402985</x:v>
      </x:c>
      <x:c r="DA295" s="23" t="n">
        <x:v>457.2794189453125</x:v>
      </x:c>
      <x:c r="DB295" s="23" t="n">
        <x:v>455.36124674479163</x:v>
      </x:c>
      <x:c r="DC295" s="23" t="n">
        <x:v>451.5590333597905</x:v>
      </x:c>
      <x:c r="DD295" s="23" t="n">
        <x:v>15.336962565104916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456.15091959635413</x:v>
      </x:c>
      <x:c r="DX295" s="23" t="n">
        <x:v>456.6837158203125</x:v>
      </x:c>
      <x:c r="DY295" s="23" t="n">
        <x:v>475.88993326822913</x:v>
      </x:c>
      <x:c r="DZ295" s="23" t="n">
        <x:v>454.13724772135413</x:v>
      </x:c>
      <x:c r="EA295" s="23" t="n">
        <x:v>443.18205717447916</x:v>
      </x:c>
      <x:c r="EB295" s="23" t="n">
        <x:v>443.27018229166663</x:v>
      </x:c>
      <x:c r="EC295" s="23" t="n">
        <x:v>1226.2042236328125</x:v>
      </x:c>
      <x:c r="ED295" s="23" t="n">
        <x:v>1225.413818359375</x:v>
      </x:c>
      <x:c r="EE295" s="23" t="n">
        <x:v>402.697265625</x:v>
      </x:c>
      <x:c r="EF295" s="23" t="n">
        <x:v>397.0302327473958</x:v>
      </x:c>
      <x:c r="EG295" s="23" t="n">
        <x:v>1227.8963623046875</x:v>
      </x:c>
      <x:c r="EH295" s="23" t="n">
        <x:v>679.7350185506693</x:v>
      </x:c>
      <x:c r="EI295" s="23" t="n">
        <x:v>404.0190022786458</x:v>
      </x:c>
      <x:c r="EJ295" s="23" t="n">
        <x:v>403.6403401692708</x:v>
      </x:c>
      <x:c r="EK295" s="23" t="n">
        <x:v>1238.617716471354</x:v>
      </x:c>
      <x:c r="EL295" s="23" t="n">
        <x:v>1235.57275390625</x:v>
      </x:c>
      <x:c r="EM295" s="23" t="n">
        <x:v>1234.4903564453125</x:v>
      </x:c>
      <x:c r="EN295" s="23" t="n">
        <x:v>406.97745768229163</x:v>
      </x:c>
      <x:c r="EO295" s="23" t="n">
        <x:v>408.881591796875</x:v>
      </x:c>
      <x:c r="EP295" s="23" t="n">
        <x:f>SUM(B295:EO295)</x:f>
        <x:v>34406.973932149136</x:v>
      </x:c>
      <x:c r="EQ295" s="23" t="n">
        <x:f>SUMPRODUCT(B295:EO295,{0.3399,0.3561,0.3537,0.301,0.3131,0.357,0.2936,0.2904,0.374,0.3921,0.3514,0.3012,0.286,0.3257,0.3744,0.365,0.3778,0.3985,0.339,0.334,0.3825,0.3505,0.3382,0.3678,0.3568,0.3535,0.3552,0.3143,0.3382,0.3946,0.3452,0.3383,0.3767,0.3419,0.4891,0.7533,0.7813,0.7244,0.7339,0.8061,0.8471,0.8294,0.8017,0.7688,0.7282,0.7069,0.8215,0.9902,0.9934,0.9367,0.8964,0.8566,0.8807,0.9393,0.9256,0.8786,0.8503,0.8475,0.8023,0.7366,0.7348,0.706,0.6789,0.7396,0.568,0.2569,0.2524,0.3567,0.3885,0.3615,0.337,0.3518,0.3947,0.3985,0.3431,0.2955,0.4185,0.6432,0.7203,0.6971,0.6817,0.7323,0.7757,0.7769,0.7717,0.7952,0.8536,0.8932,0.7483,0.5318,0.5388,0.5795,0.5578,0.5752,0.6475,0.719,0.7203,0.7135,0.7433,0.7904,0.7873,0.7535,0.7748,0.8067,0.7872,0.7301,0.8682,1.1227,1.1626,1.1087,1.0873,1.1005,1.1014,1.0873,1.0969,1.1134,1.1131,1.0938,1.1067,1.1414,1.1352,1.1178,1.1175,1.1095,0.9655,0.7954,0.8409,0.8336,0.7555,0.8186,0.6548,0.3132,0.2537,0.3223,0.3547,0.3455,0.3258,0.3154,0.3121,0.3029,0.304,0.3377,0.3298,0.3021})</x:f>
        <x:v>14689.889281240345</x:v>
      </x:c>
    </x:row>
    <x:row r="296" ht="14" customHeight="1">
      <x:c r="A296" s="3">
        <x:v>45983</x:v>
      </x:c>
      <x:c r="B296" s="23" t="n">
        <x:v>411.2532552083333</x:v>
      </x:c>
      <x:c r="C296" s="23" t="n">
        <x:v>416.4053548177083</x:v>
      </x:c>
      <x:c r="D296" s="23" t="n">
        <x:v>613.6706202751175</x:v>
      </x:c>
      <x:c r="E296" s="23" t="n">
        <x:v>412.1534016927083</x:v>
      </x:c>
      <x:c r="F296" s="23" t="n">
        <x:v>423.5986328125</x:v>
      </x:c>
      <x:c r="G296" s="23" t="n">
        <x:v>428.1465657552083</x:v>
      </x:c>
      <x:c r="H296" s="23" t="n">
        <x:v>427.31396484375</x:v>
      </x:c>
      <x:c r="I296" s="23" t="n">
        <x:v>420.99296061197913</x:v>
      </x:c>
      <x:c r="J296" s="23" t="n">
        <x:v>425.2130940755208</x:v>
      </x:c>
      <x:c r="K296" s="23" t="n">
        <x:v>428.6751708984375</x:v>
      </x:c>
      <x:c r="L296" s="23" t="n">
        <x:v>432.4327392578125</x:v>
      </x:c>
      <x:c r="M296" s="23" t="n">
        <x:v>433.53922526041663</x:v>
      </x:c>
      <x:c r="N296" s="23" t="n">
        <x:v>433.3336181640625</x:v>
      </x:c>
      <x:c r="O296" s="23" t="n">
        <x:v>429.07047526041663</x:v>
      </x:c>
      <x:c r="P296" s="23" t="n">
        <x:v>427.91215006510413</x:v>
      </x:c>
      <x:c r="Q296" s="23" t="n">
        <x:v>438.42333984375</x:v>
      </x:c>
      <x:c r="R296" s="23" t="n">
        <x:v>448.6326497395833</x:v>
      </x:c>
      <x:c r="S296" s="23" t="n">
        <x:v>439.0552978515625</x:v>
      </x:c>
      <x:c r="T296" s="23" t="n">
        <x:v>440.0479736328125</x:v>
      </x:c>
      <x:c r="U296" s="23" t="n">
        <x:v>449.827392578125</x:v>
      </x:c>
      <x:c r="V296" s="23" t="n">
        <x:v>453.61234537760413</x:v>
      </x:c>
      <x:c r="W296" s="23" t="n">
        <x:v>454.0099690755208</x:v>
      </x:c>
      <x:c r="X296" s="23" t="n">
        <x:v>451.1751302083333</x:v>
      </x:c>
      <x:c r="Y296" s="23" t="n">
        <x:v>450.216796875</x:v>
      </x:c>
      <x:c r="Z296" s="23" t="n">
        <x:v>445.649658203125</x:v>
      </x:c>
      <x:c r="AA296" s="23" t="n">
        <x:v>436.1841634114583</x:v>
      </x:c>
      <x:c r="AB296" s="23" t="n">
        <x:v>437.9425862630208</x:v>
      </x:c>
      <x:c r="AC296" s="23" t="n">
        <x:v>1280.4933268229165</x:v>
      </x:c>
      <x:c r="AD296" s="23" t="n">
        <x:v>1281.7083333333333</x:v>
      </x:c>
      <x:c r="AE296" s="23" t="n">
        <x:v>437.94401041666663</x:v>
      </x:c>
      <x:c r="AF296" s="23" t="n">
        <x:v>441.3761800130208</x:v>
      </x:c>
      <x:c r="AG296" s="23" t="n">
        <x:v>444.7850341796875</x:v>
      </x:c>
      <x:c r="AH296" s="23" t="n">
        <x:v>443.6286214192708</x:v>
      </x:c>
      <x:c r="AI296" s="23" t="n">
        <x:v>436.3559163411458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23.639427693196616</x:v>
      </x:c>
      <x:c r="CP296" s="23" t="n">
        <x:v>67.73864904281223</x:v>
      </x:c>
      <x:c r="CQ296" s="23" t="n">
        <x:v>103.37590150080655</x:v>
      </x:c>
      <x:c r="CR296" s="23" t="n">
        <x:v>150.43401999657544</x:v>
      </x:c>
      <x:c r="CS296" s="23" t="n">
        <x:v>232.79467963210007</x:v>
      </x:c>
      <x:c r="CT296" s="23" t="n">
        <x:v>260.3705923850318</x:v>
      </x:c>
      <x:c r="CU296" s="23" t="n">
        <x:v>312.32979702554957</x:v>
      </x:c>
      <x:c r="CV296" s="23" t="n">
        <x:v>361.98177670588666</x:v>
      </x:c>
      <x:c r="CW296" s="23" t="n">
        <x:v>424.37575100412823</x:v>
      </x:c>
      <x:c r="CX296" s="23" t="n">
        <x:v>433.05139542282564</x:v>
      </x:c>
      <x:c r="CY296" s="23" t="n">
        <x:v>406.0288905285384</x:v>
      </x:c>
      <x:c r="CZ296" s="23" t="n">
        <x:v>426.9316428209436</x:v>
      </x:c>
      <x:c r="DA296" s="23" t="n">
        <x:v>448.18546549479163</x:v>
      </x:c>
      <x:c r="DB296" s="23" t="n">
        <x:v>452.2132568359375</x:v>
      </x:c>
      <x:c r="DC296" s="23" t="n">
        <x:v>446.71549719890874</x:v>
      </x:c>
      <x:c r="DD296" s="23" t="n">
        <x:v>0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453.07373046875</x:v>
      </x:c>
      <x:c r="DX296" s="23" t="n">
        <x:v>456.8485921223958</x:v>
      </x:c>
      <x:c r="DY296" s="23" t="n">
        <x:v>456.8687337239583</x:v>
      </x:c>
      <x:c r="DZ296" s="23" t="n">
        <x:v>459.373291015625</x:v>
      </x:c>
      <x:c r="EA296" s="23" t="n">
        <x:v>443.5326696744777</x:v>
      </x:c>
      <x:c r="EB296" s="23" t="n">
        <x:v>451.1436767578125</x:v>
      </x:c>
      <x:c r="EC296" s="23" t="n">
        <x:v>1228.5267740885415</x:v>
      </x:c>
      <x:c r="ED296" s="23" t="n">
        <x:v>1220.2530517578125</x:v>
      </x:c>
      <x:c r="EE296" s="23" t="n">
        <x:v>1234.4086507161458</x:v>
      </x:c>
      <x:c r="EF296" s="23" t="n">
        <x:v>1233.126220703125</x:v>
      </x:c>
      <x:c r="EG296" s="23" t="n">
        <x:v>1233.438517252604</x:v>
      </x:c>
      <x:c r="EH296" s="23" t="n">
        <x:v>1238.2159423828125</x:v>
      </x:c>
      <x:c r="EI296" s="23" t="n">
        <x:v>416.70878092447913</x:v>
      </x:c>
      <x:c r="EJ296" s="23" t="n">
        <x:v>404.41031901041663</x:v>
      </x:c>
      <x:c r="EK296" s="23" t="n">
        <x:v>406.7022705078125</x:v>
      </x:c>
      <x:c r="EL296" s="23" t="n">
        <x:v>498.33357697562997</x:v>
      </x:c>
      <x:c r="EM296" s="23" t="n">
        <x:v>1239.276123046875</x:v>
      </x:c>
      <x:c r="EN296" s="23" t="n">
        <x:v>420.75504557291663</x:v>
      </x:c>
      <x:c r="EO296" s="23" t="n">
        <x:v>0</x:v>
      </x:c>
      <x:c r="EP296" s="23" t="n">
        <x:f>SUM(B296:EO296)</x:f>
        <x:v>34719.94266457524</x:v>
      </x:c>
      <x:c r="EQ296" s="23" t="n">
        <x:f>SUMPRODUCT(B296:EO296,{0.3411,0.3188,0.2644,0.3367,0.37,0.3241,0.3293,0.364,0.3665,0.3124,0.3172,0.3528,0.2903,0.3011,0.3695,0.307,0.2797,0.3439,0.3759,0.3415,0.3057,0.3589,0.4021,0.3943,0.3838,0.3514,0.3197,0.3412,0.3525,0.3403,0.3544,0.3742,0.3538,0.3101,0.5202,0.8403,0.8273,0.7722,0.8007,0.754,0.7441,0.7947,0.8021,0.7925,0.7545,0.6722,0.7814,1.0132,1.0407,0.9751,0.9169,0.8659,0.9054,0.9799,0.9394,0.8951,0.8818,0.8306,0.8282,0.8602,0.8162,0.7655,0.7518,0.7265,0.5719,0.3734,0.343,0.3253,0.2751,0.2986,0.299,0.2907,0.3753,0.3558,0.2376,0.2564,0.4483,0.6691,0.7167,0.6657,0.6397,0.7015,0.7619,0.7856,0.8124,0.8195,0.8153,0.815,0.6802,0.5139,0.5715,0.6113,0.563,0.5975,0.6608,0.7064,0.7511,0.7949,0.8355,0.8647,0.8416,0.7842,0.7606,0.7695,0.7668,0.7388,0.8751,1.087,1.082,1.0628,1.1136,1.1141,1.1045,1.1085,1.1027,1.1129,1.1267,1.1016,1.0796,1.1067,1.1753,1.1457,1.0741,1.1272,1.018,0.7874,0.7823,0.8103,0.7894,0.8036,0.6191,0.3304,0.3039,0.3595,0.3506,0.3138,0.3173,0.3518,0.3486,0.3349,0.3318,0.3388,0.388,0.4393})</x:f>
        <x:v>14872.757731901438</x:v>
      </x:c>
    </x:row>
    <x:row r="297" ht="14" customHeight="1">
      <x:c r="A297" s="3">
        <x:v>45984</x:v>
      </x:c>
      <x:c r="B297" s="23" t="n">
        <x:v>1412.5338541666665</x:v>
      </x:c>
      <x:c r="C297" s="23" t="n">
        <x:v>1394.450439453125</x:v>
      </x:c>
      <x:c r="D297" s="23" t="n">
        <x:v>1405.6284993489583</x:v>
      </x:c>
      <x:c r="E297" s="23" t="n">
        <x:v>569.8618570963541</x:v>
      </x:c>
      <x:c r="F297" s="23" t="n">
        <x:v>572.6393636067708</x:v>
      </x:c>
      <x:c r="G297" s="23" t="n">
        <x:v>586.3785807291666</x:v>
      </x:c>
      <x:c r="H297" s="23" t="n">
        <x:v>581.7723795572916</x:v>
      </x:c>
      <x:c r="I297" s="23" t="n">
        <x:v>569.0428059895833</x:v>
      </x:c>
      <x:c r="J297" s="23" t="n">
        <x:v>566.6901448567708</x:v>
      </x:c>
      <x:c r="K297" s="23" t="n">
        <x:v>1409.4783935546875</x:v>
      </x:c>
      <x:c r="L297" s="23" t="n">
        <x:v>579.1578369140625</x:v>
      </x:c>
      <x:c r="M297" s="23" t="n">
        <x:v>582.6291910807291</x:v>
      </x:c>
      <x:c r="N297" s="23" t="n">
        <x:v>586.3979085286458</x:v>
      </x:c>
      <x:c r="O297" s="23" t="n">
        <x:v>575.4297281901041</x:v>
      </x:c>
      <x:c r="P297" s="23" t="n">
        <x:v>589.1376139322916</x:v>
      </x:c>
      <x:c r="Q297" s="23" t="n">
        <x:v>599.5600179036458</x:v>
      </x:c>
      <x:c r="R297" s="23" t="n">
        <x:v>602.1715087890625</x:v>
      </x:c>
      <x:c r="S297" s="23" t="n">
        <x:v>569.2567952473958</x:v>
      </x:c>
      <x:c r="T297" s="23" t="n">
        <x:v>597.1858317057291</x:v>
      </x:c>
      <x:c r="U297" s="23" t="n">
        <x:v>603.2176513671875</x:v>
      </x:c>
      <x:c r="V297" s="23" t="n">
        <x:v>602.3895263671875</x:v>
      </x:c>
      <x:c r="W297" s="23" t="n">
        <x:v>603.1903483072916</x:v>
      </x:c>
      <x:c r="X297" s="23" t="n">
        <x:v>1121.5127426697525</x:v>
      </x:c>
      <x:c r="Y297" s="23" t="n">
        <x:v>603.8728434244791</x:v>
      </x:c>
      <x:c r="Z297" s="23" t="n">
        <x:v>603.873046875</x:v>
      </x:c>
      <x:c r="AA297" s="23" t="n">
        <x:v>600.6531575520833</x:v>
      </x:c>
      <x:c r="AB297" s="23" t="n">
        <x:v>602.1686197916666</x:v>
      </x:c>
      <x:c r="AC297" s="23" t="n">
        <x:v>1441.2251790364583</x:v>
      </x:c>
      <x:c r="AD297" s="23" t="n">
        <x:v>602.5823160807291</x:v>
      </x:c>
      <x:c r="AE297" s="23" t="n">
        <x:v>594.3689371744791</x:v>
      </x:c>
      <x:c r="AF297" s="23" t="n">
        <x:v>603.6708984375</x:v>
      </x:c>
      <x:c r="AG297" s="23" t="n">
        <x:v>614.119140625</x:v>
      </x:c>
      <x:c r="AH297" s="23" t="n">
        <x:v>608.7485758463541</x:v>
      </x:c>
      <x:c r="AI297" s="23" t="n">
        <x:v>1420.4586181640625</x:v>
      </x:c>
      <x:c r="AJ297" s="23" t="n">
        <x:v>627.1658935546875</x:v>
      </x:c>
      <x:c r="AK297" s="23" t="n">
        <x:v>284.16576319468106</x:v>
      </x:c>
      <x:c r="AL297" s="23" t="n">
        <x:v>0</x:v>
      </x:c>
      <x:c r="AM297" s="23" t="n">
        <x:v>776.5816599082697</x:v>
      </x:c>
      <x:c r="AN297" s="23" t="n">
        <x:v>802.6602376302083</x:v>
      </x:c>
      <x:c r="AO297" s="23" t="n">
        <x:v>802.619384765625</x:v>
      </x:c>
      <x:c r="AP297" s="23" t="n">
        <x:v>783.4696539736278</x:v>
      </x:c>
      <x:c r="AQ297" s="23" t="n">
        <x:v>757.6903719746153</x:v>
      </x:c>
      <x:c r="AR297" s="23" t="n">
        <x:v>715.8029336169693</x:v>
      </x:c>
      <x:c r="AS297" s="23" t="n">
        <x:v>674.9961876215865</x:v>
      </x:c>
      <x:c r="AT297" s="23" t="n">
        <x:v>621.5838995942236</x:v>
      </x:c>
      <x:c r="AU297" s="23" t="n">
        <x:v>525.4682622403567</x:v>
      </x:c>
      <x:c r="AV297" s="23" t="n">
        <x:v>0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18.91930695266516</x:v>
      </x:c>
      <x:c r="BO297" s="23" t="n">
        <x:v>826.8687721445069</x:v>
      </x:c>
      <x:c r="BP297" s="23" t="n">
        <x:v>795.0482703179661</x:v>
      </x:c>
      <x:c r="BQ297" s="23" t="n">
        <x:v>772.0615210371136</x:v>
      </x:c>
      <x:c r="BR297" s="23" t="n">
        <x:v>762.4478850866228</x:v>
      </x:c>
      <x:c r="BS297" s="23" t="n">
        <x:v>764.5209856769131</x:v>
      </x:c>
      <x:c r="BT297" s="23" t="n">
        <x:v>726.93720078978</x:v>
      </x:c>
      <x:c r="BU297" s="23" t="n">
        <x:v>702.2170903987965</x:v>
      </x:c>
      <x:c r="BV297" s="23" t="n">
        <x:v>694.1017017283066</x:v>
      </x:c>
      <x:c r="BW297" s="23" t="n">
        <x:v>714.9704696826757</x:v>
      </x:c>
      <x:c r="BX297" s="23" t="n">
        <x:v>727.9847457491906</x:v>
      </x:c>
      <x:c r="BY297" s="23" t="n">
        <x:v>737.7906166149647</x:v>
      </x:c>
      <x:c r="BZ297" s="23" t="n">
        <x:v>747.5440456209656</x:v>
      </x:c>
      <x:c r="CA297" s="23" t="n">
        <x:v>0</x:v>
      </x:c>
      <x:c r="CB297" s="23" t="n">
        <x:v>0</x:v>
      </x:c>
      <x:c r="CC297" s="23" t="n">
        <x:v>5.932952951964883</x:v>
      </x:c>
      <x:c r="CD297" s="23" t="n">
        <x:v>20.174255303254842</x:v>
      </x:c>
      <x:c r="CE297" s="23" t="n">
        <x:v>56.3477114328269</x:v>
      </x:c>
      <x:c r="CF297" s="23" t="n">
        <x:v>89.09352091880797</x:v>
      </x:c>
      <x:c r="CG297" s="23" t="n">
        <x:v>120.92526300317664</x:v>
      </x:c>
      <x:c r="CH297" s="23" t="n">
        <x:v>157.62493667289937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789.4558000665735</x:v>
      </x:c>
      <x:c r="CN297" s="23" t="n">
        <x:v>1250.27611269381</x:v>
      </x:c>
      <x:c r="CO297" s="23" t="n">
        <x:v>471.1596374880736</x:v>
      </x:c>
      <x:c r="CP297" s="23" t="n">
        <x:v>517.2475154271842</x:v>
      </x:c>
      <x:c r="CQ297" s="23" t="n">
        <x:v>574.4307581053788</x:v>
      </x:c>
      <x:c r="CR297" s="23" t="n">
        <x:v>623.6554501575275</x:v>
      </x:c>
      <x:c r="CS297" s="23" t="n">
        <x:v>663.3663494207315</x:v>
      </x:c>
      <x:c r="CT297" s="23" t="n">
        <x:v>726.3862243202639</x:v>
      </x:c>
      <x:c r="CU297" s="23" t="n">
        <x:v>788.5921196054576</x:v>
      </x:c>
      <x:c r="CV297" s="23" t="n">
        <x:v>842.324756092453</x:v>
      </x:c>
      <x:c r="CW297" s="23" t="n">
        <x:v>887.8512021182489</x:v>
      </x:c>
      <x:c r="CX297" s="23" t="n">
        <x:v>947.9362933026038</x:v>
      </x:c>
      <x:c r="CY297" s="23" t="n">
        <x:v>1000.8084660084678</x:v>
      </x:c>
      <x:c r="CZ297" s="23" t="n">
        <x:v>1006.9206717157576</x:v>
      </x:c>
      <x:c r="DA297" s="23" t="n">
        <x:v>1016.8265787760416</x:v>
      </x:c>
      <x:c r="DB297" s="23" t="n">
        <x:v>1028.3819986979165</x:v>
      </x:c>
      <x:c r="DC297" s="23" t="n">
        <x:v>1045.555931872906</x:v>
      </x:c>
      <x:c r="DD297" s="23" t="n">
        <x:v>910.5121256510416</x:v>
      </x:c>
      <x:c r="DE297" s="23" t="n">
        <x:v>0</x:v>
      </x:c>
      <x:c r="DF297" s="23" t="n">
        <x:v>0</x:v>
      </x:c>
      <x:c r="DG297" s="23" t="n">
        <x:v>675.4574381510416</x:v>
      </x:c>
      <x:c r="DH297" s="23" t="n">
        <x:v>0</x:v>
      </x:c>
      <x:c r="DI297" s="23" t="n">
        <x:v>0</x:v>
      </x:c>
      <x:c r="DJ297" s="23" t="n">
        <x:v>0</x:v>
      </x:c>
      <x:c r="DK297" s="23" t="n">
        <x:v>671.1909993489583</x:v>
      </x:c>
      <x:c r="DL297" s="23" t="n">
        <x:v>477.82981161458144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686.7659505208333</x:v>
      </x:c>
      <x:c r="DS297" s="23" t="n">
        <x:v>692.2891438802083</x:v>
      </x:c>
      <x:c r="DT297" s="23" t="n">
        <x:v>0</x:v>
      </x:c>
      <x:c r="DU297" s="23" t="n">
        <x:v>0</x:v>
      </x:c>
      <x:c r="DV297" s="23" t="n">
        <x:v>692.0559388802086</x:v>
      </x:c>
      <x:c r="DW297" s="23" t="n">
        <x:v>697.8423665364583</x:v>
      </x:c>
      <x:c r="DX297" s="23" t="n">
        <x:v>697.5704752604166</x:v>
      </x:c>
      <x:c r="DY297" s="23" t="n">
        <x:v>693.216552734375</x:v>
      </x:c>
      <x:c r="DZ297" s="23" t="n">
        <x:v>716.9528258905607</x:v>
      </x:c>
      <x:c r="EA297" s="23" t="n">
        <x:v>721.1224772135416</x:v>
      </x:c>
      <x:c r="EB297" s="23" t="n">
        <x:v>627.8033854166666</x:v>
      </x:c>
      <x:c r="EC297" s="23" t="n">
        <x:v>542.910888671875</x:v>
      </x:c>
      <x:c r="ED297" s="23" t="n">
        <x:v>1368.1857096354165</x:v>
      </x:c>
      <x:c r="EE297" s="23" t="n">
        <x:v>542.3968505859375</x:v>
      </x:c>
      <x:c r="EF297" s="23" t="n">
        <x:v>552.8570963541666</x:v>
      </x:c>
      <x:c r="EG297" s="23" t="n">
        <x:v>1377.8995768229165</x:v>
      </x:c>
      <x:c r="EH297" s="23" t="n">
        <x:v>804.4917363964441</x:v>
      </x:c>
      <x:c r="EI297" s="23" t="n">
        <x:v>1388.7940266927083</x:v>
      </x:c>
      <x:c r="EJ297" s="23" t="n">
        <x:v>1389.209269205729</x:v>
      </x:c>
      <x:c r="EK297" s="23" t="n">
        <x:v>1392.53369140625</x:v>
      </x:c>
      <x:c r="EL297" s="23" t="n">
        <x:v>1390.137247721354</x:v>
      </x:c>
      <x:c r="EM297" s="23" t="n">
        <x:v>549.8326009114583</x:v>
      </x:c>
      <x:c r="EN297" s="23" t="n">
        <x:v>562.4579264322916</x:v>
      </x:c>
      <x:c r="EO297" s="23" t="n">
        <x:v>584.9672037760416</x:v>
      </x:c>
      <x:c r="EP297" s="23" t="n">
        <x:f>SUM(B297:EO297)</x:f>
        <x:v>77977.62903410943</x:v>
      </x:c>
      <x:c r="EQ297" s="23" t="n">
        <x:f>SUMPRODUCT(B297:EO297,{0.4199,0.4449,0.5058,0.4716,0.4045,0.3744,0.3966,0.438,0.4508,0.4135,0.416,0.4395,0.387,0.3848,0.4529,0.4804,0.4864,0.4731,0.4237,0.4442,0.5077,0.4797,0.4476,0.4555,0.462,0.4838,0.5094,0.5007,0.4849,0.4665,0.4329,0.4526,0.4721,0.4114,0.6288,0.9969,0.9999,0.9391,0.9785,0.9804,0.9872,1.0059,0.9828,0.9557,0.9051,0.8168,0.9969,1.3258,1.346,1.2687,1.2564,1.2597,1.2658,1.2441,1.1667,1.1272,1.1429,1.1452,1.1507,1.1632,1.1527,1.0935,1.0398,1.0507,0.9056,0.664,0.6283,0.6748,0.6743,0.6219,0.5888,0.5738,0.527,0.5529,0.5803,0.4636,0.5922,0.8759,0.8313,0.8405,0.9834,0.9492,0.9509,1.037,1.0236,0.9966,1.0468,1.1439,1.0524,0.8314,0.7866,0.8328,0.8691,0.8866,0.906,0.9463,1.0016,1.0039,0.9777,1.02,1.0877,1.1288,1.1272,1.1023,1.0662,1.0423,1.1493,1.3155,1.3306,1.2849,1.2791,1.3209,1.3161,1.2689,1.2744,1.3009,1.3188,1.3265,1.296,1.2606,1.2822,1.2685,1.2518,1.3256,1.1929,0.9332,0.9363,0.9446,0.8891,0.9283,0.734,0.4107,0.4205,0.4402,0.3495,0.3593,0.3916,0.4022,0.4323,0.4246,0.3852,0.386,0.4063,0.4344})</x:f>
        <x:v>52919.53907904777</x:v>
      </x:c>
    </x:row>
    <x:row r="298" ht="14" customHeight="1">
      <x:c r="A298" s="3">
        <x:v>45985</x:v>
      </x:c>
      <x:c r="B298" s="23" t="n">
        <x:v>1398.904093424479</x:v>
      </x:c>
      <x:c r="C298" s="23" t="n">
        <x:v>1390.4919026692708</x:v>
      </x:c>
      <x:c r="D298" s="23" t="n">
        <x:v>576.7934163411458</x:v>
      </x:c>
      <x:c r="E298" s="23" t="n">
        <x:v>580.8158365885416</x:v>
      </x:c>
      <x:c r="F298" s="23" t="n">
        <x:v>579.2672119140625</x:v>
      </x:c>
      <x:c r="G298" s="23" t="n">
        <x:v>587.1945393880208</x:v>
      </x:c>
      <x:c r="H298" s="23" t="n">
        <x:v>585.901611328125</x:v>
      </x:c>
      <x:c r="I298" s="23" t="n">
        <x:v>579.9437255859375</x:v>
      </x:c>
      <x:c r="J298" s="23" t="n">
        <x:v>582.8583984375</x:v>
      </x:c>
      <x:c r="K298" s="23" t="n">
        <x:v>574.1685791015625</x:v>
      </x:c>
      <x:c r="L298" s="23" t="n">
        <x:v>586.8428548177083</x:v>
      </x:c>
      <x:c r="M298" s="23" t="n">
        <x:v>597.82470703125</x:v>
      </x:c>
      <x:c r="N298" s="23" t="n">
        <x:v>597.1562906901041</x:v>
      </x:c>
      <x:c r="O298" s="23" t="n">
        <x:v>1412.7207845052083</x:v>
      </x:c>
      <x:c r="P298" s="23" t="n">
        <x:v>567.6752522786458</x:v>
      </x:c>
      <x:c r="Q298" s="23" t="n">
        <x:v>590.53466796875</x:v>
      </x:c>
      <x:c r="R298" s="23" t="n">
        <x:v>598.3506266276041</x:v>
      </x:c>
      <x:c r="S298" s="23" t="n">
        <x:v>602.0933024088541</x:v>
      </x:c>
      <x:c r="T298" s="23" t="n">
        <x:v>595.6280924479166</x:v>
      </x:c>
      <x:c r="U298" s="23" t="n">
        <x:v>595.5593668619791</x:v>
      </x:c>
      <x:c r="V298" s="23" t="n">
        <x:v>602.29541015625</x:v>
      </x:c>
      <x:c r="W298" s="23" t="n">
        <x:v>599.4070638020833</x:v>
      </x:c>
      <x:c r="X298" s="23" t="n">
        <x:v>601.1947835286458</x:v>
      </x:c>
      <x:c r="Y298" s="23" t="n">
        <x:v>597.4539794921875</x:v>
      </x:c>
      <x:c r="Z298" s="23" t="n">
        <x:v>598.6579182942708</x:v>
      </x:c>
      <x:c r="AA298" s="23" t="n">
        <x:v>1041.4499808746455</x:v>
      </x:c>
      <x:c r="AB298" s="23" t="n">
        <x:v>598.5663248697916</x:v>
      </x:c>
      <x:c r="AC298" s="23" t="n">
        <x:v>1441.0714518229165</x:v>
      </x:c>
      <x:c r="AD298" s="23" t="n">
        <x:v>605.9789225260416</x:v>
      </x:c>
      <x:c r="AE298" s="23" t="n">
        <x:v>602.3603922526041</x:v>
      </x:c>
      <x:c r="AF298" s="23" t="n">
        <x:v>604.7325439453125</x:v>
      </x:c>
      <x:c r="AG298" s="23" t="n">
        <x:v>608.2542317708333</x:v>
      </x:c>
      <x:c r="AH298" s="23" t="n">
        <x:v>1435.0233154296875</x:v>
      </x:c>
      <x:c r="AI298" s="23" t="n">
        <x:v>1428.564697265625</x:v>
      </x:c>
      <x:c r="AJ298" s="23" t="n">
        <x:v>648.5963948567708</x:v>
      </x:c>
      <x:c r="AK298" s="23" t="n">
        <x:v>0</x:v>
      </x:c>
      <x:c r="AL298" s="23" t="n">
        <x:v>432.0523841208524</x:v>
      </x:c>
      <x:c r="AM298" s="23" t="n">
        <x:v>791.2859946434346</x:v>
      </x:c>
      <x:c r="AN298" s="23" t="n">
        <x:v>796.8876953125</x:v>
      </x:c>
      <x:c r="AO298" s="23" t="n">
        <x:v>800.6773274739583</x:v>
      </x:c>
      <x:c r="AP298" s="23" t="n">
        <x:v>784.1811993127936</x:v>
      </x:c>
      <x:c r="AQ298" s="23" t="n">
        <x:v>759.6764894905727</x:v>
      </x:c>
      <x:c r="AR298" s="23" t="n">
        <x:v>717.7250127812997</x:v>
      </x:c>
      <x:c r="AS298" s="23" t="n">
        <x:v>669.1845767146209</x:v>
      </x:c>
      <x:c r="AT298" s="23" t="n">
        <x:v>623.7208675296301</x:v>
      </x:c>
      <x:c r="AU298" s="23" t="n">
        <x:v>561.826260695415</x:v>
      </x:c>
      <x:c r="AV298" s="23" t="n">
        <x:v>0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33.255596070020296</x:v>
      </x:c>
      <x:c r="BO298" s="23" t="n">
        <x:v>838.579006701335</x:v>
      </x:c>
      <x:c r="BP298" s="23" t="n">
        <x:v>823.8248384354079</x:v>
      </x:c>
      <x:c r="BQ298" s="23" t="n">
        <x:v>802.6729608755713</x:v>
      </x:c>
      <x:c r="BR298" s="23" t="n">
        <x:v>777.7829426953472</x:v>
      </x:c>
      <x:c r="BS298" s="23" t="n">
        <x:v>771.8217290695859</x:v>
      </x:c>
      <x:c r="BT298" s="23" t="n">
        <x:v>742.8431782919465</x:v>
      </x:c>
      <x:c r="BU298" s="23" t="n">
        <x:v>706.9722148896881</x:v>
      </x:c>
      <x:c r="BV298" s="23" t="n">
        <x:v>707.5243332561132</x:v>
      </x:c>
      <x:c r="BW298" s="23" t="n">
        <x:v>695.4285668276145</x:v>
      </x:c>
      <x:c r="BX298" s="23" t="n">
        <x:v>676.7737763263024</x:v>
      </x:c>
      <x:c r="BY298" s="23" t="n">
        <x:v>685.8267841341913</x:v>
      </x:c>
      <x:c r="BZ298" s="23" t="n">
        <x:v>728.7685353784092</x:v>
      </x:c>
      <x:c r="CA298" s="23" t="n">
        <x:v>0</x:v>
      </x:c>
      <x:c r="CB298" s="23" t="n">
        <x:v>0</x:v>
      </x:c>
      <x:c r="CC298" s="23" t="n">
        <x:v>0</x:v>
      </x:c>
      <x:c r="CD298" s="23" t="n">
        <x:v>2.2681872923044466</x:v>
      </x:c>
      <x:c r="CE298" s="23" t="n">
        <x:v>34.373425387429194</x:v>
      </x:c>
      <x:c r="CF298" s="23" t="n">
        <x:v>63.437230695071776</x:v>
      </x:c>
      <x:c r="CG298" s="23" t="n">
        <x:v>98.13865220745416</x:v>
      </x:c>
      <x:c r="CH298" s="23" t="n">
        <x:v>131.2096557581799</x:v>
      </x:c>
      <x:c r="CI298" s="23" t="n">
        <x:v>0</x:v>
      </x:c>
      <x:c r="CJ298" s="23" t="n">
        <x:v>0</x:v>
      </x:c>
      <x:c r="CK298" s="23" t="n">
        <x:v>0</x:v>
      </x:c>
      <x:c r="CL298" s="23" t="n">
        <x:v>310.6609985591223</x:v>
      </x:c>
      <x:c r="CM298" s="23" t="n">
        <x:v>1191.1584387465887</x:v>
      </x:c>
      <x:c r="CN298" s="23" t="n">
        <x:v>404.1226872273046</x:v>
      </x:c>
      <x:c r="CO298" s="23" t="n">
        <x:v>452.26191213352297</x:v>
      </x:c>
      <x:c r="CP298" s="23" t="n">
        <x:v>505.62281866358035</x:v>
      </x:c>
      <x:c r="CQ298" s="23" t="n">
        <x:v>542.5394073393843</x:v>
      </x:c>
      <x:c r="CR298" s="23" t="n">
        <x:v>601.6114324023641</x:v>
      </x:c>
      <x:c r="CS298" s="23" t="n">
        <x:v>669.8403594437426</x:v>
      </x:c>
      <x:c r="CT298" s="23" t="n">
        <x:v>725.4430437475291</x:v>
      </x:c>
      <x:c r="CU298" s="23" t="n">
        <x:v>775.0404862266203</x:v>
      </x:c>
      <x:c r="CV298" s="23" t="n">
        <x:v>836.5378226551162</x:v>
      </x:c>
      <x:c r="CW298" s="23" t="n">
        <x:v>892.1306110034441</x:v>
      </x:c>
      <x:c r="CX298" s="23" t="n">
        <x:v>944.92566672051</x:v>
      </x:c>
      <x:c r="CY298" s="23" t="n">
        <x:v>986.0038185277099</x:v>
      </x:c>
      <x:c r="CZ298" s="23" t="n">
        <x:v>1012.107813189504</x:v>
      </x:c>
      <x:c r="DA298" s="23" t="n">
        <x:v>1026.2256673177083</x:v>
      </x:c>
      <x:c r="DB298" s="23" t="n">
        <x:v>1009.7486165364583</x:v>
      </x:c>
      <x:c r="DC298" s="23" t="n">
        <x:v>1030.543694524993</x:v>
      </x:c>
      <x:c r="DD298" s="23" t="n">
        <x:v>909.7491048177083</x:v>
      </x:c>
      <x:c r="DE298" s="23" t="n">
        <x:v>0</x:v>
      </x:c>
      <x:c r="DF298" s="23" t="n">
        <x:v>0</x:v>
      </x:c>
      <x:c r="DG298" s="23" t="n">
        <x:v>712.6713053385416</x:v>
      </x:c>
      <x:c r="DH298" s="23" t="n">
        <x:v>712.845458984375</x:v>
      </x:c>
      <x:c r="DI298" s="23" t="n">
        <x:v>0</x:v>
      </x:c>
      <x:c r="DJ298" s="23" t="n">
        <x:v>0</x:v>
      </x:c>
      <x:c r="DK298" s="23" t="n">
        <x:v>706.6000162760416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621.5665406901024</x:v>
      </x:c>
      <x:c r="DQ298" s="23" t="n">
        <x:v>701.8077799479166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723.6139322916666</x:v>
      </x:c>
      <x:c r="DW298" s="23" t="n">
        <x:v>740.35498046875</x:v>
      </x:c>
      <x:c r="DX298" s="23" t="n">
        <x:v>711.840576171875</x:v>
      </x:c>
      <x:c r="DY298" s="23" t="n">
        <x:v>711.5927969473378</x:v>
      </x:c>
      <x:c r="DZ298" s="23" t="n">
        <x:v>716.8770345052083</x:v>
      </x:c>
      <x:c r="EA298" s="23" t="n">
        <x:v>727.2563758072916</x:v>
      </x:c>
      <x:c r="EB298" s="23" t="n">
        <x:v>646.7720631119792</x:v>
      </x:c>
      <x:c r="EC298" s="23" t="n">
        <x:v>565.0300699869791</x:v>
      </x:c>
      <x:c r="ED298" s="23" t="n">
        <x:v>1376.301066080729</x:v>
      </x:c>
      <x:c r="EE298" s="23" t="n">
        <x:v>1377.9735107421875</x:v>
      </x:c>
      <x:c r="EF298" s="23" t="n">
        <x:v>546.7928466796875</x:v>
      </x:c>
      <x:c r="EG298" s="23" t="n">
        <x:v>1377.4630533854165</x:v>
      </x:c>
      <x:c r="EH298" s="23" t="n">
        <x:v>1382.6027425130208</x:v>
      </x:c>
      <x:c r="EI298" s="23" t="n">
        <x:v>1384.6267903645833</x:v>
      </x:c>
      <x:c r="EJ298" s="23" t="n">
        <x:v>555.2786458333333</x:v>
      </x:c>
      <x:c r="EK298" s="23" t="n">
        <x:v>555.5126546223958</x:v>
      </x:c>
      <x:c r="EL298" s="23" t="n">
        <x:v>1395.3077799479165</x:v>
      </x:c>
      <x:c r="EM298" s="23" t="n">
        <x:v>566.788818359375</x:v>
      </x:c>
      <x:c r="EN298" s="23" t="n">
        <x:v>555.4462483723958</x:v>
      </x:c>
      <x:c r="EO298" s="23" t="n">
        <x:v>828.2532664166986</x:v>
      </x:c>
      <x:c r="EP298" s="23" t="n">
        <x:f>SUM(B298:EO298)</x:f>
        <x:v>78180.50284730009</x:v>
      </x:c>
      <x:c r="EQ298" s="23" t="n">
        <x:f>SUMPRODUCT(B298:EO298,{0.4727,0.4519,0.39,0.3834,0.4212,0.4531,0.4393,0.4252,0.425,0.4178,0.4476,0.4799,0.4312,0.4019,0.4169,0.4101,0.4358,0.4745,0.4434,0.4268,0.4555,0.4759,0.48,0.4744,0.4653,0.446,0.4303,0.4411,0.4452,0.435,0.441,0.483,0.4905,0.4144,0.6128,0.9883,1.0566,1.01,1.0149,1.0342,1.0249,0.9873,0.9587,0.9513,0.9041,0.7903,0.9667,1.3198,1.3475,1.2517,1.2157,1.219,1.23,1.2183,1.1656,1.0969,1.0504,1.0484,1.0433,1.0053,0.9536,0.9567,1.0077,1.001,0.7949,0.5386,0.5445,0.5935,0.5822,0.6078,0.572,0.4994,0.5311,0.5817,0.5639,0.508,0.6663,0.9422,0.9765,0.9668,1.017,1.0238,1.0043,1.0043,1.0457,1.0733,1.0907,1.1308,1.0402,0.8586,0.7989,0.8093,0.8428,0.9089,0.9492,0.9503,0.9555,0.9855,1.0216,1.0299,1.0422,1.0695,1.0875,1.0825,1.0748,1.1006,1.1394,1.1951,1.2814,1.3015,1.2659,1.2835,1.3198,1.3219,1.2753,1.2431,1.2716,1.3407,1.3175,1.2498,1.3098,1.3433,1.3111,1.3077,1.1779,0.9741,0.9342,0.9553,0.9748,0.9949,0.7821,0.4502,0.3777,0.3824,0.3605,0.396,0.4343,0.4446,0.4494,0.4401,0.4254,0.4274,0.4235,0.4247})</x:f>
        <x:v>53307.57896496097</x:v>
      </x:c>
    </x:row>
    <x:row r="299" ht="14" customHeight="1">
      <x:c r="A299" s="3">
        <x:v>45986</x:v>
      </x:c>
      <x:c r="B299" s="23" t="n">
        <x:v>577.928466796875</x:v>
      </x:c>
      <x:c r="C299" s="23" t="n">
        <x:v>588.3564860026041</x:v>
      </x:c>
      <x:c r="D299" s="23" t="n">
        <x:v>573.1380208333333</x:v>
      </x:c>
      <x:c r="E299" s="23" t="n">
        <x:v>567.5364583333333</x:v>
      </x:c>
      <x:c r="F299" s="23" t="n">
        <x:v>578.737060546875</x:v>
      </x:c>
      <x:c r="G299" s="23" t="n">
        <x:v>588.3236490885416</x:v>
      </x:c>
      <x:c r="H299" s="23" t="n">
        <x:v>589.393310546875</x:v>
      </x:c>
      <x:c r="I299" s="23" t="n">
        <x:v>585.1693929036458</x:v>
      </x:c>
      <x:c r="J299" s="23" t="n">
        <x:v>586.4427083333333</x:v>
      </x:c>
      <x:c r="K299" s="23" t="n">
        <x:v>587.5967203776041</x:v>
      </x:c>
      <x:c r="L299" s="23" t="n">
        <x:v>586.9595133463541</x:v>
      </x:c>
      <x:c r="M299" s="23" t="n">
        <x:v>593.2367350260416</x:v>
      </x:c>
      <x:c r="N299" s="23" t="n">
        <x:v>585.9856363932291</x:v>
      </x:c>
      <x:c r="O299" s="23" t="n">
        <x:v>578.78173828125</x:v>
      </x:c>
      <x:c r="P299" s="23" t="n">
        <x:v>583.5408935546875</x:v>
      </x:c>
      <x:c r="Q299" s="23" t="n">
        <x:v>1428.3307698567708</x:v>
      </x:c>
      <x:c r="R299" s="23" t="n">
        <x:v>1223.2151772617683</x:v>
      </x:c>
      <x:c r="S299" s="23" t="n">
        <x:v>598.41845703125</x:v>
      </x:c>
      <x:c r="T299" s="23" t="n">
        <x:v>1425.2220458984375</x:v>
      </x:c>
      <x:c r="U299" s="23" t="n">
        <x:v>599.2767740885416</x:v>
      </x:c>
      <x:c r="V299" s="23" t="n">
        <x:v>607.8548583984375</x:v>
      </x:c>
      <x:c r="W299" s="23" t="n">
        <x:v>602.9460042317708</x:v>
      </x:c>
      <x:c r="X299" s="23" t="n">
        <x:v>597.1239827473958</x:v>
      </x:c>
      <x:c r="Y299" s="23" t="n">
        <x:v>1430.1610514322915</x:v>
      </x:c>
      <x:c r="Z299" s="23" t="n">
        <x:v>1428.762939453125</x:v>
      </x:c>
      <x:c r="AA299" s="23" t="n">
        <x:v>1429.197306315104</x:v>
      </x:c>
      <x:c r="AB299" s="23" t="n">
        <x:v>600.8308512369791</x:v>
      </x:c>
      <x:c r="AC299" s="23" t="n">
        <x:v>607.59912109375</x:v>
      </x:c>
      <x:c r="AD299" s="23" t="n">
        <x:v>608.4417724609375</x:v>
      </x:c>
      <x:c r="AE299" s="23" t="n">
        <x:v>599.8347574869791</x:v>
      </x:c>
      <x:c r="AF299" s="23" t="n">
        <x:v>603.909912109375</x:v>
      </x:c>
      <x:c r="AG299" s="23" t="n">
        <x:v>602.8655598958333</x:v>
      </x:c>
      <x:c r="AH299" s="23" t="n">
        <x:v>599.6924235026041</x:v>
      </x:c>
      <x:c r="AI299" s="23" t="n">
        <x:v>1427.109619140625</x:v>
      </x:c>
      <x:c r="AJ299" s="23" t="n">
        <x:v>646.7926025390625</x:v>
      </x:c>
      <x:c r="AK299" s="23" t="n">
        <x:v>0</x:v>
      </x:c>
      <x:c r="AL299" s="23" t="n">
        <x:v>18.096688347606836</x:v>
      </x:c>
      <x:c r="AM299" s="23" t="n">
        <x:v>798.9042214447913</x:v>
      </x:c>
      <x:c r="AN299" s="23" t="n">
        <x:v>802.2933756510416</x:v>
      </x:c>
      <x:c r="AO299" s="23" t="n">
        <x:v>800.0043131510416</x:v>
      </x:c>
      <x:c r="AP299" s="23" t="n">
        <x:v>460.4184374588855</x:v>
      </x:c>
      <x:c r="AQ299" s="23" t="n">
        <x:v>763.6424689566776</x:v>
      </x:c>
      <x:c r="AR299" s="23" t="n">
        <x:v>723.1377318182473</x:v>
      </x:c>
      <x:c r="AS299" s="23" t="n">
        <x:v>678.5167777522946</x:v>
      </x:c>
      <x:c r="AT299" s="23" t="n">
        <x:v>630.8466761392004</x:v>
      </x:c>
      <x:c r="AU299" s="23" t="n">
        <x:v>551.1156991265389</x:v>
      </x:c>
      <x:c r="AV299" s="23" t="n">
        <x:v>594.6331078740623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13.30369038321017</x:v>
      </x:c>
      <x:c r="BO299" s="23" t="n">
        <x:v>828.2931061996917</x:v>
      </x:c>
      <x:c r="BP299" s="23" t="n">
        <x:v>795.3977081130212</x:v>
      </x:c>
      <x:c r="BQ299" s="23" t="n">
        <x:v>776.0998871171456</x:v>
      </x:c>
      <x:c r="BR299" s="23" t="n">
        <x:v>768.3894526283523</x:v>
      </x:c>
      <x:c r="BS299" s="23" t="n">
        <x:v>765.5939026182307</x:v>
      </x:c>
      <x:c r="BT299" s="23" t="n">
        <x:v>726.682074765783</x:v>
      </x:c>
      <x:c r="BU299" s="23" t="n">
        <x:v>687.9463925956862</x:v>
      </x:c>
      <x:c r="BV299" s="23" t="n">
        <x:v>672.4663545721278</x:v>
      </x:c>
      <x:c r="BW299" s="23" t="n">
        <x:v>688.1017746175476</x:v>
      </x:c>
      <x:c r="BX299" s="23" t="n">
        <x:v>697.8626342153017</x:v>
      </x:c>
      <x:c r="BY299" s="23" t="n">
        <x:v>697.7637802301571</x:v>
      </x:c>
      <x:c r="BZ299" s="23" t="n">
        <x:v>725.5407525056676</x:v>
      </x:c>
      <x:c r="CA299" s="23" t="n">
        <x:v>0</x:v>
      </x:c>
      <x:c r="CB299" s="23" t="n">
        <x:v>0</x:v>
      </x:c>
      <x:c r="CC299" s="23" t="n">
        <x:v>0</x:v>
      </x:c>
      <x:c r="CD299" s="23" t="n">
        <x:v>16.440771763696524</x:v>
      </x:c>
      <x:c r="CE299" s="23" t="n">
        <x:v>47.26153486175447</x:v>
      </x:c>
      <x:c r="CF299" s="23" t="n">
        <x:v>86.8724746709222</x:v>
      </x:c>
      <x:c r="CG299" s="23" t="n">
        <x:v>129.70225367941322</x:v>
      </x:c>
      <x:c r="CH299" s="23" t="n">
        <x:v>0</x:v>
      </x:c>
      <x:c r="CI299" s="23" t="n">
        <x:v>0</x:v>
      </x:c>
      <x:c r="CJ299" s="23" t="n">
        <x:v>228.90330727422634</x:v>
      </x:c>
      <x:c r="CK299" s="23" t="n">
        <x:v>0</x:v>
      </x:c>
      <x:c r="CL299" s="23" t="n">
        <x:v>0</x:v>
      </x:c>
      <x:c r="CM299" s="23" t="n">
        <x:v>732.1379165784722</x:v>
      </x:c>
      <x:c r="CN299" s="23" t="n">
        <x:v>1248.4103307074151</x:v>
      </x:c>
      <x:c r="CO299" s="23" t="n">
        <x:v>467.9257324457356</x:v>
      </x:c>
      <x:c r="CP299" s="23" t="n">
        <x:v>518.1946583149303</x:v>
      </x:c>
      <x:c r="CQ299" s="23" t="n">
        <x:v>567.1903414026555</x:v>
      </x:c>
      <x:c r="CR299" s="23" t="n">
        <x:v>622.4969649921434</x:v>
      </x:c>
      <x:c r="CS299" s="23" t="n">
        <x:v>684.0398401972831</x:v>
      </x:c>
      <x:c r="CT299" s="23" t="n">
        <x:v>741.4490423975501</x:v>
      </x:c>
      <x:c r="CU299" s="23" t="n">
        <x:v>793.7702778588688</x:v>
      </x:c>
      <x:c r="CV299" s="23" t="n">
        <x:v>839.6561442817847</x:v>
      </x:c>
      <x:c r="CW299" s="23" t="n">
        <x:v>892.7807042074664</x:v>
      </x:c>
      <x:c r="CX299" s="23" t="n">
        <x:v>939.3771566413731</x:v>
      </x:c>
      <x:c r="CY299" s="23" t="n">
        <x:v>962.8997465568024</x:v>
      </x:c>
      <x:c r="CZ299" s="23" t="n">
        <x:v>1000.3442315653452</x:v>
      </x:c>
      <x:c r="DA299" s="23" t="n">
        <x:v>1018.69775390625</x:v>
      </x:c>
      <x:c r="DB299" s="23" t="n">
        <x:v>1008.2915852864583</x:v>
      </x:c>
      <x:c r="DC299" s="23" t="n">
        <x:v>1034.2390488283695</x:v>
      </x:c>
      <x:c r="DD299" s="23" t="n">
        <x:v>903.8700358072916</x:v>
      </x:c>
      <x:c r="DE299" s="23" t="n">
        <x:v>0</x:v>
      </x:c>
      <x:c r="DF299" s="23" t="n">
        <x:v>0</x:v>
      </x:c>
      <x:c r="DG299" s="23" t="n">
        <x:v>697.0404459635416</x:v>
      </x:c>
      <x:c r="DH299" s="23" t="n">
        <x:v>695.665771484375</x:v>
      </x:c>
      <x:c r="DI299" s="23" t="n">
        <x:v>0</x:v>
      </x:c>
      <x:c r="DJ299" s="23" t="n">
        <x:v>0</x:v>
      </x:c>
      <x:c r="DK299" s="23" t="n">
        <x:v>713.4737141927083</x:v>
      </x:c>
      <x:c r="DL299" s="23" t="n">
        <x:v>631.1914186197935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707.9020182291666</x:v>
      </x:c>
      <x:c r="DU299" s="23" t="n">
        <x:v>0</x:v>
      </x:c>
      <x:c r="DV299" s="23" t="n">
        <x:v>723.6171061197916</x:v>
      </x:c>
      <x:c r="DW299" s="23" t="n">
        <x:v>738.3707682291666</x:v>
      </x:c>
      <x:c r="DX299" s="23" t="n">
        <x:v>725.9252115885416</x:v>
      </x:c>
      <x:c r="DY299" s="23" t="n">
        <x:v>720.7211335358794</x:v>
      </x:c>
      <x:c r="DZ299" s="23" t="n">
        <x:v>717.9563802083333</x:v>
      </x:c>
      <x:c r="EA299" s="23" t="n">
        <x:v>720.0128952994792</x:v>
      </x:c>
      <x:c r="EB299" s="23" t="n">
        <x:v>646.5769449869791</x:v>
      </x:c>
      <x:c r="EC299" s="23" t="n">
        <x:v>1380.5345458984375</x:v>
      </x:c>
      <x:c r="ED299" s="23" t="n">
        <x:v>1380.1722412109375</x:v>
      </x:c>
      <x:c r="EE299" s="23" t="n">
        <x:v>564.8881022135416</x:v>
      </x:c>
      <x:c r="EF299" s="23" t="n">
        <x:v>1395.6757405598958</x:v>
      </x:c>
      <x:c r="EG299" s="23" t="n">
        <x:v>1389.0753580729165</x:v>
      </x:c>
      <x:c r="EH299" s="23" t="n">
        <x:v>551.7870686848958</x:v>
      </x:c>
      <x:c r="EI299" s="23" t="n">
        <x:v>560.9687093098958</x:v>
      </x:c>
      <x:c r="EJ299" s="23" t="n">
        <x:v>565.5733642578125</x:v>
      </x:c>
      <x:c r="EK299" s="23" t="n">
        <x:v>533.275390625</x:v>
      </x:c>
      <x:c r="EL299" s="23" t="n">
        <x:v>1403.8505045572915</x:v>
      </x:c>
      <x:c r="EM299" s="23" t="n">
        <x:v>1395.307902018229</x:v>
      </x:c>
      <x:c r="EN299" s="23" t="n">
        <x:v>844.1237905052403</x:v>
      </x:c>
      <x:c r="EO299" s="23" t="n">
        <x:v>573.3648681640625</x:v>
      </x:c>
      <x:c r="EP299" s="23" t="n">
        <x:f>SUM(B299:EO299)</x:f>
        <x:v>78545.76703359005</x:v>
      </x:c>
      <x:c r="EQ299" s="23" t="n">
        <x:f>SUMPRODUCT(B299:EO299,{0.4626,0.4706,0.4294,0.3931,0.414,0.4492,0.4122,0.4103,0.4439,0.4076,0.3938,0.4181,0.4012,0.3918,0.4197,0.4565,0.4537,0.435,0.4665,0.4788,0.4524,0.442,0.4616,0.4836,0.4695,0.4562,0.4524,0.4356,0.4465,0.4685,0.4431,0.4348,0.4386,0.4212,0.6223,0.9457,1.0204,0.9891,0.9672,0.9308,0.936,0.9679,0.9486,0.9166,0.8833,0.8566,1.0444,1.3198,1.3241,1.2973,1.3383,1.3009,1.2416,1.2299,1.2633,1.2212,1.1119,1.0635,1.0545,1.0698,1.1113,1.0731,0.9767,0.9326,0.7989,0.6177,0.6006,0.6444,0.6541,0.6315,0.6044,0.5824,0.5629,0.5856,0.5959,0.5292,0.6829,0.9842,1.037,0.9941,0.9936,1.0187,1.0584,1.076,1.0376,1.0287,1.0801,1.1167,0.9883,0.7892,0.7808,0.8503,0.8889,0.897,0.9072,0.9353,0.974,1.0204,1.0564,1.0577,1.0438,1.0401,1.0593,1.084,1.0855,1.0641,1.1464,1.286,1.3011,1.2809,1.283,1.2725,1.2499,1.2433,1.2796,1.3129,1.3131,1.2877,1.2577,1.2458,1.2558,1.2269,1.2161,1.3091,1.1919,0.9369,0.9354,0.9219,0.8734,1.0014,0.835,0.4286,0.3452,0.3904,0.3981,0.4134,0.4262,0.4183,0.387,0.3563,0.3781,0.476,0.4859,0.3961})</x:f>
        <x:v>53332.40903576915</x:v>
      </x:c>
    </x:row>
    <x:row r="300" ht="14" customHeight="1">
      <x:c r="A300" s="3">
        <x:v>45987</x:v>
      </x:c>
      <x:c r="B300" s="23" t="n">
        <x:v>566.3114420572916</x:v>
      </x:c>
      <x:c r="C300" s="23" t="n">
        <x:v>564.0622151692708</x:v>
      </x:c>
      <x:c r="D300" s="23" t="n">
        <x:v>566.7900797526041</x:v>
      </x:c>
      <x:c r="E300" s="23" t="n">
        <x:v>1398.4183756510415</x:v>
      </x:c>
      <x:c r="F300" s="23" t="n">
        <x:v>577.7110188802083</x:v>
      </x:c>
      <x:c r="G300" s="23" t="n">
        <x:v>581.9377848307291</x:v>
      </x:c>
      <x:c r="H300" s="23" t="n">
        <x:v>575.6565348307291</x:v>
      </x:c>
      <x:c r="I300" s="23" t="n">
        <x:v>577.727783203125</x:v>
      </x:c>
      <x:c r="J300" s="23" t="n">
        <x:v>586.3416341145833</x:v>
      </x:c>
      <x:c r="K300" s="23" t="n">
        <x:v>1422.5177815755208</x:v>
      </x:c>
      <x:c r="L300" s="23" t="n">
        <x:v>1424.5914713541665</x:v>
      </x:c>
      <x:c r="M300" s="23" t="n">
        <x:v>1024.2923193616575</x:v>
      </x:c>
      <x:c r="N300" s="23" t="n">
        <x:v>593.1732991536458</x:v>
      </x:c>
      <x:c r="O300" s="23" t="n">
        <x:v>595.8394775390625</x:v>
      </x:c>
      <x:c r="P300" s="23" t="n">
        <x:v>598.3072916666666</x:v>
      </x:c>
      <x:c r="Q300" s="23" t="n">
        <x:v>1431.1891682942708</x:v>
      </x:c>
      <x:c r="R300" s="23" t="n">
        <x:v>599.1316324869791</x:v>
      </x:c>
      <x:c r="S300" s="23" t="n">
        <x:v>597.851318359375</x:v>
      </x:c>
      <x:c r="T300" s="23" t="n">
        <x:v>602.4120686848958</x:v>
      </x:c>
      <x:c r="U300" s="23" t="n">
        <x:v>604.8388264973958</x:v>
      </x:c>
      <x:c r="V300" s="23" t="n">
        <x:v>601.1764729817708</x:v>
      </x:c>
      <x:c r="W300" s="23" t="n">
        <x:v>602.9166666666666</x:v>
      </x:c>
      <x:c r="X300" s="23" t="n">
        <x:v>606.1531982421875</x:v>
      </x:c>
      <x:c r="Y300" s="23" t="n">
        <x:v>608.734375</x:v>
      </x:c>
      <x:c r="Z300" s="23" t="n">
        <x:v>602.23095703125</x:v>
      </x:c>
      <x:c r="AA300" s="23" t="n">
        <x:v>600.5617268880208</x:v>
      </x:c>
      <x:c r="AB300" s="23" t="n">
        <x:v>604.2467854817708</x:v>
      </x:c>
      <x:c r="AC300" s="23" t="n">
        <x:v>607.5804850260416</x:v>
      </x:c>
      <x:c r="AD300" s="23" t="n">
        <x:v>607.8214518229166</x:v>
      </x:c>
      <x:c r="AE300" s="23" t="n">
        <x:v>605.1463216145833</x:v>
      </x:c>
      <x:c r="AF300" s="23" t="n">
        <x:v>1435.8039143880208</x:v>
      </x:c>
      <x:c r="AG300" s="23" t="n">
        <x:v>604.0972900390625</x:v>
      </x:c>
      <x:c r="AH300" s="23" t="n">
        <x:v>598.1785481770833</x:v>
      </x:c>
      <x:c r="AI300" s="23" t="n">
        <x:v>1425.793212890625</x:v>
      </x:c>
      <x:c r="AJ300" s="23" t="n">
        <x:v>634.81396484375</x:v>
      </x:c>
      <x:c r="AK300" s="23" t="n">
        <x:v>0</x:v>
      </x:c>
      <x:c r="AL300" s="23" t="n">
        <x:v>813.3225911458333</x:v>
      </x:c>
      <x:c r="AM300" s="23" t="n">
        <x:v>796.2436282611447</x:v>
      </x:c>
      <x:c r="AN300" s="23" t="n">
        <x:v>3.231797719864668</x:v>
      </x:c>
      <x:c r="AO300" s="23" t="n">
        <x:v>802.177490234375</x:v>
      </x:c>
      <x:c r="AP300" s="23" t="n">
        <x:v>787.745216498544</x:v>
      </x:c>
      <x:c r="AQ300" s="23" t="n">
        <x:v>765.888099299462</x:v>
      </x:c>
      <x:c r="AR300" s="23" t="n">
        <x:v>723.1065467417953</x:v>
      </x:c>
      <x:c r="AS300" s="23" t="n">
        <x:v>677.0247000714596</x:v>
      </x:c>
      <x:c r="AT300" s="23" t="n">
        <x:v>632.2921270093093</x:v>
      </x:c>
      <x:c r="AU300" s="23" t="n">
        <x:v>569.7795305044519</x:v>
      </x:c>
      <x:c r="AV300" s="23" t="n">
        <x:v>444.2173631220688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32.61593516828209</x:v>
      </x:c>
      <x:c r="BO300" s="23" t="n">
        <x:v>843.8611837230743</x:v>
      </x:c>
      <x:c r="BP300" s="23" t="n">
        <x:v>825.4186681403373</x:v>
      </x:c>
      <x:c r="BQ300" s="23" t="n">
        <x:v>811.3193370172114</x:v>
      </x:c>
      <x:c r="BR300" s="23" t="n">
        <x:v>796.0149827161146</x:v>
      </x:c>
      <x:c r="BS300" s="23" t="n">
        <x:v>788.2538247912219</x:v>
      </x:c>
      <x:c r="BT300" s="23" t="n">
        <x:v>748.1417614474012</x:v>
      </x:c>
      <x:c r="BU300" s="23" t="n">
        <x:v>706.0395432360513</x:v>
      </x:c>
      <x:c r="BV300" s="23" t="n">
        <x:v>700.7081444637939</x:v>
      </x:c>
      <x:c r="BW300" s="23" t="n">
        <x:v>696.6278995135001</x:v>
      </x:c>
      <x:c r="BX300" s="23" t="n">
        <x:v>692.654771120354</x:v>
      </x:c>
      <x:c r="BY300" s="23" t="n">
        <x:v>711.3250824639782</x:v>
      </x:c>
      <x:c r="BZ300" s="23" t="n">
        <x:v>732.3096045128838</x:v>
      </x:c>
      <x:c r="CA300" s="23" t="n">
        <x:v>0</x:v>
      </x:c>
      <x:c r="CB300" s="23" t="n">
        <x:v>0</x:v>
      </x:c>
      <x:c r="CC300" s="23" t="n">
        <x:v>0</x:v>
      </x:c>
      <x:c r="CD300" s="23" t="n">
        <x:v>41.845542048088646</x:v>
      </x:c>
      <x:c r="CE300" s="23" t="n">
        <x:v>54.23749444021087</x:v>
      </x:c>
      <x:c r="CF300" s="23" t="n">
        <x:v>83.04745565618774</x:v>
      </x:c>
      <x:c r="CG300" s="23" t="n">
        <x:v>119.81706427702147</x:v>
      </x:c>
      <x:c r="CH300" s="23" t="n">
        <x:v>153.69919383005163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774.940443663022</x:v>
      </x:c>
      <x:c r="CN300" s="23" t="n">
        <x:v>411.00470049304386</x:v>
      </x:c>
      <x:c r="CO300" s="23" t="n">
        <x:v>461.56435242273574</x:v>
      </x:c>
      <x:c r="CP300" s="23" t="n">
        <x:v>1342.9832367556494</x:v>
      </x:c>
      <x:c r="CQ300" s="23" t="n">
        <x:v>569.2538487310717</x:v>
      </x:c>
      <x:c r="CR300" s="23" t="n">
        <x:v>628.0239534417833</x:v>
      </x:c>
      <x:c r="CS300" s="23" t="n">
        <x:v>674.4516949320287</x:v>
      </x:c>
      <x:c r="CT300" s="23" t="n">
        <x:v>734.7046357965487</x:v>
      </x:c>
      <x:c r="CU300" s="23" t="n">
        <x:v>785.1368871760648</x:v>
      </x:c>
      <x:c r="CV300" s="23" t="n">
        <x:v>828.6022956322997</x:v>
      </x:c>
      <x:c r="CW300" s="23" t="n">
        <x:v>896.227506584619</x:v>
      </x:c>
      <x:c r="CX300" s="23" t="n">
        <x:v>939.209163427312</x:v>
      </x:c>
      <x:c r="CY300" s="23" t="n">
        <x:v>973.477628691202</x:v>
      </x:c>
      <x:c r="CZ300" s="23" t="n">
        <x:v>998.1753568753935</x:v>
      </x:c>
      <x:c r="DA300" s="23" t="n">
        <x:v>1013.9984537760416</x:v>
      </x:c>
      <x:c r="DB300" s="23" t="n">
        <x:v>1017.5492350260416</x:v>
      </x:c>
      <x:c r="DC300" s="23" t="n">
        <x:v>1038.0981019070227</x:v>
      </x:c>
      <x:c r="DD300" s="23" t="n">
        <x:v>903.8651529947916</x:v>
      </x:c>
      <x:c r="DE300" s="23" t="n">
        <x:v>0</x:v>
      </x:c>
      <x:c r="DF300" s="23" t="n">
        <x:v>0</x:v>
      </x:c>
      <x:c r="DG300" s="23" t="n">
        <x:v>715.9839680989583</x:v>
      </x:c>
      <x:c r="DH300" s="23" t="n">
        <x:v>0</x:v>
      </x:c>
      <x:c r="DI300" s="23" t="n">
        <x:v>0</x:v>
      </x:c>
      <x:c r="DJ300" s="23" t="n">
        <x:v>712.0693359375</x:v>
      </x:c>
      <x:c r="DK300" s="23" t="n">
        <x:v>707.0812174479166</x:v>
      </x:c>
      <x:c r="DL300" s="23" t="n">
        <x:v>719.2469889322916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692.6246054687485</x:v>
      </x:c>
      <x:c r="DU300" s="23" t="n">
        <x:v>0</x:v>
      </x:c>
      <x:c r="DV300" s="23" t="n">
        <x:v>726.28369140625</x:v>
      </x:c>
      <x:c r="DW300" s="23" t="n">
        <x:v>726.2021484375</x:v>
      </x:c>
      <x:c r="DX300" s="23" t="n">
        <x:v>733.5354239004628</x:v>
      </x:c>
      <x:c r="DY300" s="23" t="n">
        <x:v>720.676513671875</x:v>
      </x:c>
      <x:c r="DZ300" s="23" t="n">
        <x:v>719.554931640625</x:v>
      </x:c>
      <x:c r="EA300" s="23" t="n">
        <x:v>729.370470859375</x:v>
      </x:c>
      <x:c r="EB300" s="23" t="n">
        <x:v>653.6842131770833</x:v>
      </x:c>
      <x:c r="EC300" s="23" t="n">
        <x:v>531.6723225911458</x:v>
      </x:c>
      <x:c r="ED300" s="23" t="n">
        <x:v>1367.1771647135415</x:v>
      </x:c>
      <x:c r="EE300" s="23" t="n">
        <x:v>554.542724609375</x:v>
      </x:c>
      <x:c r="EF300" s="23" t="n">
        <x:v>836.953502419303</x:v>
      </x:c>
      <x:c r="EG300" s="23" t="n">
        <x:v>1387.7124837239583</x:v>
      </x:c>
      <x:c r="EH300" s="23" t="n">
        <x:v>1388.3876546223958</x:v>
      </x:c>
      <x:c r="EI300" s="23" t="n">
        <x:v>1387.545694986979</x:v>
      </x:c>
      <x:c r="EJ300" s="23" t="n">
        <x:v>562.3805338541666</x:v>
      </x:c>
      <x:c r="EK300" s="23" t="n">
        <x:v>559.6234537760416</x:v>
      </x:c>
      <x:c r="EL300" s="23" t="n">
        <x:v>1385.1324869791665</x:v>
      </x:c>
      <x:c r="EM300" s="23" t="n">
        <x:v>1383.866455078125</x:v>
      </x:c>
      <x:c r="EN300" s="23" t="n">
        <x:v>560.9667561848958</x:v>
      </x:c>
      <x:c r="EO300" s="23" t="n">
        <x:v>574.9683837890625</x:v>
      </x:c>
      <x:c r="EP300" s="23" t="n">
        <x:f>SUM(B300:EO300)</x:f>
        <x:v>78815.83324836445</x:v>
      </x:c>
      <x:c r="EQ300" s="23" t="n">
        <x:f>SUMPRODUCT(B300:EO300,{0.3595,0.388,0.431,0.4354,0.4378,0.4441,0.4244,0.415,0.4229,0.4232,0.4435,0.4619,0.4261,0.4108,0.4291,0.4232,0.4246,0.442,0.4434,0.4188,0.4015,0.4317,0.4341,0.4049,0.419,0.4621,0.489,0.4639,0.4188,0.3898,0.3935,0.4184,0.4209,0.4029,0.6293,0.9904,1.0774,1.0414,1.0145,0.978,0.9675,0.9867,0.995,0.9638,0.8799,0.8031,1.0161,1.361,1.3677,1.2892,1.2765,1.2313,1.207,1.1881,1.1079,1.1239,1.2044,1.1531,1.0914,1.0884,1.0851,1.0518,1.0487,1.1192,0.9369,0.6217,0.6357,0.6687,0.6034,0.6368,0.6594,0.6347,0.6407,0.603,0.5181,0.5015,0.6922,0.962,1.0194,0.9985,1.0063,1.0167,1.0197,1.0438,1.1121,1.1036,1.0521,1.0916,1.007,0.8356,0.8445,0.8651,0.8449,0.9071,0.9693,0.9931,1.0225,1.0399,1.0436,1.0631,1.1196,1.1682,1.141,1.1291,1.1457,1.1282,1.1759,1.2738,1.2912,1.2616,1.2486,1.2814,1.3016,1.2871,1.2677,1.2493,1.2459,1.2701,1.2731,1.2549,1.2571,1.234,1.2275,1.2995,1.1691,0.9162,0.9157,0.9452,0.9367,1.0035,0.7789,0.3691,0.2983,0.3835,0.4301,0.4238,0.3835,0.3591,0.3976,0.4402,0.4586,0.4719,0.4615,0.4286})</x:f>
        <x:v>54166.14990012006</x:v>
      </x:c>
    </x:row>
    <x:row r="301" ht="14" customHeight="1">
      <x:c r="A301" s="3">
        <x:v>45988</x:v>
      </x:c>
      <x:c r="B301" s="23" t="n">
        <x:v>1400.5258382161458</x:v>
      </x:c>
      <x:c r="C301" s="23" t="n">
        <x:v>565.634033203125</x:v>
      </x:c>
      <x:c r="D301" s="23" t="n">
        <x:v>575.7718505859375</x:v>
      </x:c>
      <x:c r="E301" s="23" t="n">
        <x:v>568.6321207682291</x:v>
      </x:c>
      <x:c r="F301" s="23" t="n">
        <x:v>561.4143880208333</x:v>
      </x:c>
      <x:c r="G301" s="23" t="n">
        <x:v>588.5243326822916</x:v>
      </x:c>
      <x:c r="H301" s="23" t="n">
        <x:v>584.6990559895833</x:v>
      </x:c>
      <x:c r="I301" s="23" t="n">
        <x:v>577.4019775390625</x:v>
      </x:c>
      <x:c r="J301" s="23" t="n">
        <x:v>1404.5433756510415</x:v>
      </x:c>
      <x:c r="K301" s="23" t="n">
        <x:v>578.4796142578125</x:v>
      </x:c>
      <x:c r="L301" s="23" t="n">
        <x:v>581.9571533203125</x:v>
      </x:c>
      <x:c r="M301" s="23" t="n">
        <x:v>1420.8231201171875</x:v>
      </x:c>
      <x:c r="N301" s="23" t="n">
        <x:v>594.54638671875</x:v>
      </x:c>
      <x:c r="O301" s="23" t="n">
        <x:v>594.9568684895833</x:v>
      </x:c>
      <x:c r="P301" s="23" t="n">
        <x:v>591.8642985026041</x:v>
      </x:c>
      <x:c r="Q301" s="23" t="n">
        <x:v>602.2173258463541</x:v>
      </x:c>
      <x:c r="R301" s="23" t="n">
        <x:v>1436.118896484375</x:v>
      </x:c>
      <x:c r="S301" s="23" t="n">
        <x:v>1427.836710611979</x:v>
      </x:c>
      <x:c r="T301" s="23" t="n">
        <x:v>595.112548828125</x:v>
      </x:c>
      <x:c r="U301" s="23" t="n">
        <x:v>598.361328125</x:v>
      </x:c>
      <x:c r="V301" s="23" t="n">
        <x:v>599.7223714192708</x:v>
      </x:c>
      <x:c r="W301" s="23" t="n">
        <x:v>599.9974772135416</x:v>
      </x:c>
      <x:c r="X301" s="23" t="n">
        <x:v>604.10888671875</x:v>
      </x:c>
      <x:c r="Y301" s="23" t="n">
        <x:v>602.7537434895833</x:v>
      </x:c>
      <x:c r="Z301" s="23" t="n">
        <x:v>605.584716796875</x:v>
      </x:c>
      <x:c r="AA301" s="23" t="n">
        <x:v>599.977783203125</x:v>
      </x:c>
      <x:c r="AB301" s="23" t="n">
        <x:v>599.1107584635416</x:v>
      </x:c>
      <x:c r="AC301" s="23" t="n">
        <x:v>604.8319498697916</x:v>
      </x:c>
      <x:c r="AD301" s="23" t="n">
        <x:v>606.4921468098958</x:v>
      </x:c>
      <x:c r="AE301" s="23" t="n">
        <x:v>602.8680419921875</x:v>
      </x:c>
      <x:c r="AF301" s="23" t="n">
        <x:v>597.7499186197916</x:v>
      </x:c>
      <x:c r="AG301" s="23" t="n">
        <x:v>603.9214680989583</x:v>
      </x:c>
      <x:c r="AH301" s="23" t="n">
        <x:v>1063.1480055604484</x:v>
      </x:c>
      <x:c r="AI301" s="23" t="n">
        <x:v>1428.4040120442708</x:v>
      </x:c>
      <x:c r="AJ301" s="23" t="n">
        <x:v>650.9466959635416</x:v>
      </x:c>
      <x:c r="AK301" s="23" t="n">
        <x:v>780.2934508051158</x:v>
      </x:c>
      <x:c r="AL301" s="23" t="n">
        <x:v>20.408990226174105</x:v>
      </x:c>
      <x:c r="AM301" s="23" t="n">
        <x:v>813.4946363152654</x:v>
      </x:c>
      <x:c r="AN301" s="23" t="n">
        <x:v>800.9164225260416</x:v>
      </x:c>
      <x:c r="AO301" s="23" t="n">
        <x:v>796.579833984375</x:v>
      </x:c>
      <x:c r="AP301" s="23" t="n">
        <x:v>0</x:v>
      </x:c>
      <x:c r="AQ301" s="23" t="n">
        <x:v>767.3112801845278</x:v>
      </x:c>
      <x:c r="AR301" s="23" t="n">
        <x:v>724.7411056264469</x:v>
      </x:c>
      <x:c r="AS301" s="23" t="n">
        <x:v>678.4382390738233</x:v>
      </x:c>
      <x:c r="AT301" s="23" t="n">
        <x:v>631.0862237155332</x:v>
      </x:c>
      <x:c r="AU301" s="23" t="n">
        <x:v>546.5389147128565</x:v>
      </x:c>
      <x:c r="AV301" s="23" t="n">
        <x:v>599.1934983442623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27.3975370019131</x:v>
      </x:c>
      <x:c r="BO301" s="23" t="n">
        <x:v>846.7121246546204</x:v>
      </x:c>
      <x:c r="BP301" s="23" t="n">
        <x:v>833.6916065779757</x:v>
      </x:c>
      <x:c r="BQ301" s="23" t="n">
        <x:v>814.8491446348254</x:v>
      </x:c>
      <x:c r="BR301" s="23" t="n">
        <x:v>794.9771883706104</x:v>
      </x:c>
      <x:c r="BS301" s="23" t="n">
        <x:v>789.1188175865778</x:v>
      </x:c>
      <x:c r="BT301" s="23" t="n">
        <x:v>759.3928856516468</x:v>
      </x:c>
      <x:c r="BU301" s="23" t="n">
        <x:v>718.4021608895246</x:v>
      </x:c>
      <x:c r="BV301" s="23" t="n">
        <x:v>697.5455772028031</x:v>
      </x:c>
      <x:c r="BW301" s="23" t="n">
        <x:v>703.9945626958757</x:v>
      </x:c>
      <x:c r="BX301" s="23" t="n">
        <x:v>721.1562244821696</x:v>
      </x:c>
      <x:c r="BY301" s="23" t="n">
        <x:v>721.0569289011239</x:v>
      </x:c>
      <x:c r="BZ301" s="23" t="n">
        <x:v>745.0714137915779</x:v>
      </x:c>
      <x:c r="CA301" s="23" t="n">
        <x:v>0</x:v>
      </x:c>
      <x:c r="CB301" s="23" t="n">
        <x:v>0</x:v>
      </x:c>
      <x:c r="CC301" s="23" t="n">
        <x:v>17.086690288437087</x:v>
      </x:c>
      <x:c r="CD301" s="23" t="n">
        <x:v>65.2317493084068</x:v>
      </x:c>
      <x:c r="CE301" s="23" t="n">
        <x:v>64.24189578430469</x:v>
      </x:c>
      <x:c r="CF301" s="23" t="n">
        <x:v>85.18641686647454</x:v>
      </x:c>
      <x:c r="CG301" s="23" t="n">
        <x:v>0</x:v>
      </x:c>
      <x:c r="CH301" s="23" t="n">
        <x:v>0</x:v>
      </x:c>
      <x:c r="CI301" s="23" t="n">
        <x:v>210.5020667712347</x:v>
      </x:c>
      <x:c r="CJ301" s="23" t="n">
        <x:v>0</x:v>
      </x:c>
      <x:c r="CK301" s="23" t="n">
        <x:v>0</x:v>
      </x:c>
      <x:c r="CL301" s="23" t="n">
        <x:v>0</x:v>
      </x:c>
      <x:c r="CM301" s="23" t="n">
        <x:v>1205.2533976250381</x:v>
      </x:c>
      <x:c r="CN301" s="23" t="n">
        <x:v>1026.183700903814</x:v>
      </x:c>
      <x:c r="CO301" s="23" t="n">
        <x:v>475.3525624964983</x:v>
      </x:c>
      <x:c r="CP301" s="23" t="n">
        <x:v>521.1923305990058</x:v>
      </x:c>
      <x:c r="CQ301" s="23" t="n">
        <x:v>580.1247450930261</x:v>
      </x:c>
      <x:c r="CR301" s="23" t="n">
        <x:v>636.471891214703</x:v>
      </x:c>
      <x:c r="CS301" s="23" t="n">
        <x:v>689.3073192298831</x:v>
      </x:c>
      <x:c r="CT301" s="23" t="n">
        <x:v>743.7859069375099</x:v>
      </x:c>
      <x:c r="CU301" s="23" t="n">
        <x:v>798.3652566237063</x:v>
      </x:c>
      <x:c r="CV301" s="23" t="n">
        <x:v>847.3471534559883</x:v>
      </x:c>
      <x:c r="CW301" s="23" t="n">
        <x:v>893.8869407684163</x:v>
      </x:c>
      <x:c r="CX301" s="23" t="n">
        <x:v>951.9178742127797</x:v>
      </x:c>
      <x:c r="CY301" s="23" t="n">
        <x:v>989.1335305214861</x:v>
      </x:c>
      <x:c r="CZ301" s="23" t="n">
        <x:v>1000.5193835876839</x:v>
      </x:c>
      <x:c r="DA301" s="23" t="n">
        <x:v>1008.985595703125</x:v>
      </x:c>
      <x:c r="DB301" s="23" t="n">
        <x:v>1007.2277018229166</x:v>
      </x:c>
      <x:c r="DC301" s="23" t="n">
        <x:v>1030.391527796472</x:v>
      </x:c>
      <x:c r="DD301" s="23" t="n">
        <x:v>895.6590169270833</x:v>
      </x:c>
      <x:c r="DE301" s="23" t="n">
        <x:v>0</x:v>
      </x:c>
      <x:c r="DF301" s="23" t="n">
        <x:v>0</x:v>
      </x:c>
      <x:c r="DG301" s="23" t="n">
        <x:v>0</x:v>
      </x:c>
      <x:c r="DH301" s="23" t="n">
        <x:v>0</x:v>
      </x:c>
      <x:c r="DI301" s="23" t="n">
        <x:v>0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697.8539225260416</x:v>
      </x:c>
      <x:c r="DO301" s="23" t="n">
        <x:v>703.1501055989568</x:v>
      </x:c>
      <x:c r="DP301" s="23" t="n">
        <x:v>705.2206217447916</x:v>
      </x:c>
      <x:c r="DQ301" s="23" t="n">
        <x:v>696.1053873697916</x:v>
      </x:c>
      <x:c r="DR301" s="23" t="n">
        <x:v>0</x:v>
      </x:c>
      <x:c r="DS301" s="23" t="n">
        <x:v>0</x:v>
      </x:c>
      <x:c r="DT301" s="23" t="n">
        <x:v>718.0746256510416</x:v>
      </x:c>
      <x:c r="DU301" s="23" t="n">
        <x:v>0</x:v>
      </x:c>
      <x:c r="DV301" s="23" t="n">
        <x:v>720.9190266927083</x:v>
      </x:c>
      <x:c r="DW301" s="23" t="n">
        <x:v>722.1739908854166</x:v>
      </x:c>
      <x:c r="DX301" s="23" t="n">
        <x:v>723.6464592978393</x:v>
      </x:c>
      <x:c r="DY301" s="23" t="n">
        <x:v>723.1868489583333</x:v>
      </x:c>
      <x:c r="DZ301" s="23" t="n">
        <x:v>724.466552734375</x:v>
      </x:c>
      <x:c r="EA301" s="23" t="n">
        <x:v>719.6818490364583</x:v>
      </x:c>
      <x:c r="EB301" s="23" t="n">
        <x:v>635.5513325651042</x:v>
      </x:c>
      <x:c r="EC301" s="23" t="n">
        <x:v>542.5737711588541</x:v>
      </x:c>
      <x:c r="ED301" s="23" t="n">
        <x:v>1369.4949951171875</x:v>
      </x:c>
      <x:c r="EE301" s="23" t="n">
        <x:v>548.2401936848958</x:v>
      </x:c>
      <x:c r="EF301" s="23" t="n">
        <x:v>545.6269938151041</x:v>
      </x:c>
      <x:c r="EG301" s="23" t="n">
        <x:v>836.2312510529192</x:v>
      </x:c>
      <x:c r="EH301" s="23" t="n">
        <x:v>1382.945597330729</x:v>
      </x:c>
      <x:c r="EI301" s="23" t="n">
        <x:v>1360.4186197916665</x:v>
      </x:c>
      <x:c r="EJ301" s="23" t="n">
        <x:v>572.7517496744791</x:v>
      </x:c>
      <x:c r="EK301" s="23" t="n">
        <x:v>572.1880696614583</x:v>
      </x:c>
      <x:c r="EL301" s="23" t="n">
        <x:v>1379.5701904296875</x:v>
      </x:c>
      <x:c r="EM301" s="23" t="n">
        <x:v>570.9073486328125</x:v>
      </x:c>
      <x:c r="EN301" s="23" t="n">
        <x:v>1360.9562174479165</x:v>
      </x:c>
      <x:c r="EO301" s="23" t="n">
        <x:v>1251.9915771484375</x:v>
      </x:c>
      <x:c r="EP301" s="23" t="n">
        <x:f>SUM(B301:EO301)</x:f>
        <x:v>79078.68992072257</x:v>
      </x:c>
      <x:c r="EQ301" s="23" t="n">
        <x:f>SUMPRODUCT(B301:EO301,{0.4021,0.4018,0.4125,0.4026,0.3996,0.4174,0.4352,0.4113,0.3903,0.4556,0.488,0.4529,0.4345,0.4452,0.4608,0.4542,0.455,0.4605,0.4375,0.4166,0.4154,0.4252,0.4461,0.4522,0.4174,0.4253,0.4504,0.3954,0.4146,0.4926,0.46,0.4565,0.4693,0.3919,0.6429,1.0565,1.0176,0.9589,1.0235,0.9287,0.9159,1.0059,0.9603,0.9247,0.9263,0.8768,1.0749,1.3841,1.336,1.2539,1.2737,1.2087,1.1423,1.1326,1.1407,1.1283,1.1106,1.1266,1.1061,1.0366,0.985,0.9907,1.0391,1.0488,0.8731,0.6416,0.648,0.6878,0.6524,0.6276,0.5847,0.5529,0.6038,0.6266,0.5628,0.4967,0.6692,0.9739,1.0425,0.9966,0.9726,0.9893,1.0392,1.0873,1.0883,1.0458,1.059,1.1964,1.0955,0.8327,0.8607,0.9538,0.9584,0.9557,0.9747,0.9948,0.9867,1.0166,1.0729,1.0788,1.0999,1.1304,1.0953,1.0663,1.0712,1.0816,1.1661,1.2863,1.317,1.3135,1.302,1.2551,1.2301,1.2386,1.2385,1.2406,1.2537,1.2744,1.3115,1.3309,1.2858,1.2587,1.2831,1.2892,1.1316,0.9181,0.9158,0.9542,0.9724,1.0282,0.7933,0.4057,0.3685,0.3984,0.3512,0.3715,0.396,0.4018,0.4395,0.4709,0.4645,0.4233,0.3678,0.3187})</x:f>
        <x:v>54436.789598477786</x:v>
      </x:c>
    </x:row>
    <x:row r="302" ht="14" customHeight="1">
      <x:c r="A302" s="3">
        <x:v>45989</x:v>
      </x:c>
      <x:c r="B302" s="23" t="n">
        <x:v>407.0703938802083</x:v>
      </x:c>
      <x:c r="C302" s="23" t="n">
        <x:v>408.1825764973958</x:v>
      </x:c>
      <x:c r="D302" s="23" t="n">
        <x:v>421.211181640625</x:v>
      </x:c>
      <x:c r="E302" s="23" t="n">
        <x:v>409.96683756510413</x:v>
      </x:c>
      <x:c r="F302" s="23" t="n">
        <x:v>818.7843391153484</x:v>
      </x:c>
      <x:c r="G302" s="23" t="n">
        <x:v>425.57462565104163</x:v>
      </x:c>
      <x:c r="H302" s="23" t="n">
        <x:v>416.7556966145833</x:v>
      </x:c>
      <x:c r="I302" s="23" t="n">
        <x:v>417.6031087239583</x:v>
      </x:c>
      <x:c r="J302" s="23" t="n">
        <x:v>420.6264241536458</x:v>
      </x:c>
      <x:c r="K302" s="23" t="n">
        <x:v>422.7066243489583</x:v>
      </x:c>
      <x:c r="L302" s="23" t="n">
        <x:v>421.30301920572913</x:v>
      </x:c>
      <x:c r="M302" s="23" t="n">
        <x:v>428.48291015625</x:v>
      </x:c>
      <x:c r="N302" s="23" t="n">
        <x:v>1264.19775390625</x:v>
      </x:c>
      <x:c r="O302" s="23" t="n">
        <x:v>1258.337443033854</x:v>
      </x:c>
      <x:c r="P302" s="23" t="n">
        <x:v>435.5928955078125</x:v>
      </x:c>
      <x:c r="Q302" s="23" t="n">
        <x:v>436.716064453125</x:v>
      </x:c>
      <x:c r="R302" s="23" t="n">
        <x:v>443.84228515625</x:v>
      </x:c>
      <x:c r="S302" s="23" t="n">
        <x:v>442.2019856770833</x:v>
      </x:c>
      <x:c r="T302" s="23" t="n">
        <x:v>438.0682373046875</x:v>
      </x:c>
      <x:c r="U302" s="23" t="n">
        <x:v>436.8048095703125</x:v>
      </x:c>
      <x:c r="V302" s="23" t="n">
        <x:v>458.3048909505208</x:v>
      </x:c>
      <x:c r="W302" s="23" t="n">
        <x:v>459.1087239583333</x:v>
      </x:c>
      <x:c r="X302" s="23" t="n">
        <x:v>449.37137858072913</x:v>
      </x:c>
      <x:c r="Y302" s="23" t="n">
        <x:v>443.2025960286458</x:v>
      </x:c>
      <x:c r="Z302" s="23" t="n">
        <x:v>440.70829264322913</x:v>
      </x:c>
      <x:c r="AA302" s="23" t="n">
        <x:v>436.472900390625</x:v>
      </x:c>
      <x:c r="AB302" s="23" t="n">
        <x:v>439.46097819010413</x:v>
      </x:c>
      <x:c r="AC302" s="23" t="n">
        <x:v>444.1055908203125</x:v>
      </x:c>
      <x:c r="AD302" s="23" t="n">
        <x:v>440.5504964192708</x:v>
      </x:c>
      <x:c r="AE302" s="23" t="n">
        <x:v>440.9583333333333</x:v>
      </x:c>
      <x:c r="AF302" s="23" t="n">
        <x:v>443.1863606770833</x:v>
      </x:c>
      <x:c r="AG302" s="23" t="n">
        <x:v>443.4913330078125</x:v>
      </x:c>
      <x:c r="AH302" s="23" t="n">
        <x:v>445.73270670572913</x:v>
      </x:c>
      <x:c r="AI302" s="23" t="n">
        <x:v>442.34716796875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0</x:v>
      </x:c>
      <x:c r="CO302" s="23" t="n">
        <x:v>34.97997369189768</x:v>
      </x:c>
      <x:c r="CP302" s="23" t="n">
        <x:v>85.71975413584626</x:v>
      </x:c>
      <x:c r="CQ302" s="23" t="n">
        <x:v>136.82427355271471</x:v>
      </x:c>
      <x:c r="CR302" s="23" t="n">
        <x:v>200.26651103642848</x:v>
      </x:c>
      <x:c r="CS302" s="23" t="n">
        <x:v>256.0931476834027</x:v>
      </x:c>
      <x:c r="CT302" s="23" t="n">
        <x:v>291.31910084292895</x:v>
      </x:c>
      <x:c r="CU302" s="23" t="n">
        <x:v>334.2491333656555</x:v>
      </x:c>
      <x:c r="CV302" s="23" t="n">
        <x:v>402.14997493763985</x:v>
      </x:c>
      <x:c r="CW302" s="23" t="n">
        <x:v>459.1731234956802</x:v>
      </x:c>
      <x:c r="CX302" s="23" t="n">
        <x:v>451.6132700924667</x:v>
      </x:c>
      <x:c r="CY302" s="23" t="n">
        <x:v>422.71557334931083</x:v>
      </x:c>
      <x:c r="CZ302" s="23" t="n">
        <x:v>439.0897006407928</x:v>
      </x:c>
      <x:c r="DA302" s="23" t="n">
        <x:v>456.0219319661458</x:v>
      </x:c>
      <x:c r="DB302" s="23" t="n">
        <x:v>452.20463053385413</x:v>
      </x:c>
      <x:c r="DC302" s="23" t="n">
        <x:v>449.2052271461706</x:v>
      </x:c>
      <x:c r="DD302" s="23" t="n">
        <x:v>455.0550537109375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450.4691162109375</x:v>
      </x:c>
      <x:c r="DX302" s="23" t="n">
        <x:v>472.794677734375</x:v>
      </x:c>
      <x:c r="DY302" s="23" t="n">
        <x:v>28.91838216145834</x:v>
      </x:c>
      <x:c r="DZ302" s="23" t="n">
        <x:v>458.900146484375</x:v>
      </x:c>
      <x:c r="EA302" s="23" t="n">
        <x:v>463.9524099609376</x:v>
      </x:c>
      <x:c r="EB302" s="23" t="n">
        <x:v>445.0490315755208</x:v>
      </x:c>
      <x:c r="EC302" s="23" t="n">
        <x:v>1226.0424397786458</x:v>
      </x:c>
      <x:c r="ED302" s="23" t="n">
        <x:v>1226.290283203125</x:v>
      </x:c>
      <x:c r="EE302" s="23" t="n">
        <x:v>393.45255533854163</x:v>
      </x:c>
      <x:c r="EF302" s="23" t="n">
        <x:v>395.75113932291663</x:v>
      </x:c>
      <x:c r="EG302" s="23" t="n">
        <x:v>1229.9609375</x:v>
      </x:c>
      <x:c r="EH302" s="23" t="n">
        <x:v>1229.3184814453125</x:v>
      </x:c>
      <x:c r="EI302" s="23" t="n">
        <x:v>403.80741373697913</x:v>
      </x:c>
      <x:c r="EJ302" s="23" t="n">
        <x:v>406.831298828125</x:v>
      </x:c>
      <x:c r="EK302" s="23" t="n">
        <x:v>691.8086823037231</x:v>
      </x:c>
      <x:c r="EL302" s="23" t="n">
        <x:v>1238.3948974609375</x:v>
      </x:c>
      <x:c r="EM302" s="23" t="n">
        <x:v>408.3036702473958</x:v>
      </x:c>
      <x:c r="EN302" s="23" t="n">
        <x:v>406.8480224609375</x:v>
      </x:c>
      <x:c r="EO302" s="23" t="n">
        <x:v>1239.3374837239583</x:v>
      </x:c>
      <x:c r="EP302" s="23" t="n">
        <x:f>SUM(B302:EO302)</x:f>
        <x:v>34943.942411496784</x:v>
      </x:c>
      <x:c r="EQ302" s="23" t="n">
        <x:f>SUMPRODUCT(B302:EO302,{0.2917,0.296,0.3193,0.3348,0.3366,0.3346,0.344,0.3627,0.366,0.3298,0.3033,0.3036,0.3041,0.3075,0.3174,0.3298,0.3425,0.3416,0.3204,0.3428,0.3894,0.3743,0.3507,0.3497,0.3511,0.3596,0.3705,0.3643,0.3313,0.3099,0.3471,0.3476,0.3061,0.3405,0.5454,0.7851,0.807,0.779,0.7849,0.7524,0.7431,0.7738,0.7943,0.8071,0.7845,0.7162,0.818,1.0123,0.9954,0.9509,0.9612,0.921,0.8811,0.8806,0.9008,0.906,0.8794,0.8298,0.7785,0.7658,0.81,0.7852,0.7338,0.7885,0.6474,0.361,0.308,0.3354,0.3303,0.343,0.3621,0.3689,0.3594,0.3471,0.3222,0.2908,0.4209,0.6429,0.703,0.7177,0.7508,0.7441,0.742,0.7633,0.777,0.7675,0.7821,0.8538,0.7386,0.5206,0.5485,0.6484,0.668,0.6329,0.6471,0.7095,0.7305,0.7564,0.7784,0.7352,0.7144,0.753,0.7968,0.7804,0.7146,0.7021,0.8929,1.149,1.1614,1.1193,1.1301,1.1127,1.0709,1.0619,1.1337,1.184,1.1814,1.1782,1.1321,1.0743,1.0901,1.0953,1.1001,1.1622,1.0023,0.7287,0.7507,0.8009,0.769,0.7826,0.6119,0.3283,0.2762,0.317,0.3219,0.305,0.3107,0.3076,0.2408,0.2782,0.3897,0.3715,0.3361,0.333})</x:f>
        <x:v>14628.09229181623</x:v>
      </x:c>
    </x:row>
    <x:row r="303" ht="14" customHeight="1">
      <x:c r="A303" s="3">
        <x:v>45990</x:v>
      </x:c>
      <x:c r="B303" s="23" t="n">
        <x:v>408.5352783203125</x:v>
      </x:c>
      <x:c r="C303" s="23" t="n">
        <x:v>415.83951822916663</x:v>
      </x:c>
      <x:c r="D303" s="23" t="n">
        <x:v>422.96671549479163</x:v>
      </x:c>
      <x:c r="E303" s="23" t="n">
        <x:v>423.19840494791663</x:v>
      </x:c>
      <x:c r="F303" s="23" t="n">
        <x:v>422.83658854166663</x:v>
      </x:c>
      <x:c r="G303" s="23" t="n">
        <x:v>426.4503173828125</x:v>
      </x:c>
      <x:c r="H303" s="23" t="n">
        <x:v>415.9358723958333</x:v>
      </x:c>
      <x:c r="I303" s="23" t="n">
        <x:v>417.46085611979163</x:v>
      </x:c>
      <x:c r="J303" s="23" t="n">
        <x:v>426.2393391927083</x:v>
      </x:c>
      <x:c r="K303" s="23" t="n">
        <x:v>1256.150146484375</x:v>
      </x:c>
      <x:c r="L303" s="23" t="n">
        <x:v>416.2216389973958</x:v>
      </x:c>
      <x:c r="M303" s="23" t="n">
        <x:v>422.7957356770833</x:v>
      </x:c>
      <x:c r="N303" s="23" t="n">
        <x:v>1258.8651123046875</x:v>
      </x:c>
      <x:c r="O303" s="23" t="n">
        <x:v>1263.3589680989583</x:v>
      </x:c>
      <x:c r="P303" s="23" t="n">
        <x:v>433.2412109375</x:v>
      </x:c>
      <x:c r="Q303" s="23" t="n">
        <x:v>437.0435384114583</x:v>
      </x:c>
      <x:c r="R303" s="23" t="n">
        <x:v>435.0228271484375</x:v>
      </x:c>
      <x:c r="S303" s="23" t="n">
        <x:v>432.9140625</x:v>
      </x:c>
      <x:c r="T303" s="23" t="n">
        <x:v>442.5586751302083</x:v>
      </x:c>
      <x:c r="U303" s="23" t="n">
        <x:v>440.12451171875</x:v>
      </x:c>
      <x:c r="V303" s="23" t="n">
        <x:v>438.86295572916663</x:v>
      </x:c>
      <x:c r="W303" s="23" t="n">
        <x:v>442.90934244791663</x:v>
      </x:c>
      <x:c r="X303" s="23" t="n">
        <x:v>449.0625</x:v>
      </x:c>
      <x:c r="Y303" s="23" t="n">
        <x:v>448.1574300130208</x:v>
      </x:c>
      <x:c r="Z303" s="23" t="n">
        <x:v>141.90092359123645</x:v>
      </x:c>
      <x:c r="AA303" s="23" t="n">
        <x:v>447.9027913411458</x:v>
      </x:c>
      <x:c r="AB303" s="23" t="n">
        <x:v>438.9480794270833</x:v>
      </x:c>
      <x:c r="AC303" s="23" t="n">
        <x:v>444.865234375</x:v>
      </x:c>
      <x:c r="AD303" s="23" t="n">
        <x:v>447.50439453125</x:v>
      </x:c>
      <x:c r="AE303" s="23" t="n">
        <x:v>448.51859537760413</x:v>
      </x:c>
      <x:c r="AF303" s="23" t="n">
        <x:v>445.3636067708333</x:v>
      </x:c>
      <x:c r="AG303" s="23" t="n">
        <x:v>444.099853515625</x:v>
      </x:c>
      <x:c r="AH303" s="23" t="n">
        <x:v>449.0153401692708</x:v>
      </x:c>
      <x:c r="AI303" s="23" t="n">
        <x:v>434.64957682291663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0</x:v>
      </x:c>
      <x:c r="CN303" s="23" t="n">
        <x:v>0</x:v>
      </x:c>
      <x:c r="CO303" s="23" t="n">
        <x:v>48.13762130236212</x:v>
      </x:c>
      <x:c r="CP303" s="23" t="n">
        <x:v>102.10678869102367</x:v>
      </x:c>
      <x:c r="CQ303" s="23" t="n">
        <x:v>139.3265493731992</x:v>
      </x:c>
      <x:c r="CR303" s="23" t="n">
        <x:v>185.36442574630237</x:v>
      </x:c>
      <x:c r="CS303" s="23" t="n">
        <x:v>243.2561806007151</x:v>
      </x:c>
      <x:c r="CT303" s="23" t="n">
        <x:v>300.34159241444405</x:v>
      </x:c>
      <x:c r="CU303" s="23" t="n">
        <x:v>364.4104805335808</x:v>
      </x:c>
      <x:c r="CV303" s="23" t="n">
        <x:v>403.5161571519727</x:v>
      </x:c>
      <x:c r="CW303" s="23" t="n">
        <x:v>456.929055757475</x:v>
      </x:c>
      <x:c r="CX303" s="23" t="n">
        <x:v>460.7008043467496</x:v>
      </x:c>
      <x:c r="CY303" s="23" t="n">
        <x:v>420.63655425326954</x:v>
      </x:c>
      <x:c r="CZ303" s="23" t="n">
        <x:v>433.10485004873755</x:v>
      </x:c>
      <x:c r="DA303" s="23" t="n">
        <x:v>449.8790283203125</x:v>
      </x:c>
      <x:c r="DB303" s="23" t="n">
        <x:v>451.279541015625</x:v>
      </x:c>
      <x:c r="DC303" s="23" t="n">
        <x:v>445.35918445294175</x:v>
      </x:c>
      <x:c r="DD303" s="23" t="n">
        <x:v>15.213049713541977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453.0161946614583</x:v>
      </x:c>
      <x:c r="DX303" s="23" t="n">
        <x:v>454.85498046875</x:v>
      </x:c>
      <x:c r="DY303" s="23" t="n">
        <x:v>451.38639322916663</x:v>
      </x:c>
      <x:c r="DZ303" s="23" t="n">
        <x:v>451.72477213541663</x:v>
      </x:c>
      <x:c r="EA303" s="23" t="n">
        <x:v>453.7300208854163</x:v>
      </x:c>
      <x:c r="EB303" s="23" t="n">
        <x:v>449.1574300130208</x:v>
      </x:c>
      <x:c r="EC303" s="23" t="n">
        <x:v>1223.8244222005208</x:v>
      </x:c>
      <x:c r="ED303" s="23" t="n">
        <x:v>1221.4649251302083</x:v>
      </x:c>
      <x:c r="EE303" s="23" t="n">
        <x:v>1228.3815511067708</x:v>
      </x:c>
      <x:c r="EF303" s="23" t="n">
        <x:v>1234.4676106770833</x:v>
      </x:c>
      <x:c r="EG303" s="23" t="n">
        <x:v>1228.8072102864583</x:v>
      </x:c>
      <x:c r="EH303" s="23" t="n">
        <x:v>1229.1568196614583</x:v>
      </x:c>
      <x:c r="EI303" s="23" t="n">
        <x:v>412.7027587890625</x:v>
      </x:c>
      <x:c r="EJ303" s="23" t="n">
        <x:v>414.4458821614583</x:v>
      </x:c>
      <x:c r="EK303" s="23" t="n">
        <x:v>671.9230091467336</x:v>
      </x:c>
      <x:c r="EL303" s="23" t="n">
        <x:v>403.9617513020833</x:v>
      </x:c>
      <x:c r="EM303" s="23" t="n">
        <x:v>402.37919108072913</x:v>
      </x:c>
      <x:c r="EN303" s="23" t="n">
        <x:v>431.9118245442708</x:v>
      </x:c>
      <x:c r="EO303" s="23" t="n">
        <x:v>539.2430826822916</x:v>
      </x:c>
      <x:c r="EP303" s="23" t="n">
        <x:f>SUM(B303:EO303)</x:f>
        <x:v>35215.621636030526</x:v>
      </x:c>
      <x:c r="EQ303" s="23" t="n">
        <x:f>SUMPRODUCT(B303:EO303,{0.3007,0.3071,0.3443,0.3282,0.3092,0.3338,0.3907,0.3941,0.3514,0.351,0.3597,0.3453,0.317,0.3154,0.3249,0.2996,0.3212,0.3587,0.3021,0.2994,0.3735,0.3942,0.3773,0.343,0.2941,0.2996,0.338,0.3203,0.3153,0.3403,0.3431,0.3563,0.3621,0.3365,0.5055,0.7634,0.7634,0.7601,0.8333,0.8039,0.7678,0.7834,0.8051,0.812,0.7826,0.7308,0.8355,1.0236,1.0222,0.9283,0.8926,0.9671,0.9851,0.9048,0.8481,0.8727,0.9246,0.9023,0.8848,0.8727,0.7892,0.7426,0.7873,0.8413,0.6976,0.4404,0.3709,0.3794,0.3859,0.4247,0.4467,0.4312,0.4098,0.4135,0.4145,0.3912,0.5623,0.8196,0.8132,0.7656,0.7807,0.7433,0.7225,0.7668,0.8423,0.8662,0.8701,0.9274,0.7955,0.5523,0.5501,0.6432,0.6807,0.6594,0.6643,0.6948,0.6844,0.7218,0.8101,0.8403,0.7595,0.6802,0.7679,0.811,0.7356,0.7008,0.8554,1.0875,1.1287,1.1024,1.105,1.1076,1.0938,1.0722,1.0685,1.0928,1.1203,1.1146,1.1127,1.1314,1.15,1.1553,1.1653,1.1734,0.9793,0.7091,0.7187,0.7927,0.812,0.8298,0.6351,0.3356,0.2866,0.2949,0.2736,0.3289,0.3559,0.3254,0.3173,0.3249,0.3285,0.3321,0.3888,0.4358})</x:f>
        <x:v>14838.08450107152</x:v>
      </x:c>
    </x:row>
    <x:row r="304" ht="14" customHeight="1">
      <x:c r="A304" s="3">
        <x:v>45991</x:v>
      </x:c>
      <x:c r="B304" s="23" t="n">
        <x:v>584.9347330729166</x:v>
      </x:c>
      <x:c r="C304" s="23" t="n">
        <x:v>563.6763916015625</x:v>
      </x:c>
      <x:c r="D304" s="23" t="n">
        <x:v>575.664794921875</x:v>
      </x:c>
      <x:c r="E304" s="23" t="n">
        <x:v>578.5709635416666</x:v>
      </x:c>
      <x:c r="F304" s="23" t="n">
        <x:v>1187.2018674607762</x:v>
      </x:c>
      <x:c r="G304" s="23" t="n">
        <x:v>581.5446370442708</x:v>
      </x:c>
      <x:c r="H304" s="23" t="n">
        <x:v>564.9102783203125</x:v>
      </x:c>
      <x:c r="I304" s="23" t="n">
        <x:v>557.652587890625</x:v>
      </x:c>
      <x:c r="J304" s="23" t="n">
        <x:v>1405.8105061848958</x:v>
      </x:c>
      <x:c r="K304" s="23" t="n">
        <x:v>1393.9251302083333</x:v>
      </x:c>
      <x:c r="L304" s="23" t="n">
        <x:v>571.8024088541666</x:v>
      </x:c>
      <x:c r="M304" s="23" t="n">
        <x:v>592.9278971354166</x:v>
      </x:c>
      <x:c r="N304" s="23" t="n">
        <x:v>1418.444620768229</x:v>
      </x:c>
      <x:c r="O304" s="23" t="n">
        <x:v>1414.3188069661458</x:v>
      </x:c>
      <x:c r="P304" s="23" t="n">
        <x:v>594.6233317057291</x:v>
      </x:c>
      <x:c r="Q304" s="23" t="n">
        <x:v>595.1617838541666</x:v>
      </x:c>
      <x:c r="R304" s="23" t="n">
        <x:v>597.4179280598958</x:v>
      </x:c>
      <x:c r="S304" s="23" t="n">
        <x:v>585.3990478515625</x:v>
      </x:c>
      <x:c r="T304" s="23" t="n">
        <x:v>588.9066162109375</x:v>
      </x:c>
      <x:c r="U304" s="23" t="n">
        <x:v>597.4042561848958</x:v>
      </x:c>
      <x:c r="V304" s="23" t="n">
        <x:v>602.2486979166666</x:v>
      </x:c>
      <x:c r="W304" s="23" t="n">
        <x:v>601.0672200520833</x:v>
      </x:c>
      <x:c r="X304" s="23" t="n">
        <x:v>1430.0866292317708</x:v>
      </x:c>
      <x:c r="Y304" s="23" t="n">
        <x:v>592.003173828125</x:v>
      </x:c>
      <x:c r="Z304" s="23" t="n">
        <x:v>601.4477132161458</x:v>
      </x:c>
      <x:c r="AA304" s="23" t="n">
        <x:v>601.6213785807291</x:v>
      </x:c>
      <x:c r="AB304" s="23" t="n">
        <x:v>603.2032877604166</x:v>
      </x:c>
      <x:c r="AC304" s="23" t="n">
        <x:v>602.288818359375</x:v>
      </x:c>
      <x:c r="AD304" s="23" t="n">
        <x:v>605.9921468098958</x:v>
      </x:c>
      <x:c r="AE304" s="23" t="n">
        <x:v>609.7193603515625</x:v>
      </x:c>
      <x:c r="AF304" s="23" t="n">
        <x:v>600.3653157552083</x:v>
      </x:c>
      <x:c r="AG304" s="23" t="n">
        <x:v>603.0530192057291</x:v>
      </x:c>
      <x:c r="AH304" s="23" t="n">
        <x:v>610.049072265625</x:v>
      </x:c>
      <x:c r="AI304" s="23" t="n">
        <x:v>1433.1883544921875</x:v>
      </x:c>
      <x:c r="AJ304" s="23" t="n">
        <x:v>627.9645182291666</x:v>
      </x:c>
      <x:c r="AK304" s="23" t="n">
        <x:v>0</x:v>
      </x:c>
      <x:c r="AL304" s="23" t="n">
        <x:v>809.674560546875</x:v>
      </x:c>
      <x:c r="AM304" s="23" t="n">
        <x:v>790.3824260613261</x:v>
      </x:c>
      <x:c r="AN304" s="23" t="n">
        <x:v>810.0654296875</x:v>
      </x:c>
      <x:c r="AO304" s="23" t="n">
        <x:v>796.4181315104166</x:v>
      </x:c>
      <x:c r="AP304" s="23" t="n">
        <x:v>783.0334658485904</x:v>
      </x:c>
      <x:c r="AQ304" s="23" t="n">
        <x:v>772.4506484653635</x:v>
      </x:c>
      <x:c r="AR304" s="23" t="n">
        <x:v>721.7821944990053</x:v>
      </x:c>
      <x:c r="AS304" s="23" t="n">
        <x:v>694.7999778650683</x:v>
      </x:c>
      <x:c r="AT304" s="23" t="n">
        <x:v>650.9133061940882</x:v>
      </x:c>
      <x:c r="AU304" s="23" t="n">
        <x:v>582.5602998471302</x:v>
      </x:c>
      <x:c r="AV304" s="23" t="n">
        <x:v>131.4133283406495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53.38736595444076</x:v>
      </x:c>
      <x:c r="BO304" s="23" t="n">
        <x:v>870.18000626307</x:v>
      </x:c>
      <x:c r="BP304" s="23" t="n">
        <x:v>868.0410683212694</x:v>
      </x:c>
      <x:c r="BQ304" s="23" t="n">
        <x:v>858.1012056951804</x:v>
      </x:c>
      <x:c r="BR304" s="23" t="n">
        <x:v>846.267491539256</x:v>
      </x:c>
      <x:c r="BS304" s="23" t="n">
        <x:v>842.8036121649571</x:v>
      </x:c>
      <x:c r="BT304" s="23" t="n">
        <x:v>815.2284948021963</x:v>
      </x:c>
      <x:c r="BU304" s="23" t="n">
        <x:v>782.6182512341829</x:v>
      </x:c>
      <x:c r="BV304" s="23" t="n">
        <x:v>764.7059627132654</x:v>
      </x:c>
      <x:c r="BW304" s="23" t="n">
        <x:v>778.9657934909661</x:v>
      </x:c>
      <x:c r="BX304" s="23" t="n">
        <x:v>770.865182875084</x:v>
      </x:c>
      <x:c r="BY304" s="23" t="n">
        <x:v>767.969575848043</x:v>
      </x:c>
      <x:c r="BZ304" s="23" t="n">
        <x:v>794.2501260382344</x:v>
      </x:c>
      <x:c r="CA304" s="23" t="n">
        <x:v>12.324681951947088</x:v>
      </x:c>
      <x:c r="CB304" s="23" t="n">
        <x:v>25.468412002476875</x:v>
      </x:c>
      <x:c r="CC304" s="23" t="n">
        <x:v>53.083879219908795</x:v>
      </x:c>
      <x:c r="CD304" s="23" t="n">
        <x:v>84.91982326941464</x:v>
      </x:c>
      <x:c r="CE304" s="23" t="n">
        <x:v>100.49572848007513</x:v>
      </x:c>
      <x:c r="CF304" s="23" t="n">
        <x:v>124.16612080973178</x:v>
      </x:c>
      <x:c r="CG304" s="23" t="n">
        <x:v>0</x:v>
      </x:c>
      <x:c r="CH304" s="23" t="n">
        <x:v>194.05266755476413</x:v>
      </x:c>
      <x:c r="CI304" s="23" t="n">
        <x:v>227.10706944638392</x:v>
      </x:c>
      <x:c r="CJ304" s="23" t="n">
        <x:v>0</x:v>
      </x:c>
      <x:c r="CK304" s="23" t="n">
        <x:v>0</x:v>
      </x:c>
      <x:c r="CL304" s="23" t="n">
        <x:v>0</x:v>
      </x:c>
      <x:c r="CM304" s="23" t="n">
        <x:v>920.5165013263328</x:v>
      </x:c>
      <x:c r="CN304" s="23" t="n">
        <x:v>1287.614212394259</x:v>
      </x:c>
      <x:c r="CO304" s="23" t="n">
        <x:v>507.0958186096926</x:v>
      </x:c>
      <x:c r="CP304" s="23" t="n">
        <x:v>552.3609023955865</x:v>
      </x:c>
      <x:c r="CQ304" s="23" t="n">
        <x:v>603.1076315289289</x:v>
      </x:c>
      <x:c r="CR304" s="23" t="n">
        <x:v>647.4752521228061</x:v>
      </x:c>
      <x:c r="CS304" s="23" t="n">
        <x:v>703.3063520231714</x:v>
      </x:c>
      <x:c r="CT304" s="23" t="n">
        <x:v>753.5476158639035</x:v>
      </x:c>
      <x:c r="CU304" s="23" t="n">
        <x:v>811.2645466276806</x:v>
      </x:c>
      <x:c r="CV304" s="23" t="n">
        <x:v>860.5861982505512</x:v>
      </x:c>
      <x:c r="CW304" s="23" t="n">
        <x:v>905.4489789713426</x:v>
      </x:c>
      <x:c r="CX304" s="23" t="n">
        <x:v>959.2117905846554</x:v>
      </x:c>
      <x:c r="CY304" s="23" t="n">
        <x:v>1001.2369706675378</x:v>
      </x:c>
      <x:c r="CZ304" s="23" t="n">
        <x:v>1016.8053272332742</x:v>
      </x:c>
      <x:c r="DA304" s="23" t="n">
        <x:v>995.9589773187811</x:v>
      </x:c>
      <x:c r="DB304" s="23" t="n">
        <x:v>1022.8748372395833</x:v>
      </x:c>
      <x:c r="DC304" s="23" t="n">
        <x:v>1036.736242882761</x:v>
      </x:c>
      <x:c r="DD304" s="23" t="n">
        <x:v>913.143798828125</x:v>
      </x:c>
      <x:c r="DE304" s="23" t="n">
        <x:v>0</x:v>
      </x:c>
      <x:c r="DF304" s="23" t="n">
        <x:v>0</x:v>
      </x:c>
      <x:c r="DG304" s="23" t="n">
        <x:v>0</x:v>
      </x:c>
      <x:c r="DH304" s="23" t="n">
        <x:v>0</x:v>
      </x:c>
      <x:c r="DI304" s="23" t="n">
        <x:v>0</x:v>
      </x:c>
      <x:c r="DJ304" s="23" t="n">
        <x:v>0</x:v>
      </x:c>
      <x:c r="DK304" s="23" t="n">
        <x:v>695.0390625</x:v>
      </x:c>
      <x:c r="DL304" s="23" t="n">
        <x:v>395.4034439583338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672.318359375</x:v>
      </x:c>
      <x:c r="DR304" s="23" t="n">
        <x:v>682.3505452473958</x:v>
      </x:c>
      <x:c r="DS304" s="23" t="n">
        <x:v>682.794677734375</x:v>
      </x:c>
      <x:c r="DT304" s="23" t="n">
        <x:v>0</x:v>
      </x:c>
      <x:c r="DU304" s="23" t="n">
        <x:v>0</x:v>
      </x:c>
      <x:c r="DV304" s="23" t="n">
        <x:v>733.416748046875</x:v>
      </x:c>
      <x:c r="DW304" s="23" t="n">
        <x:v>708.8111710873197</x:v>
      </x:c>
      <x:c r="DX304" s="23" t="n">
        <x:v>723.229248046875</x:v>
      </x:c>
      <x:c r="DY304" s="23" t="n">
        <x:v>724.562255859375</x:v>
      </x:c>
      <x:c r="DZ304" s="23" t="n">
        <x:v>695.9734304430297</x:v>
      </x:c>
      <x:c r="EA304" s="23" t="n">
        <x:v>700.220947265625</x:v>
      </x:c>
      <x:c r="EB304" s="23" t="n">
        <x:v>626.0605061848958</x:v>
      </x:c>
      <x:c r="EC304" s="23" t="n">
        <x:v>1368.9828287760415</x:v>
      </x:c>
      <x:c r="ED304" s="23" t="n">
        <x:v>795.2047457642104</x:v>
      </x:c>
      <x:c r="EE304" s="23" t="n">
        <x:v>548.8710530598958</x:v>
      </x:c>
      <x:c r="EF304" s="23" t="n">
        <x:v>1385.710001627604</x:v>
      </x:c>
      <x:c r="EG304" s="23" t="n">
        <x:v>1377.908976236979</x:v>
      </x:c>
      <x:c r="EH304" s="23" t="n">
        <x:v>1377.3307291666665</x:v>
      </x:c>
      <x:c r="EI304" s="23" t="n">
        <x:v>1382.5675455729165</x:v>
      </x:c>
      <x:c r="EJ304" s="23" t="n">
        <x:v>552.7532145182291</x:v>
      </x:c>
      <x:c r="EK304" s="23" t="n">
        <x:v>1387.316162109375</x:v>
      </x:c>
      <x:c r="EL304" s="23" t="n">
        <x:v>550.1565755208333</x:v>
      </x:c>
      <x:c r="EM304" s="23" t="n">
        <x:v>558.7508138020833</x:v>
      </x:c>
      <x:c r="EN304" s="23" t="n">
        <x:v>567.7678629557291</x:v>
      </x:c>
      <x:c r="EO304" s="23" t="n">
        <x:v>589.2798258463541</x:v>
      </x:c>
      <x:c r="EP304" s="23" t="n">
        <x:f>SUM(B304:EO304)</x:f>
        <x:v>80434.16626800894</x:v>
      </x:c>
      <x:c r="EQ304" s="23" t="n">
        <x:f>SUMPRODUCT(B304:EO304,{0.3651,0.3887,0.4989,0.4733,0.4283,0.4194,0.384,0.3814,0.4216,0.4444,0.4373,0.415,0.4026,0.4101,0.4287,0.4385,0.4348,0.4278,0.4344,0.4543,0.4647,0.4459,0.4574,0.4694,0.401,0.3965,0.4627,0.4565,0.4173,0.3997,0.4199,0.4668,0.4725,0.4101,0.6011,0.9661,1.0727,1.0258,0.9838,0.9977,1.0296,1.0206,0.942,0.8811,0.8543,0.8433,1.0726,1.3886,1.3729,1.2931,1.2917,1.2541,1.2424,1.2546,1.2171,1.2111,1.2335,1.1925,1.1368,1.1118,1.1091,1.0719,1.0288,1.0385,0.9067,0.6881,0.6504,0.6645,0.6592,0.6888,0.6743,0.6278,0.6452,0.6541,0.6047,0.5544,0.7114,0.9976,1.1064,1.1045,1.0692,1.0116,1.0202,1.085,1.1048,1.0895,1.0983,1.151,1.0426,0.8429,0.8434,0.9026,0.9061,0.8907,0.9378,1.0043,0.9764,0.9849,1.0504,1.0648,1.0935,1.1242,1.0745,1.069,1.1124,1.0982,1.1531,1.2624,1.271,1.2677,1.2762,1.2297,1.2052,1.2295,1.2538,1.2789,1.2939,1.2795,1.2806,1.3079,1.3257,1.3164,1.3101,1.3211,1.1488,0.9072,0.9296,0.9644,0.9425,0.997,0.7633,0.3795,0.3885,0.4507,0.3884,0.3723,0.407,0.4265,0.3878,0.4289,0.5072,0.443,0.4038,0.4486})</x:f>
        <x:v>55595.98749621748</x:v>
      </x:c>
    </x:row>
    <x:row r="305" ht="14" customHeight="1">
      <x:c r="A305" s="3">
        <x:v>45992</x:v>
      </x:c>
      <x:c r="B305" s="23" t="n">
        <x:v>575.6814778645833</x:v>
      </x:c>
      <x:c r="C305" s="23" t="n">
        <x:v>567.6173502604166</x:v>
      </x:c>
      <x:c r="D305" s="23" t="n">
        <x:v>575.0297037760416</x:v>
      </x:c>
      <x:c r="E305" s="23" t="n">
        <x:v>566.6035563151041</x:v>
      </x:c>
      <x:c r="F305" s="23" t="n">
        <x:v>573.885498046875</x:v>
      </x:c>
      <x:c r="G305" s="23" t="n">
        <x:v>587.4879557291666</x:v>
      </x:c>
      <x:c r="H305" s="23" t="n">
        <x:v>586.4355875651041</x:v>
      </x:c>
      <x:c r="I305" s="23" t="n">
        <x:v>584.9436442057291</x:v>
      </x:c>
      <x:c r="J305" s="23" t="n">
        <x:v>586.5289713541666</x:v>
      </x:c>
      <x:c r="K305" s="23" t="n">
        <x:v>1408.8416341145833</x:v>
      </x:c>
      <x:c r="L305" s="23" t="n">
        <x:v>586.9488932291666</x:v>
      </x:c>
      <x:c r="M305" s="23" t="n">
        <x:v>597.450927734375</x:v>
      </x:c>
      <x:c r="N305" s="23" t="n">
        <x:v>588.4066569010416</x:v>
      </x:c>
      <x:c r="O305" s="23" t="n">
        <x:v>1410.9889729817708</x:v>
      </x:c>
      <x:c r="P305" s="23" t="n">
        <x:v>1408.5545247395833</x:v>
      </x:c>
      <x:c r="Q305" s="23" t="n">
        <x:v>1415.401611328125</x:v>
      </x:c>
      <x:c r="R305" s="23" t="n">
        <x:v>595.7931315104166</x:v>
      </x:c>
      <x:c r="S305" s="23" t="n">
        <x:v>598.4051513671875</x:v>
      </x:c>
      <x:c r="T305" s="23" t="n">
        <x:v>599.0646158854166</x:v>
      </x:c>
      <x:c r="U305" s="23" t="n">
        <x:v>1151.2891972720552</x:v>
      </x:c>
      <x:c r="V305" s="23" t="n">
        <x:v>603.647216796875</x:v>
      </x:c>
      <x:c r="W305" s="23" t="n">
        <x:v>606.0796712239583</x:v>
      </x:c>
      <x:c r="X305" s="23" t="n">
        <x:v>608.5727945963541</x:v>
      </x:c>
      <x:c r="Y305" s="23" t="n">
        <x:v>606.06884765625</x:v>
      </x:c>
      <x:c r="Z305" s="23" t="n">
        <x:v>602.0447998046875</x:v>
      </x:c>
      <x:c r="AA305" s="23" t="n">
        <x:v>597.6678466796875</x:v>
      </x:c>
      <x:c r="AB305" s="23" t="n">
        <x:v>604.279541015625</x:v>
      </x:c>
      <x:c r="AC305" s="23" t="n">
        <x:v>1439.822062174479</x:v>
      </x:c>
      <x:c r="AD305" s="23" t="n">
        <x:v>608.4406331380208</x:v>
      </x:c>
      <x:c r="AE305" s="23" t="n">
        <x:v>605.2265625</x:v>
      </x:c>
      <x:c r="AF305" s="23" t="n">
        <x:v>605.3086751302083</x:v>
      </x:c>
      <x:c r="AG305" s="23" t="n">
        <x:v>611.9045003255208</x:v>
      </x:c>
      <x:c r="AH305" s="23" t="n">
        <x:v>613.294189453125</x:v>
      </x:c>
      <x:c r="AI305" s="23" t="n">
        <x:v>1420.3382161458333</x:v>
      </x:c>
      <x:c r="AJ305" s="23" t="n">
        <x:v>639.8743896484375</x:v>
      </x:c>
      <x:c r="AK305" s="23" t="n">
        <x:v>794.3128255208333</x:v>
      </x:c>
      <x:c r="AL305" s="23" t="n">
        <x:v>14.89575001619096</x:v>
      </x:c>
      <x:c r="AM305" s="23" t="n">
        <x:v>797.0247566523769</x:v>
      </x:c>
      <x:c r="AN305" s="23" t="n">
        <x:v>800.9132486979166</x:v>
      </x:c>
      <x:c r="AO305" s="23" t="n">
        <x:v>797.5299423650952</x:v>
      </x:c>
      <x:c r="AP305" s="23" t="n">
        <x:v>803.5940175117587</x:v>
      </x:c>
      <x:c r="AQ305" s="23" t="n">
        <x:v>786.5590576457635</x:v>
      </x:c>
      <x:c r="AR305" s="23" t="n">
        <x:v>734.8742161250548</x:v>
      </x:c>
      <x:c r="AS305" s="23" t="n">
        <x:v>685.2747362099827</x:v>
      </x:c>
      <x:c r="AT305" s="23" t="n">
        <x:v>626.3489995334196</x:v>
      </x:c>
      <x:c r="AU305" s="23" t="n">
        <x:v>584.0687264614355</x:v>
      </x:c>
      <x:c r="AV305" s="23" t="n">
        <x:v>533.8089954507759</x:v>
      </x:c>
      <x:c r="AW305" s="23" t="n">
        <x:v>21.327230888956212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77.88634741174822</x:v>
      </x:c>
      <x:c r="BO305" s="23" t="n">
        <x:v>896.4487500541605</x:v>
      </x:c>
      <x:c r="BP305" s="23" t="n">
        <x:v>892.4296502264639</x:v>
      </x:c>
      <x:c r="BQ305" s="23" t="n">
        <x:v>882.7447769649034</x:v>
      </x:c>
      <x:c r="BR305" s="23" t="n">
        <x:v>866.3205878827114</x:v>
      </x:c>
      <x:c r="BS305" s="23" t="n">
        <x:v>871.8347486980647</x:v>
      </x:c>
      <x:c r="BT305" s="23" t="n">
        <x:v>863.1196628804373</x:v>
      </x:c>
      <x:c r="BU305" s="23" t="n">
        <x:v>810.375179141867</x:v>
      </x:c>
      <x:c r="BV305" s="23" t="n">
        <x:v>792.8564359984402</x:v>
      </x:c>
      <x:c r="BW305" s="23" t="n">
        <x:v>798.4292936020598</x:v>
      </x:c>
      <x:c r="BX305" s="23" t="n">
        <x:v>796.4415959987915</x:v>
      </x:c>
      <x:c r="BY305" s="23" t="n">
        <x:v>797.3428647793205</x:v>
      </x:c>
      <x:c r="BZ305" s="23" t="n">
        <x:v>819.1525906747102</x:v>
      </x:c>
      <x:c r="CA305" s="23" t="n">
        <x:v>30.41301934303737</x:v>
      </x:c>
      <x:c r="CB305" s="23" t="n">
        <x:v>57.80565163249442</x:v>
      </x:c>
      <x:c r="CC305" s="23" t="n">
        <x:v>90.60476866169816</x:v>
      </x:c>
      <x:c r="CD305" s="23" t="n">
        <x:v>0</x:v>
      </x:c>
      <x:c r="CE305" s="23" t="n">
        <x:v>116.4382935361406</x:v>
      </x:c>
      <x:c r="CF305" s="23" t="n">
        <x:v>132.229365696044</x:v>
      </x:c>
      <x:c r="CG305" s="23" t="n">
        <x:v>184.2735101415398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368.4110194426115</x:v>
      </x:c>
      <x:c r="CM305" s="23" t="n">
        <x:v>1101.0627464541626</x:v>
      </x:c>
      <x:c r="CN305" s="23" t="n">
        <x:v>1315.8834541020324</x:v>
      </x:c>
      <x:c r="CO305" s="23" t="n">
        <x:v>522.2668113110803</x:v>
      </x:c>
      <x:c r="CP305" s="23" t="n">
        <x:v>568.2925149762013</x:v>
      </x:c>
      <x:c r="CQ305" s="23" t="n">
        <x:v>610.781438145011</x:v>
      </x:c>
      <x:c r="CR305" s="23" t="n">
        <x:v>662.612752048753</x:v>
      </x:c>
      <x:c r="CS305" s="23" t="n">
        <x:v>720.996707788681</x:v>
      </x:c>
      <x:c r="CT305" s="23" t="n">
        <x:v>763.2070676176781</x:v>
      </x:c>
      <x:c r="CU305" s="23" t="n">
        <x:v>811.9888456342998</x:v>
      </x:c>
      <x:c r="CV305" s="23" t="n">
        <x:v>866.0664334724911</x:v>
      </x:c>
      <x:c r="CW305" s="23" t="n">
        <x:v>917.9678473535832</x:v>
      </x:c>
      <x:c r="CX305" s="23" t="n">
        <x:v>960.7220143098939</x:v>
      </x:c>
      <x:c r="CY305" s="23" t="n">
        <x:v>994.7030398061812</x:v>
      </x:c>
      <x:c r="CZ305" s="23" t="n">
        <x:v>1007.2376590910983</x:v>
      </x:c>
      <x:c r="DA305" s="23" t="n">
        <x:v>1003.3465813739015</x:v>
      </x:c>
      <x:c r="DB305" s="23" t="n">
        <x:v>1014.9754231770833</x:v>
      </x:c>
      <x:c r="DC305" s="23" t="n">
        <x:v>1037.4940045921849</x:v>
      </x:c>
      <x:c r="DD305" s="23" t="n">
        <x:v>921.8944498697916</x:v>
      </x:c>
      <x:c r="DE305" s="23" t="n">
        <x:v>694.2822265625</x:v>
      </x:c>
      <x:c r="DF305" s="23" t="n">
        <x:v>10.999458919271849</x:v>
      </x:c>
      <x:c r="DG305" s="23" t="n">
        <x:v>0</x:v>
      </x:c>
      <x:c r="DH305" s="23" t="n">
        <x:v>715.5940755208333</x:v>
      </x:c>
      <x:c r="DI305" s="23" t="n">
        <x:v>0</x:v>
      </x:c>
      <x:c r="DJ305" s="23" t="n">
        <x:v>0</x:v>
      </x:c>
      <x:c r="DK305" s="23" t="n">
        <x:v>0</x:v>
      </x:c>
      <x:c r="DL305" s="23" t="n">
        <x:v>724.08935546875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723.62451171875</x:v>
      </x:c>
      <x:c r="DR305" s="23" t="n">
        <x:v>720.6826171875</x:v>
      </x:c>
      <x:c r="DS305" s="23" t="n">
        <x:v>0</x:v>
      </x:c>
      <x:c r="DT305" s="23" t="n">
        <x:v>0</x:v>
      </x:c>
      <x:c r="DU305" s="23" t="n">
        <x:v>0</x:v>
      </x:c>
      <x:c r="DV305" s="23" t="n">
        <x:v>724.1964518229166</x:v>
      </x:c>
      <x:c r="DW305" s="23" t="n">
        <x:v>720.4903971354166</x:v>
      </x:c>
      <x:c r="DX305" s="23" t="n">
        <x:v>721.5794888519163</x:v>
      </x:c>
      <x:c r="DY305" s="23" t="n">
        <x:v>720.5667317708333</x:v>
      </x:c>
      <x:c r="DZ305" s="23" t="n">
        <x:v>726.7954915364583</x:v>
      </x:c>
      <x:c r="EA305" s="23" t="n">
        <x:v>726.1272168749999</x:v>
      </x:c>
      <x:c r="EB305" s="23" t="n">
        <x:v>673.0584828776041</x:v>
      </x:c>
      <x:c r="EC305" s="23" t="n">
        <x:v>566.9762776692708</x:v>
      </x:c>
      <x:c r="ED305" s="23" t="n">
        <x:v>1377.410441080729</x:v>
      </x:c>
      <x:c r="EE305" s="23" t="n">
        <x:v>1380.8327229817708</x:v>
      </x:c>
      <x:c r="EF305" s="23" t="n">
        <x:v>1385.579833984375</x:v>
      </x:c>
      <x:c r="EG305" s="23" t="n">
        <x:v>1384.1599934895833</x:v>
      </x:c>
      <x:c r="EH305" s="23" t="n">
        <x:v>1385.1241455078125</x:v>
      </x:c>
      <x:c r="EI305" s="23" t="n">
        <x:v>565.350830078125</x:v>
      </x:c>
      <x:c r="EJ305" s="23" t="n">
        <x:v>579.2378743489583</x:v>
      </x:c>
      <x:c r="EK305" s="23" t="n">
        <x:v>576.8835856119791</x:v>
      </x:c>
      <x:c r="EL305" s="23" t="n">
        <x:v>559.7177327473958</x:v>
      </x:c>
      <x:c r="EM305" s="23" t="n">
        <x:v>563.5266520182291</x:v>
      </x:c>
      <x:c r="EN305" s="23" t="n">
        <x:v>1395.390625</x:v>
      </x:c>
      <x:c r="EO305" s="23" t="n">
        <x:v>835.6224114502958</x:v>
      </x:c>
      <x:c r="EP305" s="23" t="n">
        <x:f>SUM(B305:EO305)</x:f>
        <x:v>82423.41904765714</x:v>
      </x:c>
      <x:c r="EQ305" s="23" t="n">
        <x:f>SUMPRODUCT(B305:EO305,{0.4668,0.459,0.4551,0.4711,0.4726,0.4604,0.4661,0.4548,0.4441,0.4865,0.5013,0.4763,0.4806,0.4973,0.4904,0.4519,0.4641,0.4997,0.4567,0.4576,0.5092,0.4888,0.4469,0.4453,0.4923,0.5218,0.5213,0.5318,0.525,0.51,0.5319,0.5575,0.5074,0.3889,0.628,1.0747,1.1227,1.0516,1.0707,1.0994,1.0956,1.058,1.0191,1.0262,1.0086,0.8959,1.0789,1.4345,1.4229,1.343,1.3625,1.3423,1.3072,1.2838,1.2581,1.2258,1.186,1.1638,1.2789,1.4359,1.3979,1.3137,1.3199,1.3654,1.1188,0.7142,0.6396,0.6731,0.6616,0.6732,0.6557,0.6204,0.6407,0.6549,0.6148,0.5703,0.7545,1.0472,1.0786,1.0617,1.0863,1.0468,1.1334,1.3134,1.3445,1.3425,1.3991,1.4401,1.2145,0.8635,0.8135,0.8983,0.9525,0.9713,0.9751,0.9872,1.0175,1.0291,1.0325,1.0717,1.0924,1.1036,1.1632,1.1753,1.1142,1.0659,1.1209,1.2316,1.2633,1.2811,1.2911,1.2498,1.3438,1.5206,1.5238,1.4688,1.4632,1.5002,1.5299,1.5333,1.5254,1.5009,1.516,1.5873,1.3316,0.9122,0.902,0.9455,0.9198,1.0124,0.7962,0.3952,0.4014,0.4551,0.3765,0.361,0.4017,0.4438,0.454,0.4517,0.4488,0.4413,0.4455,0.4603})</x:f>
        <x:v>60483.97707165383</x:v>
      </x:c>
    </x:row>
    <x:row r="306" ht="14" customHeight="1">
      <x:c r="A306" s="3">
        <x:v>45993</x:v>
      </x:c>
      <x:c r="B306" s="23" t="n">
        <x:v>578.5537516276041</x:v>
      </x:c>
      <x:c r="C306" s="23" t="n">
        <x:v>588.5799153645833</x:v>
      </x:c>
      <x:c r="D306" s="23" t="n">
        <x:v>575.7156168619791</x:v>
      </x:c>
      <x:c r="E306" s="23" t="n">
        <x:v>1402.7293701171875</x:v>
      </x:c>
      <x:c r="F306" s="23" t="n">
        <x:v>571.546142578125</x:v>
      </x:c>
      <x:c r="G306" s="23" t="n">
        <x:v>581.1776936848958</x:v>
      </x:c>
      <x:c r="H306" s="23" t="n">
        <x:v>581.6337890625</x:v>
      </x:c>
      <x:c r="I306" s="23" t="n">
        <x:v>584.1566162109375</x:v>
      </x:c>
      <x:c r="J306" s="23" t="n">
        <x:v>597.7505289713541</x:v>
      </x:c>
      <x:c r="K306" s="23" t="n">
        <x:v>598.3284912109375</x:v>
      </x:c>
      <x:c r="L306" s="23" t="n">
        <x:v>591.6500651041666</x:v>
      </x:c>
      <x:c r="M306" s="23" t="n">
        <x:v>1191.1315172421555</x:v>
      </x:c>
      <x:c r="N306" s="23" t="n">
        <x:v>1428.5636393229165</x:v>
      </x:c>
      <x:c r="O306" s="23" t="n">
        <x:v>1429.5521647135415</x:v>
      </x:c>
      <x:c r="P306" s="23" t="n">
        <x:v>1444.372355143229</x:v>
      </x:c>
      <x:c r="Q306" s="23" t="n">
        <x:v>1448.9638264973958</x:v>
      </x:c>
      <x:c r="R306" s="23" t="n">
        <x:v>618.0115152994791</x:v>
      </x:c>
      <x:c r="S306" s="23" t="n">
        <x:v>617.5784098307291</x:v>
      </x:c>
      <x:c r="T306" s="23" t="n">
        <x:v>620.6745198567708</x:v>
      </x:c>
      <x:c r="U306" s="23" t="n">
        <x:v>619.1722412109375</x:v>
      </x:c>
      <x:c r="V306" s="23" t="n">
        <x:v>618.111083984375</x:v>
      </x:c>
      <x:c r="W306" s="23" t="n">
        <x:v>624.357177734375</x:v>
      </x:c>
      <x:c r="X306" s="23" t="n">
        <x:v>627.8933919270833</x:v>
      </x:c>
      <x:c r="Y306" s="23" t="n">
        <x:v>628.105224609375</x:v>
      </x:c>
      <x:c r="Z306" s="23" t="n">
        <x:v>628.822021484375</x:v>
      </x:c>
      <x:c r="AA306" s="23" t="n">
        <x:v>618.2068684895833</x:v>
      </x:c>
      <x:c r="AB306" s="23" t="n">
        <x:v>626.9235432942708</x:v>
      </x:c>
      <x:c r="AC306" s="23" t="n">
        <x:v>624.3120524088541</x:v>
      </x:c>
      <x:c r="AD306" s="23" t="n">
        <x:v>628.8695475260416</x:v>
      </x:c>
      <x:c r="AE306" s="23" t="n">
        <x:v>620.7303466796875</x:v>
      </x:c>
      <x:c r="AF306" s="23" t="n">
        <x:v>627.642578125</x:v>
      </x:c>
      <x:c r="AG306" s="23" t="n">
        <x:v>626.452392578125</x:v>
      </x:c>
      <x:c r="AH306" s="23" t="n">
        <x:v>615.8315022786458</x:v>
      </x:c>
      <x:c r="AI306" s="23" t="n">
        <x:v>1440.8460693359375</x:v>
      </x:c>
      <x:c r="AJ306" s="23" t="n">
        <x:v>662.0835367838541</x:v>
      </x:c>
      <x:c r="AK306" s="23" t="n">
        <x:v>813.465576171875</x:v>
      </x:c>
      <x:c r="AL306" s="23" t="n">
        <x:v>837.7449544270833</x:v>
      </x:c>
      <x:c r="AM306" s="23" t="n">
        <x:v>832.8644231606946</x:v>
      </x:c>
      <x:c r="AN306" s="23" t="n">
        <x:v>837.1073404947916</x:v>
      </x:c>
      <x:c r="AO306" s="23" t="n">
        <x:v>830.1249335981556</x:v>
      </x:c>
      <x:c r="AP306" s="23" t="n">
        <x:v>829.7731600461731</x:v>
      </x:c>
      <x:c r="AQ306" s="23" t="n">
        <x:v>816.4312675464968</x:v>
      </x:c>
      <x:c r="AR306" s="23" t="n">
        <x:v>772.2503546181781</x:v>
      </x:c>
      <x:c r="AS306" s="23" t="n">
        <x:v>727.7868636789505</x:v>
      </x:c>
      <x:c r="AT306" s="23" t="n">
        <x:v>676.9982182623521</x:v>
      </x:c>
      <x:c r="AU306" s="23" t="n">
        <x:v>612.0709755939056</x:v>
      </x:c>
      <x:c r="AV306" s="23" t="n">
        <x:v>660.1682258044636</x:v>
      </x:c>
      <x:c r="AW306" s="23" t="n">
        <x:v>70.1814228804175</x:v>
      </x:c>
      <x:c r="AX306" s="23" t="n">
        <x:v>37.2174261288131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177.26062477656188</x:v>
      </x:c>
      <x:c r="BN306" s="23" t="n">
        <x:v>147.43917274211844</x:v>
      </x:c>
      <x:c r="BO306" s="23" t="n">
        <x:v>959.4869809121528</x:v>
      </x:c>
      <x:c r="BP306" s="23" t="n">
        <x:v>941.6514543553719</x:v>
      </x:c>
      <x:c r="BQ306" s="23" t="n">
        <x:v>926.0630667245125</x:v>
      </x:c>
      <x:c r="BR306" s="23" t="n">
        <x:v>909.2499367099108</x:v>
      </x:c>
      <x:c r="BS306" s="23" t="n">
        <x:v>898.1634374060559</x:v>
      </x:c>
      <x:c r="BT306" s="23" t="n">
        <x:v>881.331093698736</x:v>
      </x:c>
      <x:c r="BU306" s="23" t="n">
        <x:v>831.7872738564183</x:v>
      </x:c>
      <x:c r="BV306" s="23" t="n">
        <x:v>818.8676008769053</x:v>
      </x:c>
      <x:c r="BW306" s="23" t="n">
        <x:v>801.9272976001557</x:v>
      </x:c>
      <x:c r="BX306" s="23" t="n">
        <x:v>818.2612043514282</x:v>
      </x:c>
      <x:c r="BY306" s="23" t="n">
        <x:v>838.915350157363</x:v>
      </x:c>
      <x:c r="BZ306" s="23" t="n">
        <x:v>868.7879043461768</x:v>
      </x:c>
      <x:c r="CA306" s="23" t="n">
        <x:v>84.93871211113203</x:v>
      </x:c>
      <x:c r="CB306" s="23" t="n">
        <x:v>109.88520312619494</x:v>
      </x:c>
      <x:c r="CC306" s="23" t="n">
        <x:v>142.64062212291051</x:v>
      </x:c>
      <x:c r="CD306" s="23" t="n">
        <x:v>164.1562014168359</x:v>
      </x:c>
      <x:c r="CE306" s="23" t="n">
        <x:v>162.74369164387764</x:v>
      </x:c>
      <x:c r="CF306" s="23" t="n">
        <x:v>185.6036619823632</x:v>
      </x:c>
      <x:c r="CG306" s="23" t="n">
        <x:v>0</x:v>
      </x:c>
      <x:c r="CH306" s="23" t="n">
        <x:v>0</x:v>
      </x:c>
      <x:c r="CI306" s="23" t="n">
        <x:v>0</x:v>
      </x:c>
      <x:c r="CJ306" s="23" t="n">
        <x:v>310.17641504287235</x:v>
      </x:c>
      <x:c r="CK306" s="23" t="n">
        <x:v>0</x:v>
      </x:c>
      <x:c r="CL306" s="23" t="n">
        <x:v>173.28651950333818</x:v>
      </x:c>
      <x:c r="CM306" s="23" t="n">
        <x:v>1293.054805502563</x:v>
      </x:c>
      <x:c r="CN306" s="23" t="n">
        <x:v>1331.415096230382</x:v>
      </x:c>
      <x:c r="CO306" s="23" t="n">
        <x:v>547.5801178507338</x:v>
      </x:c>
      <x:c r="CP306" s="23" t="n">
        <x:v>593.1628899354646</x:v>
      </x:c>
      <x:c r="CQ306" s="23" t="n">
        <x:v>636.1855574641143</x:v>
      </x:c>
      <x:c r="CR306" s="23" t="n">
        <x:v>671.2325520968814</x:v>
      </x:c>
      <x:c r="CS306" s="23" t="n">
        <x:v>714.1381732753707</x:v>
      </x:c>
      <x:c r="CT306" s="23" t="n">
        <x:v>774.0661851148694</x:v>
      </x:c>
      <x:c r="CU306" s="23" t="n">
        <x:v>826.6778191145241</x:v>
      </x:c>
      <x:c r="CV306" s="23" t="n">
        <x:v>874.4284565899458</x:v>
      </x:c>
      <x:c r="CW306" s="23" t="n">
        <x:v>923.8816903472886</x:v>
      </x:c>
      <x:c r="CX306" s="23" t="n">
        <x:v>967.1668137384022</x:v>
      </x:c>
      <x:c r="CY306" s="23" t="n">
        <x:v>1001.0297943059725</x:v>
      </x:c>
      <x:c r="CZ306" s="23" t="n">
        <x:v>1004.6398424316435</x:v>
      </x:c>
      <x:c r="DA306" s="23" t="n">
        <x:v>1006.0988758617901</x:v>
      </x:c>
      <x:c r="DB306" s="23" t="n">
        <x:v>1015.1140950520833</x:v>
      </x:c>
      <x:c r="DC306" s="23" t="n">
        <x:v>1032.660789753721</x:v>
      </x:c>
      <x:c r="DD306" s="23" t="n">
        <x:v>934.5166015625</x:v>
      </x:c>
      <x:c r="DE306" s="23" t="n">
        <x:v>0</x:v>
      </x:c>
      <x:c r="DF306" s="23" t="n">
        <x:v>693.6484375</x:v>
      </x:c>
      <x:c r="DG306" s="23" t="n">
        <x:v>720.259521484375</x:v>
      </x:c>
      <x:c r="DH306" s="23" t="n">
        <x:v>719.5535481770833</x:v>
      </x:c>
      <x:c r="DI306" s="23" t="n">
        <x:v>0</x:v>
      </x:c>
      <x:c r="DJ306" s="23" t="n">
        <x:v>0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62.78498203124953</x:v>
      </x:c>
      <x:c r="DR306" s="23" t="n">
        <x:v>0</x:v>
      </x:c>
      <x:c r="DS306" s="23" t="n">
        <x:v>727.59619140625</x:v>
      </x:c>
      <x:c r="DT306" s="23" t="n">
        <x:v>725.4347330729166</x:v>
      </x:c>
      <x:c r="DU306" s="23" t="n">
        <x:v>0</x:v>
      </x:c>
      <x:c r="DV306" s="23" t="n">
        <x:v>715.8994954427083</x:v>
      </x:c>
      <x:c r="DW306" s="23" t="n">
        <x:v>722.042724609375</x:v>
      </x:c>
      <x:c r="DX306" s="23" t="n">
        <x:v>716.9609375</x:v>
      </x:c>
      <x:c r="DY306" s="23" t="n">
        <x:v>729.1568541023662</x:v>
      </x:c>
      <x:c r="DZ306" s="23" t="n">
        <x:v>735.3706868489583</x:v>
      </x:c>
      <x:c r="EA306" s="23" t="n">
        <x:v>738.2599858333333</x:v>
      </x:c>
      <x:c r="EB306" s="23" t="n">
        <x:v>678.3059763671874</x:v>
      </x:c>
      <x:c r="EC306" s="23" t="n">
        <x:v>1385.5197347005208</x:v>
      </x:c>
      <x:c r="ED306" s="23" t="n">
        <x:v>1375.6712239583333</x:v>
      </x:c>
      <x:c r="EE306" s="23" t="n">
        <x:v>561.6525065104166</x:v>
      </x:c>
      <x:c r="EF306" s="23" t="n">
        <x:v>849.0832760135355</x:v>
      </x:c>
      <x:c r="EG306" s="23" t="n">
        <x:v>554.3573811848958</x:v>
      </x:c>
      <x:c r="EH306" s="23" t="n">
        <x:v>560.8350423177083</x:v>
      </x:c>
      <x:c r="EI306" s="23" t="n">
        <x:v>573.9573567708333</x:v>
      </x:c>
      <x:c r="EJ306" s="23" t="n">
        <x:v>1389.4330647786458</x:v>
      </x:c>
      <x:c r="EK306" s="23" t="n">
        <x:v>1377.9532470703125</x:v>
      </x:c>
      <x:c r="EL306" s="23" t="n">
        <x:v>1395.4742431640625</x:v>
      </x:c>
      <x:c r="EM306" s="23" t="n">
        <x:v>578.3528238932291</x:v>
      </x:c>
      <x:c r="EN306" s="23" t="n">
        <x:v>578.7980550130208</x:v>
      </x:c>
      <x:c r="EO306" s="23" t="n">
        <x:v>1403.545206705729</x:v>
      </x:c>
      <x:c r="EP306" s="23" t="n">
        <x:f>SUM(B306:EO306)</x:f>
        <x:v>85812.79546771199</x:v>
      </x:c>
      <x:c r="EQ306" s="23" t="n">
        <x:f>SUMPRODUCT(B306:EO306,{0.4657,0.4542,0.4217,0.378,0.3849,0.4267,0.4272,0.4305,0.4567,0.4808,0.5121,0.5331,0.514,0.5155,0.5234,0.4702,0.4612,0.5016,0.4894,0.4669,0.4724,0.4944,0.4923,0.4717,0.4744,0.4754,0.4659,0.4703,0.5079,0.5387,0.5054,0.505,0.5018,0.4162,0.6511,1.0703,1.1,1.047,1.0701,1.0198,1.0049,1.046,1.0397,1.0125,0.9574,0.8801,1.0854,1.4266,1.4198,1.3282,1.3307,1.3398,1.3119,1.2672,1.2608,1.2879,1.2933,1.2321,1.2334,1.3303,1.4207,1.4275,1.3927,1.3814,1.1253,0.764,0.7448,0.788,0.7318,0.6897,0.6556,0.6294,0.641,0.6848,0.7111,0.6928,0.8163,1.0263,1.066,1.0501,1.0595,1.0689,1.144,1.2805,1.3835,1.3818,1.3705,1.4662,1.2636,0.8748,0.8563,0.9537,0.9683,0.9616,0.9747,1.0108,1.0418,1.0339,1.0129,1.041,1.0819,1.1001,1.0981,1.1233,1.1399,1.0808,1.1172,1.2458,1.2881,1.3003,1.3046,1.2754,1.3653,1.5134,1.497,1.4731,1.5157,1.5369,1.5226,1.5028,1.511,1.5058,1.5214,1.584,1.3372,0.9353,0.9253,1.0094,1.0151,1.0263,0.7991,0.4472,0.383,0.4444,0.4736,0.4672,0.4347,0.4112,0.4332,0.4488,0.4526,0.4841,0.4912,0.4423})</x:f>
        <x:v>64317.06793549063</x:v>
      </x:c>
    </x:row>
    <x:row r="307" ht="14" customHeight="1">
      <x:c r="A307" s="3">
        <x:v>45994</x:v>
      </x:c>
      <x:c r="B307" s="23" t="n">
        <x:v>1402.4768880208333</x:v>
      </x:c>
      <x:c r="C307" s="23" t="n">
        <x:v>576.1750895182291</x:v>
      </x:c>
      <x:c r="D307" s="23" t="n">
        <x:v>571.8282877604166</x:v>
      </x:c>
      <x:c r="E307" s="23" t="n">
        <x:v>1075.1611131518462</x:v>
      </x:c>
      <x:c r="F307" s="23" t="n">
        <x:v>587.8385823567708</x:v>
      </x:c>
      <x:c r="G307" s="23" t="n">
        <x:v>590.8140869140625</x:v>
      </x:c>
      <x:c r="H307" s="23" t="n">
        <x:v>580.2516276041666</x:v>
      </x:c>
      <x:c r="I307" s="23" t="n">
        <x:v>580.4228108723958</x:v>
      </x:c>
      <x:c r="J307" s="23" t="n">
        <x:v>600.8877766927083</x:v>
      </x:c>
      <x:c r="K307" s="23" t="n">
        <x:v>602.7145182291666</x:v>
      </x:c>
      <x:c r="L307" s="23" t="n">
        <x:v>601.7598063151041</x:v>
      </x:c>
      <x:c r="M307" s="23" t="n">
        <x:v>612.1658528645833</x:v>
      </x:c>
      <x:c r="N307" s="23" t="n">
        <x:v>607.7773030598958</x:v>
      </x:c>
      <x:c r="O307" s="23" t="n">
        <x:v>610.5072835286458</x:v>
      </x:c>
      <x:c r="P307" s="23" t="n">
        <x:v>1453.5035400390625</x:v>
      </x:c>
      <x:c r="Q307" s="23" t="n">
        <x:v>1459.6662190755208</x:v>
      </x:c>
      <x:c r="R307" s="23" t="n">
        <x:v>620.4219156901041</x:v>
      </x:c>
      <x:c r="S307" s="23" t="n">
        <x:v>620.46044921875</x:v>
      </x:c>
      <x:c r="T307" s="23" t="n">
        <x:v>611.51806640625</x:v>
      </x:c>
      <x:c r="U307" s="23" t="n">
        <x:v>616.2315673828125</x:v>
      </x:c>
      <x:c r="V307" s="23" t="n">
        <x:v>618.9394124348958</x:v>
      </x:c>
      <x:c r="W307" s="23" t="n">
        <x:v>624.9263916015625</x:v>
      </x:c>
      <x:c r="X307" s="23" t="n">
        <x:v>623.9580078125</x:v>
      </x:c>
      <x:c r="Y307" s="23" t="n">
        <x:v>630.0977783203125</x:v>
      </x:c>
      <x:c r="Z307" s="23" t="n">
        <x:v>630.5426025390625</x:v>
      </x:c>
      <x:c r="AA307" s="23" t="n">
        <x:v>629.1300048828125</x:v>
      </x:c>
      <x:c r="AB307" s="23" t="n">
        <x:v>620.8448079427083</x:v>
      </x:c>
      <x:c r="AC307" s="23" t="n">
        <x:v>629.0042317708333</x:v>
      </x:c>
      <x:c r="AD307" s="23" t="n">
        <x:v>624.0205078125</x:v>
      </x:c>
      <x:c r="AE307" s="23" t="n">
        <x:v>625.8289794921875</x:v>
      </x:c>
      <x:c r="AF307" s="23" t="n">
        <x:v>1464.7556966145833</x:v>
      </x:c>
      <x:c r="AG307" s="23" t="n">
        <x:v>1458.5609944661458</x:v>
      </x:c>
      <x:c r="AH307" s="23" t="n">
        <x:v>623.6797281901041</x:v>
      </x:c>
      <x:c r="AI307" s="23" t="n">
        <x:v>1441.569376627604</x:v>
      </x:c>
      <x:c r="AJ307" s="23" t="n">
        <x:v>687.9725748697916</x:v>
      </x:c>
      <x:c r="AK307" s="23" t="n">
        <x:v>843.7364095052083</x:v>
      </x:c>
      <x:c r="AL307" s="23" t="n">
        <x:v>224.751220703125</x:v>
      </x:c>
      <x:c r="AM307" s="23" t="n">
        <x:v>890.6512026274077</x:v>
      </x:c>
      <x:c r="AN307" s="23" t="n">
        <x:v>849.3090006510416</x:v>
      </x:c>
      <x:c r="AO307" s="23" t="n">
        <x:v>838.2302862480884</x:v>
      </x:c>
      <x:c r="AP307" s="23" t="n">
        <x:v>831.3063609355977</x:v>
      </x:c>
      <x:c r="AQ307" s="23" t="n">
        <x:v>831.1409325149494</x:v>
      </x:c>
      <x:c r="AR307" s="23" t="n">
        <x:v>790.3801110498645</x:v>
      </x:c>
      <x:c r="AS307" s="23" t="n">
        <x:v>754.7336876295442</x:v>
      </x:c>
      <x:c r="AT307" s="23" t="n">
        <x:v>698.2619288484711</x:v>
      </x:c>
      <x:c r="AU307" s="23" t="n">
        <x:v>1465.3639810614418</x:v>
      </x:c>
      <x:c r="AV307" s="23" t="n">
        <x:v>716.0913033731306</x:v>
      </x:c>
      <x:c r="AW307" s="23" t="n">
        <x:v>109.36888097265924</x:v>
      </x:c>
      <x:c r="AX307" s="23" t="n">
        <x:v>63.98981076440456</x:v>
      </x:c>
      <x:c r="AY307" s="23" t="n">
        <x:v>1.4187481467962848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165.73469984869433</x:v>
      </x:c>
      <x:c r="BO307" s="23" t="n">
        <x:v>972.9126259209421</x:v>
      </x:c>
      <x:c r="BP307" s="23" t="n">
        <x:v>954.9695007534931</x:v>
      </x:c>
      <x:c r="BQ307" s="23" t="n">
        <x:v>945.4809787874037</x:v>
      </x:c>
      <x:c r="BR307" s="23" t="n">
        <x:v>906.0265611617519</x:v>
      </x:c>
      <x:c r="BS307" s="23" t="n">
        <x:v>906.7843658134494</x:v>
      </x:c>
      <x:c r="BT307" s="23" t="n">
        <x:v>882.3714128545328</x:v>
      </x:c>
      <x:c r="BU307" s="23" t="n">
        <x:v>839.7539105538954</x:v>
      </x:c>
      <x:c r="BV307" s="23" t="n">
        <x:v>831.1051484734892</x:v>
      </x:c>
      <x:c r="BW307" s="23" t="n">
        <x:v>855.7110602340947</x:v>
      </x:c>
      <x:c r="BX307" s="23" t="n">
        <x:v>847.9599761730775</x:v>
      </x:c>
      <x:c r="BY307" s="23" t="n">
        <x:v>851.4044148245005</x:v>
      </x:c>
      <x:c r="BZ307" s="23" t="n">
        <x:v>867.9933406054618</x:v>
      </x:c>
      <x:c r="CA307" s="23" t="n">
        <x:v>89.58644726096614</x:v>
      </x:c>
      <x:c r="CB307" s="23" t="n">
        <x:v>112.26057931897806</x:v>
      </x:c>
      <x:c r="CC307" s="23" t="n">
        <x:v>150.13163045108104</x:v>
      </x:c>
      <x:c r="CD307" s="23" t="n">
        <x:v>175.898629353677</x:v>
      </x:c>
      <x:c r="CE307" s="23" t="n">
        <x:v>186.2625468228601</x:v>
      </x:c>
      <x:c r="CF307" s="23" t="n">
        <x:v>196.8097149944524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420.78875824739146</x:v>
      </x:c>
      <x:c r="CM307" s="23" t="n">
        <x:v>1248.9201602243995</x:v>
      </x:c>
      <x:c r="CN307" s="23" t="n">
        <x:v>1350.272971844505</x:v>
      </x:c>
      <x:c r="CO307" s="23" t="n">
        <x:v>555.8067576254534</x:v>
      </x:c>
      <x:c r="CP307" s="23" t="n">
        <x:v>1443.081256015921</x:v>
      </x:c>
      <x:c r="CQ307" s="23" t="n">
        <x:v>654.8580048804118</x:v>
      </x:c>
      <x:c r="CR307" s="23" t="n">
        <x:v>691.4021800711928</x:v>
      </x:c>
      <x:c r="CS307" s="23" t="n">
        <x:v>738.8860141310794</x:v>
      </x:c>
      <x:c r="CT307" s="23" t="n">
        <x:v>786.6467091696828</x:v>
      </x:c>
      <x:c r="CU307" s="23" t="n">
        <x:v>838.8593601475952</x:v>
      </x:c>
      <x:c r="CV307" s="23" t="n">
        <x:v>884.1022555808388</x:v>
      </x:c>
      <x:c r="CW307" s="23" t="n">
        <x:v>929.1686091262311</x:v>
      </x:c>
      <x:c r="CX307" s="23" t="n">
        <x:v>966.5200167994865</x:v>
      </x:c>
      <x:c r="CY307" s="23" t="n">
        <x:v>1007.4889327563371</x:v>
      </x:c>
      <x:c r="CZ307" s="23" t="n">
        <x:v>1014.53050391328</x:v>
      </x:c>
      <x:c r="DA307" s="23" t="n">
        <x:v>1010.8679137172176</x:v>
      </x:c>
      <x:c r="DB307" s="23" t="n">
        <x:v>1015.061279296875</x:v>
      </x:c>
      <x:c r="DC307" s="23" t="n">
        <x:v>1034.8402365084103</x:v>
      </x:c>
      <x:c r="DD307" s="23" t="n">
        <x:v>904.1483561197916</x:v>
      </x:c>
      <x:c r="DE307" s="23" t="n">
        <x:v>0</x:v>
      </x:c>
      <x:c r="DF307" s="23" t="n">
        <x:v>0</x:v>
      </x:c>
      <x:c r="DG307" s="23" t="n">
        <x:v>728.18115234375</x:v>
      </x:c>
      <x:c r="DH307" s="23" t="n">
        <x:v>725.5606282552083</x:v>
      </x:c>
      <x:c r="DI307" s="23" t="n">
        <x:v>0</x:v>
      </x:c>
      <x:c r="DJ307" s="23" t="n">
        <x:v>0</x:v>
      </x:c>
      <x:c r="DK307" s="23" t="n">
        <x:v>730.6382649739583</x:v>
      </x:c>
      <x:c r="DL307" s="23" t="n">
        <x:v>726.619384765625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58.576486588540014</x:v>
      </x:c>
      <x:c r="DS307" s="23" t="n">
        <x:v>727.0569661458333</x:v>
      </x:c>
      <x:c r="DT307" s="23" t="n">
        <x:v>0</x:v>
      </x:c>
      <x:c r="DU307" s="23" t="n">
        <x:v>0</x:v>
      </x:c>
      <x:c r="DV307" s="23" t="n">
        <x:v>719.8816731770833</x:v>
      </x:c>
      <x:c r="DW307" s="23" t="n">
        <x:v>735.07568359375</x:v>
      </x:c>
      <x:c r="DX307" s="23" t="n">
        <x:v>741.4725006028164</x:v>
      </x:c>
      <x:c r="DY307" s="23" t="n">
        <x:v>736.5721842447916</x:v>
      </x:c>
      <x:c r="DZ307" s="23" t="n">
        <x:v>732.271484375</x:v>
      </x:c>
      <x:c r="EA307" s="23" t="n">
        <x:v>727.7525366927084</x:v>
      </x:c>
      <x:c r="EB307" s="23" t="n">
        <x:v>661.776166796875</x:v>
      </x:c>
      <x:c r="EC307" s="23" t="n">
        <x:v>1366.7440185546875</x:v>
      </x:c>
      <x:c r="ED307" s="23" t="n">
        <x:v>1368.1493733723958</x:v>
      </x:c>
      <x:c r="EE307" s="23" t="n">
        <x:v>1395.1927897135415</x:v>
      </x:c>
      <x:c r="EF307" s="23" t="n">
        <x:v>567.3540445963541</x:v>
      </x:c>
      <x:c r="EG307" s="23" t="n">
        <x:v>1381.8269856770833</x:v>
      </x:c>
      <x:c r="EH307" s="23" t="n">
        <x:v>1365.0773518880208</x:v>
      </x:c>
      <x:c r="EI307" s="23" t="n">
        <x:v>1388.9384358723958</x:v>
      </x:c>
      <x:c r="EJ307" s="23" t="n">
        <x:v>851.5107340012534</x:v>
      </x:c>
      <x:c r="EK307" s="23" t="n">
        <x:v>577.3027750651041</x:v>
      </x:c>
      <x:c r="EL307" s="23" t="n">
        <x:v>570.8765462239583</x:v>
      </x:c>
      <x:c r="EM307" s="23" t="n">
        <x:v>563.9212646484375</x:v>
      </x:c>
      <x:c r="EN307" s="23" t="n">
        <x:v>576.5636800130208</x:v>
      </x:c>
      <x:c r="EO307" s="23" t="n">
        <x:v>582.7635091145833</x:v>
      </x:c>
      <x:c r="EP307" s="23" t="n">
        <x:f>SUM(B307:EO307)</x:f>
        <x:v>87368.21218679033</x:v>
      </x:c>
      <x:c r="EQ307" s="23" t="n">
        <x:f>SUMPRODUCT(B307:EO307,{0.3713,0.3875,0.4672,0.4788,0.4666,0.4809,0.5121,0.4744,0.406,0.4348,0.4801,0.4969,0.5114,0.4825,0.4379,0.4577,0.4889,0.4938,0.4863,0.4874,0.4754,0.4221,0.4391,0.5258,0.5628,0.5451,0.5204,0.5321,0.5232,0.4879,0.4863,0.5294,0.5343,0.4549,0.6865,1.0933,1.1171,1.0617,1.091,1.0601,1.0336,1.0287,0.9914,0.9917,0.9862,0.9007,1.0918,1.4339,1.4193,1.3614,1.3937,1.3323,1.2891,1.2982,1.2659,1.2084,1.1657,1.1721,1.2583,1.3613,1.3666,1.3235,1.3208,1.3551,1.0897,0.6718,0.6225,0.7007,0.7171,0.7215,0.7272,0.7286,0.7174,0.6967,0.6497,0.5978,0.7912,1.0954,1.0986,1.0396,1.0642,1.0928,1.1817,1.3067,1.3575,1.3468,1.3876,1.5266,1.3067,0.8648,0.8329,0.9511,0.9745,0.9307,0.9476,1.0165,1.0181,1.0204,1.06,1.1001,1.1313,1.1363,1.1027,1.0978,1.1187,1.1105,1.1669,1.2701,1.2961,1.2919,1.2698,1.2135,1.2961,1.4843,1.552,1.5206,1.4793,1.4901,1.4928,1.4757,1.487,1.4995,1.5314,1.584,1.3502,0.9591,0.884,0.9294,0.9586,0.9919,0.7695,0.4321,0.4148,0.4551,0.4255,0.4585,0.4727,0.4385,0.4195,0.4178,0.4264,0.4391,0.4251,0.413})</x:f>
        <x:v>65605.97376741531</x:v>
      </x:c>
    </x:row>
    <x:row r="308" ht="14" customHeight="1">
      <x:c r="A308" s="3">
        <x:v>45995</x:v>
      </x:c>
      <x:c r="B308" s="23" t="n">
        <x:v>1404.8346761067708</x:v>
      </x:c>
      <x:c r="C308" s="23" t="n">
        <x:v>1405.8896484375</x:v>
      </x:c>
      <x:c r="D308" s="23" t="n">
        <x:v>587.3919270833333</x:v>
      </x:c>
      <x:c r="E308" s="23" t="n">
        <x:v>579.1845703125</x:v>
      </x:c>
      <x:c r="F308" s="23" t="n">
        <x:v>1406.926798502604</x:v>
      </x:c>
      <x:c r="G308" s="23" t="n">
        <x:v>585.9410400390625</x:v>
      </x:c>
      <x:c r="H308" s="23" t="n">
        <x:v>589.7412923177083</x:v>
      </x:c>
      <x:c r="I308" s="23" t="n">
        <x:v>597.4418538411458</x:v>
      </x:c>
      <x:c r="J308" s="23" t="n">
        <x:v>1424.957275390625</x:v>
      </x:c>
      <x:c r="K308" s="23" t="n">
        <x:v>604.3896077473958</x:v>
      </x:c>
      <x:c r="L308" s="23" t="n">
        <x:v>603.5104166666666</x:v>
      </x:c>
      <x:c r="M308" s="23" t="n">
        <x:v>604.1857503255208</x:v>
      </x:c>
      <x:c r="N308" s="23" t="n">
        <x:v>601.0802408854166</x:v>
      </x:c>
      <x:c r="O308" s="23" t="n">
        <x:v>611.6162923177083</x:v>
      </x:c>
      <x:c r="P308" s="23" t="n">
        <x:v>612.427001953125</x:v>
      </x:c>
      <x:c r="Q308" s="23" t="n">
        <x:v>617.1014811197916</x:v>
      </x:c>
      <x:c r="R308" s="23" t="n">
        <x:v>613.5326741536458</x:v>
      </x:c>
      <x:c r="S308" s="23" t="n">
        <x:v>607.5674235026041</x:v>
      </x:c>
      <x:c r="T308" s="23" t="n">
        <x:v>1434.226847330729</x:v>
      </x:c>
      <x:c r="U308" s="23" t="n">
        <x:v>1168.5628448278376</x:v>
      </x:c>
      <x:c r="V308" s="23" t="n">
        <x:v>615.0527750651041</x:v>
      </x:c>
      <x:c r="W308" s="23" t="n">
        <x:v>621.5941569010416</x:v>
      </x:c>
      <x:c r="X308" s="23" t="n">
        <x:v>624.6604410807291</x:v>
      </x:c>
      <x:c r="Y308" s="23" t="n">
        <x:v>625.9774576822916</x:v>
      </x:c>
      <x:c r="Z308" s="23" t="n">
        <x:v>627.2932942708333</x:v>
      </x:c>
      <x:c r="AA308" s="23" t="n">
        <x:v>629.7725423177083</x:v>
      </x:c>
      <x:c r="AB308" s="23" t="n">
        <x:v>622.8502197265625</x:v>
      </x:c>
      <x:c r="AC308" s="23" t="n">
        <x:v>632.4661051432291</x:v>
      </x:c>
      <x:c r="AD308" s="23" t="n">
        <x:v>641.3194986979166</x:v>
      </x:c>
      <x:c r="AE308" s="23" t="n">
        <x:v>635.4861653645833</x:v>
      </x:c>
      <x:c r="AF308" s="23" t="n">
        <x:v>629.333251953125</x:v>
      </x:c>
      <x:c r="AG308" s="23" t="n">
        <x:v>629.9991048177083</x:v>
      </x:c>
      <x:c r="AH308" s="23" t="n">
        <x:v>623.9563395182291</x:v>
      </x:c>
      <x:c r="AI308" s="23" t="n">
        <x:v>1458.496622721354</x:v>
      </x:c>
      <x:c r="AJ308" s="23" t="n">
        <x:v>699.375732421875</x:v>
      </x:c>
      <x:c r="AK308" s="23" t="n">
        <x:v>818.3515625</x:v>
      </x:c>
      <x:c r="AL308" s="23" t="n">
        <x:v>846.6505533854166</x:v>
      </x:c>
      <x:c r="AM308" s="23" t="n">
        <x:v>847.1829317878634</x:v>
      </x:c>
      <x:c r="AN308" s="23" t="n">
        <x:v>855.8480631510416</x:v>
      </x:c>
      <x:c r="AO308" s="23" t="n">
        <x:v>841.546098247306</x:v>
      </x:c>
      <x:c r="AP308" s="23" t="n">
        <x:v>835.3919903974735</x:v>
      </x:c>
      <x:c r="AQ308" s="23" t="n">
        <x:v>829.7416754621164</x:v>
      </x:c>
      <x:c r="AR308" s="23" t="n">
        <x:v>794.1738917108116</x:v>
      </x:c>
      <x:c r="AS308" s="23" t="n">
        <x:v>754.8305360843387</x:v>
      </x:c>
      <x:c r="AT308" s="23" t="n">
        <x:v>709.2772711706145</x:v>
      </x:c>
      <x:c r="AU308" s="23" t="n">
        <x:v>635.1253106018199</x:v>
      </x:c>
      <x:c r="AV308" s="23" t="n">
        <x:v>720.3111743705049</x:v>
      </x:c>
      <x:c r="AW308" s="23" t="n">
        <x:v>109.64617984973407</x:v>
      </x:c>
      <x:c r="AX308" s="23" t="n">
        <x:v>74.62684966458148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405.25921444996857</x:v>
      </x:c>
      <x:c r="BF308" s="23" t="n">
        <x:v>0</x:v>
      </x:c>
      <x:c r="BG308" s="23" t="n">
        <x:v>0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162.12923184384454</x:v>
      </x:c>
      <x:c r="BO308" s="23" t="n">
        <x:v>969.9038838909652</x:v>
      </x:c>
      <x:c r="BP308" s="23" t="n">
        <x:v>955.858854861207</x:v>
      </x:c>
      <x:c r="BQ308" s="23" t="n">
        <x:v>940.8349842419308</x:v>
      </x:c>
      <x:c r="BR308" s="23" t="n">
        <x:v>925.4195848912059</x:v>
      </x:c>
      <x:c r="BS308" s="23" t="n">
        <x:v>934.3662875527673</x:v>
      </x:c>
      <x:c r="BT308" s="23" t="n">
        <x:v>927.1786416628263</x:v>
      </x:c>
      <x:c r="BU308" s="23" t="n">
        <x:v>863.4215767563671</x:v>
      </x:c>
      <x:c r="BV308" s="23" t="n">
        <x:v>857.1379463279918</x:v>
      </x:c>
      <x:c r="BW308" s="23" t="n">
        <x:v>868.6895044645955</x:v>
      </x:c>
      <x:c r="BX308" s="23" t="n">
        <x:v>867.1713664883046</x:v>
      </x:c>
      <x:c r="BY308" s="23" t="n">
        <x:v>879.1329474101964</x:v>
      </x:c>
      <x:c r="BZ308" s="23" t="n">
        <x:v>893.3860812798546</x:v>
      </x:c>
      <x:c r="CA308" s="23" t="n">
        <x:v>108.15253643981455</x:v>
      </x:c>
      <x:c r="CB308" s="23" t="n">
        <x:v>141.29917765434402</x:v>
      </x:c>
      <x:c r="CC308" s="23" t="n">
        <x:v>165.8933161566486</x:v>
      </x:c>
      <x:c r="CD308" s="23" t="n">
        <x:v>174.1152272540333</x:v>
      </x:c>
      <x:c r="CE308" s="23" t="n">
        <x:v>203.95153973376762</x:v>
      </x:c>
      <x:c r="CF308" s="23" t="n">
        <x:v>221.90047311960308</x:v>
      </x:c>
      <x:c r="CG308" s="23" t="n">
        <x:v>0</x:v>
      </x:c>
      <x:c r="CH308" s="23" t="n">
        <x:v>0</x:v>
      </x:c>
      <x:c r="CI308" s="23" t="n">
        <x:v>317.1723347256041</x:v>
      </x:c>
      <x:c r="CJ308" s="23" t="n">
        <x:v>0</x:v>
      </x:c>
      <x:c r="CK308" s="23" t="n">
        <x:v>0</x:v>
      </x:c>
      <x:c r="CL308" s="23" t="n">
        <x:v>348.5332034072186</x:v>
      </x:c>
      <x:c r="CM308" s="23" t="n">
        <x:v>1323.8478665794137</x:v>
      </x:c>
      <x:c r="CN308" s="23" t="n">
        <x:v>1361.4755344161615</x:v>
      </x:c>
      <x:c r="CO308" s="23" t="n">
        <x:v>566.4156942029392</x:v>
      </x:c>
      <x:c r="CP308" s="23" t="n">
        <x:v>613.0097829302197</x:v>
      </x:c>
      <x:c r="CQ308" s="23" t="n">
        <x:v>641.2860707306955</x:v>
      </x:c>
      <x:c r="CR308" s="23" t="n">
        <x:v>683.3309507868635</x:v>
      </x:c>
      <x:c r="CS308" s="23" t="n">
        <x:v>728.8328154032844</x:v>
      </x:c>
      <x:c r="CT308" s="23" t="n">
        <x:v>786.779783502289</x:v>
      </x:c>
      <x:c r="CU308" s="23" t="n">
        <x:v>843.4107959137202</x:v>
      </x:c>
      <x:c r="CV308" s="23" t="n">
        <x:v>899.2071002895564</x:v>
      </x:c>
      <x:c r="CW308" s="23" t="n">
        <x:v>937.282843018315</x:v>
      </x:c>
      <x:c r="CX308" s="23" t="n">
        <x:v>974.3404859756592</x:v>
      </x:c>
      <x:c r="CY308" s="23" t="n">
        <x:v>1002.818924657388</x:v>
      </x:c>
      <x:c r="CZ308" s="23" t="n">
        <x:v>1005.3736459581729</x:v>
      </x:c>
      <x:c r="DA308" s="23" t="n">
        <x:v>1000.5494321529607</x:v>
      </x:c>
      <x:c r="DB308" s="23" t="n">
        <x:v>1011.9589029947916</x:v>
      </x:c>
      <x:c r="DC308" s="23" t="n">
        <x:v>1044.8545891892556</x:v>
      </x:c>
      <x:c r="DD308" s="23" t="n">
        <x:v>926.5013834635416</x:v>
      </x:c>
      <x:c r="DE308" s="23" t="n">
        <x:v>727.7993977864583</x:v>
      </x:c>
      <x:c r="DF308" s="23" t="n">
        <x:v>697.134765625</x:v>
      </x:c>
      <x:c r="DG308" s="23" t="n">
        <x:v>0</x:v>
      </x:c>
      <x:c r="DH308" s="23" t="n">
        <x:v>722.6382649739583</x:v>
      </x:c>
      <x:c r="DI308" s="23" t="n">
        <x:v>707.8125</x:v>
      </x:c>
      <x:c r="DJ308" s="23" t="n">
        <x:v>698.303466796875</x:v>
      </x:c>
      <x:c r="DK308" s="23" t="n">
        <x:v>0</x:v>
      </x:c>
      <x:c r="DL308" s="23" t="n">
        <x:v>0</x:v>
      </x:c>
      <x:c r="DM308" s="23" t="n">
        <x:v>0</x:v>
      </x:c>
      <x:c r="DN308" s="23" t="n">
        <x:v>58.26040651041641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723.4895833333333</x:v>
      </x:c>
      <x:c r="DW308" s="23" t="n">
        <x:v>730.3428548177083</x:v>
      </x:c>
      <x:c r="DX308" s="23" t="n">
        <x:v>735.4491985355581</x:v>
      </x:c>
      <x:c r="DY308" s="23" t="n">
        <x:v>730.8248697916666</x:v>
      </x:c>
      <x:c r="DZ308" s="23" t="n">
        <x:v>734.0094401041666</x:v>
      </x:c>
      <x:c r="EA308" s="23" t="n">
        <x:v>750.3215849479167</x:v>
      </x:c>
      <x:c r="EB308" s="23" t="n">
        <x:v>683.056090299479</x:v>
      </x:c>
      <x:c r="EC308" s="23" t="n">
        <x:v>826.3151858040767</x:v>
      </x:c>
      <x:c r="ED308" s="23" t="n">
        <x:v>1361.1927897135415</x:v>
      </x:c>
      <x:c r="EE308" s="23" t="n">
        <x:v>545.0627034505208</x:v>
      </x:c>
      <x:c r="EF308" s="23" t="n">
        <x:v>1362.963623046875</x:v>
      </x:c>
      <x:c r="EG308" s="23" t="n">
        <x:v>1391.835489908854</x:v>
      </x:c>
      <x:c r="EH308" s="23" t="n">
        <x:v>1389.0099690755208</x:v>
      </x:c>
      <x:c r="EI308" s="23" t="n">
        <x:v>531.5098876953125</x:v>
      </x:c>
      <x:c r="EJ308" s="23" t="n">
        <x:v>561.635498046875</x:v>
      </x:c>
      <x:c r="EK308" s="23" t="n">
        <x:v>576.6178385416666</x:v>
      </x:c>
      <x:c r="EL308" s="23" t="n">
        <x:v>568.0718587239583</x:v>
      </x:c>
      <x:c r="EM308" s="23" t="n">
        <x:v>583.4659423828125</x:v>
      </x:c>
      <x:c r="EN308" s="23" t="n">
        <x:v>1360.253173828125</x:v>
      </x:c>
      <x:c r="EO308" s="23" t="n">
        <x:v>1264.6837565104165</x:v>
      </x:c>
      <x:c r="EP308" s="23" t="n">
        <x:f>SUM(B308:EO308)</x:f>
        <x:v>87155.09211595696</x:v>
      </x:c>
      <x:c r="EQ308" s="23" t="n">
        <x:f>SUMPRODUCT(B308:EO308,{0.455,0.4411,0.3853,0.417,0.4705,0.4843,0.4625,0.4544,0.471,0.4781,0.4587,0.4512,0.5034,0.5079,0.4706,0.5007,0.5117,0.4721,0.4476,0.4681,0.5077,0.5153,0.5181,0.5269,0.5184,0.484,0.4575,0.4828,0.4968,0.4864,0.4989,0.5107,0.4866,0.4589,0.6825,1.0356,1.1058,1.0427,1.0187,1.0579,1.0824,1.0626,1.036,1.0136,0.9591,0.872,1.0348,1.359,1.4456,1.4152,1.3701,1.2904,1.2742,1.3037,1.262,1.2205,1.1869,1.1221,1.2303,1.4358,1.4348,1.3735,1.3705,1.3499,1.0541,0.658,0.6277,0.7021,0.7053,0.7066,0.6713,0.6158,0.6157,0.6628,0.6876,0.6502,0.7723,0.9733,0.9478,0.9492,1.0143,0.9549,1.1005,1.3891,1.3943,1.3254,1.3723,1.4603,1.2222,0.8251,0.8224,0.9049,0.8998,0.9506,1.0287,1.0738,1.062,1.0513,1.0634,1.0752,1.1113,1.139,1.1016,1.1136,1.1658,1.1418,1.1569,1.2261,1.2477,1.2877,1.3184,1.2545,1.3163,1.4792,1.493,1.4876,1.5102,1.4774,1.5001,1.5736,1.5711,1.5412,1.5545,1.5836,1.3302,0.9392,0.8855,0.9314,0.9548,1.0241,0.7983,0.4163,0.3976,0.46,0.4218,0.3943,0.4235,0.4528,0.398,0.3901,0.441,0.431,0.4058,0.3857})</x:f>
        <x:v>64469.84712686464</x:v>
      </x:c>
    </x:row>
    <x:row r="309" ht="14" customHeight="1">
      <x:c r="A309" s="3">
        <x:v>45996</x:v>
      </x:c>
      <x:c r="B309" s="23" t="n">
        <x:v>1175.604160564039</x:v>
      </x:c>
      <x:c r="C309" s="23" t="n">
        <x:v>432.66031901041663</x:v>
      </x:c>
      <x:c r="D309" s="23" t="n">
        <x:v>429.3438720703125</x:v>
      </x:c>
      <x:c r="E309" s="23" t="n">
        <x:v>1263.252237955729</x:v>
      </x:c>
      <x:c r="F309" s="23" t="n">
        <x:v>1266.0819091796875</x:v>
      </x:c>
      <x:c r="G309" s="23" t="n">
        <x:v>432.17045084635413</x:v>
      </x:c>
      <x:c r="H309" s="23" t="n">
        <x:v>433.94169108072913</x:v>
      </x:c>
      <x:c r="I309" s="23" t="n">
        <x:v>437.648681640625</x:v>
      </x:c>
      <x:c r="J309" s="23" t="n">
        <x:v>444.8458251953125</x:v>
      </x:c>
      <x:c r="K309" s="23" t="n">
        <x:v>446.5542805989583</x:v>
      </x:c>
      <x:c r="L309" s="23" t="n">
        <x:v>448.50516764322913</x:v>
      </x:c>
      <x:c r="M309" s="23" t="n">
        <x:v>1292.5706380208333</x:v>
      </x:c>
      <x:c r="N309" s="23" t="n">
        <x:v>1287.3341064453125</x:v>
      </x:c>
      <x:c r="O309" s="23" t="n">
        <x:v>455.7549641927083</x:v>
      </x:c>
      <x:c r="P309" s="23" t="n">
        <x:v>457.05875651041663</x:v>
      </x:c>
      <x:c r="Q309" s="23" t="n">
        <x:v>460.9313557942708</x:v>
      </x:c>
      <x:c r="R309" s="23" t="n">
        <x:v>458.98307291666663</x:v>
      </x:c>
      <x:c r="S309" s="23" t="n">
        <x:v>457.7990315755208</x:v>
      </x:c>
      <x:c r="T309" s="23" t="n">
        <x:v>1288.081298828125</x:v>
      </x:c>
      <x:c r="U309" s="23" t="n">
        <x:v>457.70231119791663</x:v>
      </x:c>
      <x:c r="V309" s="23" t="n">
        <x:v>465.8369954427083</x:v>
      </x:c>
      <x:c r="W309" s="23" t="n">
        <x:v>459.4036458333333</x:v>
      </x:c>
      <x:c r="X309" s="23" t="n">
        <x:v>460.9053548177083</x:v>
      </x:c>
      <x:c r="Y309" s="23" t="n">
        <x:v>457.48136393229163</x:v>
      </x:c>
      <x:c r="Z309" s="23" t="n">
        <x:v>457.31754557291663</x:v>
      </x:c>
      <x:c r="AA309" s="23" t="n">
        <x:v>456.16337076822913</x:v>
      </x:c>
      <x:c r="AB309" s="23" t="n">
        <x:v>454.59305826822913</x:v>
      </x:c>
      <x:c r="AC309" s="23" t="n">
        <x:v>457.21525065104163</x:v>
      </x:c>
      <x:c r="AD309" s="23" t="n">
        <x:v>457.21525065104163</x:v>
      </x:c>
      <x:c r="AE309" s="23" t="n">
        <x:v>457.05143229166663</x:v>
      </x:c>
      <x:c r="AF309" s="23" t="n">
        <x:v>454.4073486328125</x:v>
      </x:c>
      <x:c r="AG309" s="23" t="n">
        <x:v>457.21525065104163</x:v>
      </x:c>
      <x:c r="AH309" s="23" t="n">
        <x:v>456.84423828125</x:v>
      </x:c>
      <x:c r="AI309" s="23" t="n">
        <x:v>456.7389729817708</x:v>
      </x:c>
      <x:c r="AJ309" s="23" t="n">
        <x:v>0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0</x:v>
      </x:c>
      <x:c r="BQ309" s="23" t="n">
        <x:v>0</x:v>
      </x:c>
      <x:c r="BR309" s="23" t="n">
        <x:v>0</x:v>
      </x:c>
      <x:c r="BS309" s="23" t="n">
        <x:v>0</x:v>
      </x:c>
      <x:c r="BT309" s="23" t="n">
        <x:v>0</x:v>
      </x:c>
      <x:c r="BU309" s="23" t="n">
        <x:v>0</x:v>
      </x:c>
      <x:c r="BV309" s="23" t="n">
        <x:v>0</x:v>
      </x:c>
      <x:c r="BW309" s="23" t="n">
        <x:v>0</x:v>
      </x:c>
      <x:c r="BX309" s="23" t="n">
        <x:v>0</x:v>
      </x:c>
      <x:c r="BY309" s="23" t="n">
        <x:v>0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27.759337643985265</x:v>
      </x:c>
      <x:c r="CN309" s="23" t="n">
        <x:v>71.25675887319917</x:v>
      </x:c>
      <x:c r="CO309" s="23" t="n">
        <x:v>112.68711530310755</x:v>
      </x:c>
      <x:c r="CP309" s="23" t="n">
        <x:v>163.41944588522887</x:v>
      </x:c>
      <x:c r="CQ309" s="23" t="n">
        <x:v>177.707841643304</x:v>
      </x:c>
      <x:c r="CR309" s="23" t="n">
        <x:v>219.67165477459244</x:v>
      </x:c>
      <x:c r="CS309" s="23" t="n">
        <x:v>296.6659039211572</x:v>
      </x:c>
      <x:c r="CT309" s="23" t="n">
        <x:v>338.70473365775536</x:v>
      </x:c>
      <x:c r="CU309" s="23" t="n">
        <x:v>384.8284842561157</x:v>
      </x:c>
      <x:c r="CV309" s="23" t="n">
        <x:v>436.44933191270206</x:v>
      </x:c>
      <x:c r="CW309" s="23" t="n">
        <x:v>467.43942116039995</x:v>
      </x:c>
      <x:c r="CX309" s="23" t="n">
        <x:v>456.3817919101607</x:v>
      </x:c>
      <x:c r="CY309" s="23" t="n">
        <x:v>439.7004952162382</x:v>
      </x:c>
      <x:c r="CZ309" s="23" t="n">
        <x:v>451.6266308351647</x:v>
      </x:c>
      <x:c r="DA309" s="23" t="n">
        <x:v>454.6957229028776</x:v>
      </x:c>
      <x:c r="DB309" s="23" t="n">
        <x:v>454.99515787760413</x:v>
      </x:c>
      <x:c r="DC309" s="23" t="n">
        <x:v>455.60630777097055</x:v>
      </x:c>
      <x:c r="DD309" s="23" t="n">
        <x:v>71.64341666666571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457.89310709635413</x:v>
      </x:c>
      <x:c r="DX309" s="23" t="n">
        <x:v>458.16886393229163</x:v>
      </x:c>
      <x:c r="DY309" s="23" t="n">
        <x:v>459.89689127604163</x:v>
      </x:c>
      <x:c r="DZ309" s="23" t="n">
        <x:v>458.2849934895833</x:v>
      </x:c>
      <x:c r="EA309" s="23" t="n">
        <x:v>452.2130644401042</x:v>
      </x:c>
      <x:c r="EB309" s="23" t="n">
        <x:v>447.86559611979175</x:v>
      </x:c>
      <x:c r="EC309" s="23" t="n">
        <x:v>1224.5621744791665</x:v>
      </x:c>
      <x:c r="ED309" s="23" t="n">
        <x:v>1221.9046630859375</x:v>
      </x:c>
      <x:c r="EE309" s="23" t="n">
        <x:v>395.43253580729163</x:v>
      </x:c>
      <x:c r="EF309" s="23" t="n">
        <x:v>391.712158203125</x:v>
      </x:c>
      <x:c r="EG309" s="23" t="n">
        <x:v>1228.6119384765625</x:v>
      </x:c>
      <x:c r="EH309" s="23" t="n">
        <x:v>1240.4691569010415</x:v>
      </x:c>
      <x:c r="EI309" s="23" t="n">
        <x:v>693.716914930556</x:v>
      </x:c>
      <x:c r="EJ309" s="23" t="n">
        <x:v>1253.8287353515625</x:v>
      </x:c>
      <x:c r="EK309" s="23" t="n">
        <x:v>1258.962443033854</x:v>
      </x:c>
      <x:c r="EL309" s="23" t="n">
        <x:v>413.694580078125</x:v>
      </x:c>
      <x:c r="EM309" s="23" t="n">
        <x:v>426.3397216796875</x:v>
      </x:c>
      <x:c r="EN309" s="23" t="n">
        <x:v>426.3346761067708</x:v>
      </x:c>
      <x:c r="EO309" s="23" t="n">
        <x:v>422.52872721354163</x:v>
      </x:c>
      <x:c r="EP309" s="23" t="n">
        <x:f>SUM(B309:EO309)</x:f>
        <x:v>39048.87370395583</x:v>
      </x:c>
      <x:c r="EQ309" s="23" t="n">
        <x:f>SUMPRODUCT(B309:EO309,{0.3454,0.35,0.383,0.3599,0.3429,0.3666,0.3945,0.3687,0.3257,0.3584,0.3937,0.3851,0.3631,0.3816,0.4114,0.3781,0.3737,0.3976,0.3561,0.3233,0.3332,0.3465,0.364,0.3945,0.433,0.4302,0.3856,0.3565,0.3898,0.4325,0.3944,0.4129,0.4486,0.3587,0.5021,0.817,0.8582,0.8276,0.8497,0.84,0.8583,0.887,0.8401,0.8162,0.8364,0.839,0.9256,1.0644,1.098,1.0658,1.032,1.0184,0.9855,0.9558,0.9908,1.0037,0.9524,0.8939,0.9464,1.0767,1.126,1.0996,1.0773,1.0853,0.8295,0.4316,0.3475,0.3942,0.4048,0.3988,0.4127,0.4338,0.4222,0.4304,0.4217,0.3396,0.4814,0.7544,0.7611,0.7847,0.876,0.8147,0.9086,1.1304,1.1238,1.0947,1.1763,1.2313,0.9431,0.5389,0.588,0.7013,0.6659,0.6536,0.6851,0.7348,0.7707,0.756,0.7159,0.7181,0.7488,0.7941,0.8487,0.86,0.8159,0.7819,0.9095,1.1108,1.1347,1.1163,1.1312,1.1329,1.2178,1.3587,1.409,1.3863,1.3369,1.2951,1.3012,1.3447,1.3668,1.3318,1.3237,1.4106,1.1755,0.7565,0.7355,0.78,0.764,0.8597,0.6867,0.3145,0.2354,0.2687,0.2815,0.3294,0.3401,0.315,0.3348,0.3659,0.3665,0.3336,0.3302,0.3486})</x:f>
        <x:v>17225.28961001266</x:v>
      </x:c>
    </x:row>
    <x:row r="310" ht="14" customHeight="1">
      <x:c r="A310" s="3">
        <x:v>45997</x:v>
      </x:c>
      <x:c r="B310" s="23" t="n">
        <x:v>432.5492757161458</x:v>
      </x:c>
      <x:c r="C310" s="23" t="n">
        <x:v>1269.611328125</x:v>
      </x:c>
      <x:c r="D310" s="23" t="n">
        <x:v>432.4235432942708</x:v>
      </x:c>
      <x:c r="E310" s="23" t="n">
        <x:v>997.0804770793145</x:v>
      </x:c>
      <x:c r="F310" s="23" t="n">
        <x:v>429.53564453125</x:v>
      </x:c>
      <x:c r="G310" s="23" t="n">
        <x:v>436.94352213541663</x:v>
      </x:c>
      <x:c r="H310" s="23" t="n">
        <x:v>435.1854248046875</x:v>
      </x:c>
      <x:c r="I310" s="23" t="n">
        <x:v>447.5677083333333</x:v>
      </x:c>
      <x:c r="J310" s="23" t="n">
        <x:v>450.52945963541663</x:v>
      </x:c>
      <x:c r="K310" s="23" t="n">
        <x:v>451.1897786458333</x:v>
      </x:c>
      <x:c r="L310" s="23" t="n">
        <x:v>449.8329671223958</x:v>
      </x:c>
      <x:c r="M310" s="23" t="n">
        <x:v>454.260986328125</x:v>
      </x:c>
      <x:c r="N310" s="23" t="n">
        <x:v>1286.6063639322915</x:v>
      </x:c>
      <x:c r="O310" s="23" t="n">
        <x:v>458.6440022786458</x:v>
      </x:c>
      <x:c r="P310" s="23" t="n">
        <x:v>492.8841552734375</x:v>
      </x:c>
      <x:c r="Q310" s="23" t="n">
        <x:v>1335.6648763020833</x:v>
      </x:c>
      <x:c r="R310" s="23" t="n">
        <x:v>1337.9942626953125</x:v>
      </x:c>
      <x:c r="S310" s="23" t="n">
        <x:v>494.21525065104163</x:v>
      </x:c>
      <x:c r="T310" s="23" t="n">
        <x:v>1300.9325764973958</x:v>
      </x:c>
      <x:c r="U310" s="23" t="n">
        <x:v>1295.2945963541665</x:v>
      </x:c>
      <x:c r="V310" s="23" t="n">
        <x:v>472.58292643229163</x:v>
      </x:c>
      <x:c r="W310" s="23" t="n">
        <x:v>497.58182779947913</x:v>
      </x:c>
      <x:c r="X310" s="23" t="n">
        <x:v>505.0304768880208</x:v>
      </x:c>
      <x:c r="Y310" s="23" t="n">
        <x:v>506.94425455729163</x:v>
      </x:c>
      <x:c r="Z310" s="23" t="n">
        <x:v>508.4042561848958</x:v>
      </x:c>
      <x:c r="AA310" s="23" t="n">
        <x:v>508.2576904296875</x:v>
      </x:c>
      <x:c r="AB310" s="23" t="n">
        <x:v>514.0177408854166</x:v>
      </x:c>
      <x:c r="AC310" s="23" t="n">
        <x:v>512.7786051432291</x:v>
      </x:c>
      <x:c r="AD310" s="23" t="n">
        <x:v>514.7105712890625</x:v>
      </x:c>
      <x:c r="AE310" s="23" t="n">
        <x:v>512.9178059895833</x:v>
      </x:c>
      <x:c r="AF310" s="23" t="n">
        <x:v>513.1020914713541</x:v>
      </x:c>
      <x:c r="AG310" s="23" t="n">
        <x:v>515.0592041015625</x:v>
      </x:c>
      <x:c r="AH310" s="23" t="n">
        <x:v>515.0895589192708</x:v>
      </x:c>
      <x:c r="AI310" s="23" t="n">
        <x:v>509.7339680989583</x:v>
      </x:c>
      <x:c r="AJ310" s="23" t="n">
        <x:v>513.3935953776041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0</x:v>
      </x:c>
      <x:c r="BQ310" s="23" t="n">
        <x:v>478.08950257604886</x:v>
      </x:c>
      <x:c r="BR310" s="23" t="n">
        <x:v>477.34461136382436</x:v>
      </x:c>
      <x:c r="BS310" s="23" t="n">
        <x:v>0</x:v>
      </x:c>
      <x:c r="BT310" s="23" t="n">
        <x:v>0</x:v>
      </x:c>
      <x:c r="BU310" s="23" t="n">
        <x:v>0</x:v>
      </x:c>
      <x:c r="BV310" s="23" t="n">
        <x:v>0</x:v>
      </x:c>
      <x:c r="BW310" s="23" t="n">
        <x:v>0</x:v>
      </x:c>
      <x:c r="BX310" s="23" t="n">
        <x:v>225.42177790176333</x:v>
      </x:c>
      <x:c r="BY310" s="23" t="n">
        <x:v>490.5514597653499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38.26247007048202</x:v>
      </x:c>
      <x:c r="CN310" s="23" t="n">
        <x:v>74.47424005048416</x:v>
      </x:c>
      <x:c r="CO310" s="23" t="n">
        <x:v>110.39656533702812</x:v>
      </x:c>
      <x:c r="CP310" s="23" t="n">
        <x:v>164.22271921503625</x:v>
      </x:c>
      <x:c r="CQ310" s="23" t="n">
        <x:v>210.71099877172674</x:v>
      </x:c>
      <x:c r="CR310" s="23" t="n">
        <x:v>250.43501867570717</x:v>
      </x:c>
      <x:c r="CS310" s="23" t="n">
        <x:v>302.3149570892195</x:v>
      </x:c>
      <x:c r="CT310" s="23" t="n">
        <x:v>354.02095219820296</x:v>
      </x:c>
      <x:c r="CU310" s="23" t="n">
        <x:v>390.4701158235499</x:v>
      </x:c>
      <x:c r="CV310" s="23" t="n">
        <x:v>420.65150627942495</x:v>
      </x:c>
      <x:c r="CW310" s="23" t="n">
        <x:v>44.8823934737668</x:v>
      </x:c>
      <x:c r="CX310" s="23" t="n">
        <x:v>457.6287238143496</x:v>
      </x:c>
      <x:c r="CY310" s="23" t="n">
        <x:v>438.6134568661639</x:v>
      </x:c>
      <x:c r="CZ310" s="23" t="n">
        <x:v>450.4379310557361</x:v>
      </x:c>
      <x:c r="DA310" s="23" t="n">
        <x:v>471.5562500924071</x:v>
      </x:c>
      <x:c r="DB310" s="23" t="n">
        <x:v>453.5125732421875</x:v>
      </x:c>
      <x:c r="DC310" s="23" t="n">
        <x:v>452.0674928451747</x:v>
      </x:c>
      <x:c r="DD310" s="23" t="n">
        <x:v>452.6285400390625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456.11962890625</x:v>
      </x:c>
      <x:c r="DX310" s="23" t="n">
        <x:v>452.79386393229163</x:v>
      </x:c>
      <x:c r="DY310" s="23" t="n">
        <x:v>452.47513834635413</x:v>
      </x:c>
      <x:c r="DZ310" s="23" t="n">
        <x:v>456.416259765625</x:v>
      </x:c>
      <x:c r="EA310" s="23" t="n">
        <x:v>462.8227132161458</x:v>
      </x:c>
      <x:c r="EB310" s="23" t="n">
        <x:v>453.5817464192708</x:v>
      </x:c>
      <x:c r="EC310" s="23" t="n">
        <x:v>1234.706339518229</x:v>
      </x:c>
      <x:c r="ED310" s="23" t="n">
        <x:v>1226.9327799479165</x:v>
      </x:c>
      <x:c r="EE310" s="23" t="n">
        <x:v>1232.1822102864583</x:v>
      </x:c>
      <x:c r="EF310" s="23" t="n">
        <x:v>1234.7856038411458</x:v>
      </x:c>
      <x:c r="EG310" s="23" t="n">
        <x:v>1229.5745849609375</x:v>
      </x:c>
      <x:c r="EH310" s="23" t="n">
        <x:v>1242.1392415364583</x:v>
      </x:c>
      <x:c r="EI310" s="23" t="n">
        <x:v>413.89701334635413</x:v>
      </x:c>
      <x:c r="EJ310" s="23" t="n">
        <x:v>1255.3628743489583</x:v>
      </x:c>
      <x:c r="EK310" s="23" t="n">
        <x:v>422.8662109375</x:v>
      </x:c>
      <x:c r="EL310" s="23" t="n">
        <x:v>424.3987630208333</x:v>
      </x:c>
      <x:c r="EM310" s="23" t="n">
        <x:v>552.4856309035815</x:v>
      </x:c>
      <x:c r="EN310" s="23" t="n">
        <x:v>458.65738932291663</x:v>
      </x:c>
      <x:c r="EO310" s="23" t="n">
        <x:v>0</x:v>
      </x:c>
      <x:c r="EP310" s="23" t="n">
        <x:f>SUM(B310:EO310)</x:f>
        <x:v>43179.4430224072</x:v>
      </x:c>
      <x:c r="EQ310" s="23" t="n">
        <x:f>SUMPRODUCT(B310:EO310,{0.3272,0.3342,0.3655,0.3498,0.3629,0.3951,0.3584,0.3403,0.3578,0.3419,0.3387,0.3648,0.3847,0.3916,0.3912,0.3916,0.3936,0.3905,0.3754,0.3614,0.3634,0.3835,0.3849,0.3757,0.396,0.3992,0.3905,0.4259,0.468,0.4581,0.3799,0.3672,0.4013,0.3692,0.524,0.8152,0.899,0.8424,0.7915,0.8261,0.8763,0.8833,0.8482,0.8174,0.8055,0.8056,0.893,1.0112,1.0169,1.0194,1.0221,0.9323,0.9424,1.041,1.0233,1.0096,1.0201,0.963,1.0245,1.1715,1.1692,1.1326,1.1584,1.1756,0.9001,0.516,0.5168,0.572,0.5171,0.507,0.4716,0.4151,0.4362,0.4731,0.4463,0.3664,0.4905,0.7324,0.7492,0.7732,0.8535,0.8144,0.8926,1.08,1.1152,1.1198,1.1838,1.2158,0.9489,0.5656,0.5554,0.6789,0.7192,0.6883,0.6672,0.6901,0.7273,0.746,0.7804,0.8756,0.8578,0.753,0.7681,0.8143,0.7886,0.7193,0.8877,1.1623,1.1251,1.0922,1.1488,1.0841,1.1639,1.3684,1.3841,1.3518,1.3624,1.3535,1.3232,1.308,1.3397,1.3508,1.3612,1.4053,1.1484,0.7504,0.7409,0.7975,0.7822,0.8451,0.6913,0.3792,0.3005,0.3136,0.3083,0.3274,0.343,0.3458,0.3574,0.3689,0.3566,0.3201,0.3702,0.4549})</x:f>
        <x:v>19313.994479398512</x:v>
      </x:c>
    </x:row>
    <x:row r="311" ht="14" customHeight="1">
      <x:c r="A311" s="3">
        <x:v>45998</x:v>
      </x:c>
      <x:c r="B311" s="23" t="n">
        <x:v>1426.1429850260415</x:v>
      </x:c>
      <x:c r="C311" s="23" t="n">
        <x:v>575.9945068359375</x:v>
      </x:c>
      <x:c r="D311" s="23" t="n">
        <x:v>0</x:v>
      </x:c>
      <x:c r="E311" s="23" t="n">
        <x:v>582.2342122395833</x:v>
      </x:c>
      <x:c r="F311" s="23" t="n">
        <x:v>1418.8717854817708</x:v>
      </x:c>
      <x:c r="G311" s="23" t="n">
        <x:v>1428.828125</x:v>
      </x:c>
      <x:c r="H311" s="23" t="n">
        <x:v>1422.2378743489583</x:v>
      </x:c>
      <x:c r="I311" s="23" t="n">
        <x:v>1420.847208658854</x:v>
      </x:c>
      <x:c r="J311" s="23" t="n">
        <x:v>600.4730224609375</x:v>
      </x:c>
      <x:c r="K311" s="23" t="n">
        <x:v>594.937255859375</x:v>
      </x:c>
      <x:c r="L311" s="23" t="n">
        <x:v>597.4270833333333</x:v>
      </x:c>
      <x:c r="M311" s="23" t="n">
        <x:v>604.0873616536458</x:v>
      </x:c>
      <x:c r="N311" s="23" t="n">
        <x:v>1421.2028401692708</x:v>
      </x:c>
      <x:c r="O311" s="23" t="n">
        <x:v>600.0269368489583</x:v>
      </x:c>
      <x:c r="P311" s="23" t="n">
        <x:v>611.0615641276041</x:v>
      </x:c>
      <x:c r="Q311" s="23" t="n">
        <x:v>598.4937337239583</x:v>
      </x:c>
      <x:c r="R311" s="23" t="n">
        <x:v>592.9002278645833</x:v>
      </x:c>
      <x:c r="S311" s="23" t="n">
        <x:v>595.7050374348958</x:v>
      </x:c>
      <x:c r="T311" s="23" t="n">
        <x:v>1420.8313802083333</x:v>
      </x:c>
      <x:c r="U311" s="23" t="n">
        <x:v>597.7329915364583</x:v>
      </x:c>
      <x:c r="V311" s="23" t="n">
        <x:v>629.1656494140625</x:v>
      </x:c>
      <x:c r="W311" s="23" t="n">
        <x:v>645.6817626953125</x:v>
      </x:c>
      <x:c r="X311" s="23" t="n">
        <x:v>642.3236490885416</x:v>
      </x:c>
      <x:c r="Y311" s="23" t="n">
        <x:v>641.0827229817708</x:v>
      </x:c>
      <x:c r="Z311" s="23" t="n">
        <x:v>630.3925374348958</x:v>
      </x:c>
      <x:c r="AA311" s="23" t="n">
        <x:v>636.5451253255208</x:v>
      </x:c>
      <x:c r="AB311" s="23" t="n">
        <x:v>641.1900227864583</x:v>
      </x:c>
      <x:c r="AC311" s="23" t="n">
        <x:v>631.1306559244791</x:v>
      </x:c>
      <x:c r="AD311" s="23" t="n">
        <x:v>630.1156412760416</x:v>
      </x:c>
      <x:c r="AE311" s="23" t="n">
        <x:v>633.3997395833333</x:v>
      </x:c>
      <x:c r="AF311" s="23" t="n">
        <x:v>642.8503011067708</x:v>
      </x:c>
      <x:c r="AG311" s="23" t="n">
        <x:v>641.787109375</x:v>
      </x:c>
      <x:c r="AH311" s="23" t="n">
        <x:v>627.718505859375</x:v>
      </x:c>
      <x:c r="AI311" s="23" t="n">
        <x:v>1021.4405493915563</x:v>
      </x:c>
      <x:c r="AJ311" s="23" t="n">
        <x:v>701.7366536458333</x:v>
      </x:c>
      <x:c r="AK311" s="23" t="n">
        <x:v>823.1128743489583</x:v>
      </x:c>
      <x:c r="AL311" s="23" t="n">
        <x:v>879.3219401041666</x:v>
      </x:c>
      <x:c r="AM311" s="23" t="n">
        <x:v>854.54345703125</x:v>
      </x:c>
      <x:c r="AN311" s="23" t="n">
        <x:v>833.81689453125</x:v>
      </x:c>
      <x:c r="AO311" s="23" t="n">
        <x:v>842.6067052644507</x:v>
      </x:c>
      <x:c r="AP311" s="23" t="n">
        <x:v>869.4224404208553</x:v>
      </x:c>
      <x:c r="AQ311" s="23" t="n">
        <x:v>857.3826461982868</x:v>
      </x:c>
      <x:c r="AR311" s="23" t="n">
        <x:v>775.9061011175442</x:v>
      </x:c>
      <x:c r="AS311" s="23" t="n">
        <x:v>697.457463398881</x:v>
      </x:c>
      <x:c r="AT311" s="23" t="n">
        <x:v>639.8304332766902</x:v>
      </x:c>
      <x:c r="AU311" s="23" t="n">
        <x:v>611.9578369109304</x:v>
      </x:c>
      <x:c r="AV311" s="23" t="n">
        <x:v>711.663343457345</x:v>
      </x:c>
      <x:c r="AW311" s="23" t="n">
        <x:v>87.93023073855025</x:v>
      </x:c>
      <x:c r="AX311" s="23" t="n">
        <x:v>92.86727684942176</x:v>
      </x:c>
      <x:c r="AY311" s="23" t="n">
        <x:v>35.42711035116311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524.258078550208</x:v>
      </x:c>
      <x:c r="BF311" s="23" t="n">
        <x:v>0</x:v>
      </x:c>
      <x:c r="BG311" s="23" t="n">
        <x:v>56.0905335034137</x:v>
      </x:c>
      <x:c r="BH311" s="23" t="n">
        <x:v>0</x:v>
      </x:c>
      <x:c r="BI311" s="23" t="n">
        <x:v>0</x:v>
      </x:c>
      <x:c r="BJ311" s="23" t="n">
        <x:v>0</x:v>
      </x:c>
      <x:c r="BK311" s="23" t="n">
        <x:v>0</x:v>
      </x:c>
      <x:c r="BL311" s="23" t="n">
        <x:v>0</x:v>
      </x:c>
      <x:c r="BM311" s="23" t="n">
        <x:v>0</x:v>
      </x:c>
      <x:c r="BN311" s="23" t="n">
        <x:v>194.6314699474839</x:v>
      </x:c>
      <x:c r="BO311" s="23" t="n">
        <x:v>1009.9253633997438</x:v>
      </x:c>
      <x:c r="BP311" s="23" t="n">
        <x:v>996.4268465915732</x:v>
      </x:c>
      <x:c r="BQ311" s="23" t="n">
        <x:v>992.4087805757829</x:v>
      </x:c>
      <x:c r="BR311" s="23" t="n">
        <x:v>961.670350328297</x:v>
      </x:c>
      <x:c r="BS311" s="23" t="n">
        <x:v>965.6760208431443</x:v>
      </x:c>
      <x:c r="BT311" s="23" t="n">
        <x:v>939.9367846656205</x:v>
      </x:c>
      <x:c r="BU311" s="23" t="n">
        <x:v>853.3445297882596</x:v>
      </x:c>
      <x:c r="BV311" s="23" t="n">
        <x:v>847.5517312641097</x:v>
      </x:c>
      <x:c r="BW311" s="23" t="n">
        <x:v>859.2457081015409</x:v>
      </x:c>
      <x:c r="BX311" s="23" t="n">
        <x:v>809.9293861189868</x:v>
      </x:c>
      <x:c r="BY311" s="23" t="n">
        <x:v>800.0075962692699</x:v>
      </x:c>
      <x:c r="BZ311" s="23" t="n">
        <x:v>865.9928959082214</x:v>
      </x:c>
      <x:c r="CA311" s="23" t="n">
        <x:v>109.86581179108603</x:v>
      </x:c>
      <x:c r="CB311" s="23" t="n">
        <x:v>138.83229651189168</x:v>
      </x:c>
      <x:c r="CC311" s="23" t="n">
        <x:v>163.50754324440092</x:v>
      </x:c>
      <x:c r="CD311" s="23" t="n">
        <x:v>188.94382697128577</x:v>
      </x:c>
      <x:c r="CE311" s="23" t="n">
        <x:v>208.90693850531684</x:v>
      </x:c>
      <x:c r="CF311" s="23" t="n">
        <x:v>232.89925295552894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1329.5104130567174</x:v>
      </x:c>
      <x:c r="CN311" s="23" t="n">
        <x:v>1368.6999595518446</x:v>
      </x:c>
      <x:c r="CO311" s="23" t="n">
        <x:v>1220.493172803592</x:v>
      </x:c>
      <x:c r="CP311" s="23" t="n">
        <x:v>628.9774973258741</x:v>
      </x:c>
      <x:c r="CQ311" s="23" t="n">
        <x:v>1503.724212723417</x:v>
      </x:c>
      <x:c r="CR311" s="23" t="n">
        <x:v>711.0912682663732</x:v>
      </x:c>
      <x:c r="CS311" s="23" t="n">
        <x:v>763.8693774634609</x:v>
      </x:c>
      <x:c r="CT311" s="23" t="n">
        <x:v>815.2528963892657</x:v>
      </x:c>
      <x:c r="CU311" s="23" t="n">
        <x:v>853.8853671564826</x:v>
      </x:c>
      <x:c r="CV311" s="23" t="n">
        <x:v>894.7818262340872</x:v>
      </x:c>
      <x:c r="CW311" s="23" t="n">
        <x:v>945.4585146917341</x:v>
      </x:c>
      <x:c r="CX311" s="23" t="n">
        <x:v>984.2910144508484</x:v>
      </x:c>
      <x:c r="CY311" s="23" t="n">
        <x:v>1016.9211350347477</x:v>
      </x:c>
      <x:c r="CZ311" s="23" t="n">
        <x:v>1022.304370146936</x:v>
      </x:c>
      <x:c r="DA311" s="23" t="n">
        <x:v>1017.4376344818052</x:v>
      </x:c>
      <x:c r="DB311" s="23" t="n">
        <x:v>1019.4625651041666</x:v>
      </x:c>
      <x:c r="DC311" s="23" t="n">
        <x:v>1046.7083333333333</x:v>
      </x:c>
      <x:c r="DD311" s="23" t="n">
        <x:v>927.0098470052083</x:v>
      </x:c>
      <x:c r="DE311" s="23" t="n">
        <x:v>728.7571614583333</x:v>
      </x:c>
      <x:c r="DF311" s="23" t="n">
        <x:v>700.6534016927083</x:v>
      </x:c>
      <x:c r="DG311" s="23" t="n">
        <x:v>725.5018717447916</x:v>
      </x:c>
      <x:c r="DH311" s="23" t="n">
        <x:v>718.5699869791666</x:v>
      </x:c>
      <x:c r="DI311" s="23" t="n">
        <x:v>715.575927734375</x:v>
      </x:c>
      <x:c r="DJ311" s="23" t="n">
        <x:v>64.75295520833409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726.136542578125</x:v>
      </x:c>
      <x:c r="DW311" s="23" t="n">
        <x:v>724.3190337657534</x:v>
      </x:c>
      <x:c r="DX311" s="23" t="n">
        <x:v>725.247802734375</x:v>
      </x:c>
      <x:c r="DY311" s="23" t="n">
        <x:v>734.8990885416666</x:v>
      </x:c>
      <x:c r="DZ311" s="23" t="n">
        <x:v>729.3306477864583</x:v>
      </x:c>
      <x:c r="EA311" s="23" t="n">
        <x:v>738.265869140625</x:v>
      </x:c>
      <x:c r="EB311" s="23" t="n">
        <x:v>660.1358235677083</x:v>
      </x:c>
      <x:c r="EC311" s="23" t="n">
        <x:v>1383.560546875</x:v>
      </x:c>
      <x:c r="ED311" s="23" t="n">
        <x:v>1382.6358235677083</x:v>
      </x:c>
      <x:c r="EE311" s="23" t="n">
        <x:v>556.7593587239583</x:v>
      </x:c>
      <x:c r="EF311" s="23" t="n">
        <x:v>1380.123331705729</x:v>
      </x:c>
      <x:c r="EG311" s="23" t="n">
        <x:v>1383.086466471354</x:v>
      </x:c>
      <x:c r="EH311" s="23" t="n">
        <x:v>1392.2685139973958</x:v>
      </x:c>
      <x:c r="EI311" s="23" t="n">
        <x:v>818.8594055226018</x:v>
      </x:c>
      <x:c r="EJ311" s="23" t="n">
        <x:v>561.8222249348958</x:v>
      </x:c>
      <x:c r="EK311" s="23" t="n">
        <x:v>574.9775797526041</x:v>
      </x:c>
      <x:c r="EL311" s="23" t="n">
        <x:v>569.7979329427083</x:v>
      </x:c>
      <x:c r="EM311" s="23" t="n">
        <x:v>570.3128255208333</x:v>
      </x:c>
      <x:c r="EN311" s="23" t="n">
        <x:v>1408.5812174479165</x:v>
      </x:c>
      <x:c r="EO311" s="23" t="n">
        <x:v>586.8452962239583</x:v>
      </x:c>
      <x:c r="EP311" s="23" t="n">
        <x:f>SUM(B311:EO311)</x:f>
        <x:v>88771.55130037531</x:v>
      </x:c>
      <x:c r="EQ311" s="23" t="n">
        <x:f>SUMPRODUCT(B311:EO311,{0.4122,0.395,0.4543,0.485,0.4853,0.4629,0.4211,0.4175,0.453,0.4672,0.4348,0.4042,0.4455,0.4646,0.4607,0.5128,0.4866,0.4205,0.4892,0.5124,0.4586,0.4776,0.4895,0.4659,0.4714,0.4958,0.508,0.4917,0.4941,0.5295,0.5568,0.5119,0.412,0.3926,0.6912,1.0708,1.0237,0.94,1.0154,1.0631,1.061,1.0482,1.062,1.0712,1.0061,0.8706,1.0258,1.3762,1.4438,1.3934,1.3502,1.2674,1.2338,1.2557,1.2523,1.2649,1.261,1.1732,1.2031,1.3529,1.4099,1.3756,1.3546,1.3967,1.1722,0.7655,0.6287,0.649,0.6793,0.6876,0.6521,0.6173,0.6567,0.7012,0.675,0.6036,0.7832,1.1035,1.1331,1.045,1.008,1.0425,1.2062,1.4002,1.4309,1.3938,1.3973,1.4245,1.2215,0.9133,0.9061,0.9899,1.0058,0.9965,0.9726,0.9748,1.0441,1.0708,1.0487,1.0756,1.0987,1.0946,1.0987,1.1075,1.1137,1.1216,1.1544,1.2224,1.3064,1.3399,1.3132,1.2986,1.4128,1.5685,1.5512,1.4917,1.4801,1.4796,1.4643,1.4541,1.486,1.5031,1.536,1.6174,1.3726,0.9406,0.8762,0.9434,0.9603,0.9523,0.7511,0.4671,0.4168,0.4327,0.4169,0.4379,0.4573,0.4514,0.4392,0.4362,0.4516,0.4751,0.4415,0.3908})</x:f>
        <x:v>66016.16715526406</x:v>
      </x:c>
    </x:row>
    <x:row r="312" ht="14" customHeight="1">
      <x:c r="A312" s="3">
        <x:v>45999</x:v>
      </x:c>
      <x:c r="B312" s="23" t="n">
        <x:v>599.2654622395833</x:v>
      </x:c>
      <x:c r="C312" s="23" t="n">
        <x:v>608.7365315755208</x:v>
      </x:c>
      <x:c r="D312" s="23" t="n">
        <x:v>596.0965983072916</x:v>
      </x:c>
      <x:c r="E312" s="23" t="n">
        <x:v>1417.3411458333333</x:v>
      </x:c>
      <x:c r="F312" s="23" t="n">
        <x:v>1426.9689534505208</x:v>
      </x:c>
      <x:c r="G312" s="23" t="n">
        <x:v>603.4214680989583</x:v>
      </x:c>
      <x:c r="H312" s="23" t="n">
        <x:v>599.7267659505208</x:v>
      </x:c>
      <x:c r="I312" s="23" t="n">
        <x:v>1205.263800491897</x:v>
      </x:c>
      <x:c r="J312" s="23" t="n">
        <x:v>625.7118326822916</x:v>
      </x:c>
      <x:c r="K312" s="23" t="n">
        <x:v>613.5605875651041</x:v>
      </x:c>
      <x:c r="L312" s="23" t="n">
        <x:v>607.587646484375</x:v>
      </x:c>
      <x:c r="M312" s="23" t="n">
        <x:v>613.388671875</x:v>
      </x:c>
      <x:c r="N312" s="23" t="n">
        <x:v>606.6205647786458</x:v>
      </x:c>
      <x:c r="O312" s="23" t="n">
        <x:v>620.0000406901041</x:v>
      </x:c>
      <x:c r="P312" s="23" t="n">
        <x:v>634.0454508463541</x:v>
      </x:c>
      <x:c r="Q312" s="23" t="n">
        <x:v>1470.314737955729</x:v>
      </x:c>
      <x:c r="R312" s="23" t="n">
        <x:v>650.5846761067708</x:v>
      </x:c>
      <x:c r="S312" s="23" t="n">
        <x:v>648.9050699869791</x:v>
      </x:c>
      <x:c r="T312" s="23" t="n">
        <x:v>1490.2831624348958</x:v>
      </x:c>
      <x:c r="U312" s="23" t="n">
        <x:v>1486.8233642578125</x:v>
      </x:c>
      <x:c r="V312" s="23" t="n">
        <x:v>650.1935628255208</x:v>
      </x:c>
      <x:c r="W312" s="23" t="n">
        <x:v>650.358154296875</x:v>
      </x:c>
      <x:c r="X312" s="23" t="n">
        <x:v>649.3369954427083</x:v>
      </x:c>
      <x:c r="Y312" s="23" t="n">
        <x:v>654.9480794270833</x:v>
      </x:c>
      <x:c r="Z312" s="23" t="n">
        <x:v>661.3146158854166</x:v>
      </x:c>
      <x:c r="AA312" s="23" t="n">
        <x:v>667.0758463541666</x:v>
      </x:c>
      <x:c r="AB312" s="23" t="n">
        <x:v>675.3011067708333</x:v>
      </x:c>
      <x:c r="AC312" s="23" t="n">
        <x:v>682.5178629557291</x:v>
      </x:c>
      <x:c r="AD312" s="23" t="n">
        <x:v>685.4217122395833</x:v>
      </x:c>
      <x:c r="AE312" s="23" t="n">
        <x:v>665.3781331380208</x:v>
      </x:c>
      <x:c r="AF312" s="23" t="n">
        <x:v>697.6324869791666</x:v>
      </x:c>
      <x:c r="AG312" s="23" t="n">
        <x:v>693.1736653645833</x:v>
      </x:c>
      <x:c r="AH312" s="23" t="n">
        <x:v>672.048583984375</x:v>
      </x:c>
      <x:c r="AI312" s="23" t="n">
        <x:v>1468.5227864583333</x:v>
      </x:c>
      <x:c r="AJ312" s="23" t="n">
        <x:v>752.3445638020833</x:v>
      </x:c>
      <x:c r="AK312" s="23" t="n">
        <x:v>893.8470865885416</x:v>
      </x:c>
      <x:c r="AL312" s="23" t="n">
        <x:v>878.888671875</x:v>
      </x:c>
      <x:c r="AM312" s="23" t="n">
        <x:v>865.6131184895833</x:v>
      </x:c>
      <x:c r="AN312" s="23" t="n">
        <x:v>875.9930826822916</x:v>
      </x:c>
      <x:c r="AO312" s="23" t="n">
        <x:v>870.9590812477287</x:v>
      </x:c>
      <x:c r="AP312" s="23" t="n">
        <x:v>199.87136974185523</x:v>
      </x:c>
      <x:c r="AQ312" s="23" t="n">
        <x:v>867.1034818601117</x:v>
      </x:c>
      <x:c r="AR312" s="23" t="n">
        <x:v>832.9621897291078</x:v>
      </x:c>
      <x:c r="AS312" s="23" t="n">
        <x:v>793.6086360701966</x:v>
      </x:c>
      <x:c r="AT312" s="23" t="n">
        <x:v>743.9184219518111</x:v>
      </x:c>
      <x:c r="AU312" s="23" t="n">
        <x:v>1524.7636318118934</x:v>
      </x:c>
      <x:c r="AV312" s="23" t="n">
        <x:v>751.814272718736</x:v>
      </x:c>
      <x:c r="AW312" s="23" t="n">
        <x:v>135.2903732826274</x:v>
      </x:c>
      <x:c r="AX312" s="23" t="n">
        <x:v>91.00159421465983</x:v>
      </x:c>
      <x:c r="AY312" s="23" t="n">
        <x:v>33.99916911261622</x:v>
      </x:c>
      <x:c r="AZ312" s="23" t="n">
        <x:v>3.8901297118172806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315.89320196181063</x:v>
      </x:c>
      <x:c r="BG312" s="23" t="n">
        <x:v>431.51915239485254</x:v>
      </x:c>
      <x:c r="BH312" s="23" t="n">
        <x:v>0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209.7991350282773</x:v>
      </x:c>
      <x:c r="BO312" s="23" t="n">
        <x:v>1023.1664553277626</x:v>
      </x:c>
      <x:c r="BP312" s="23" t="n">
        <x:v>1000.711617678134</x:v>
      </x:c>
      <x:c r="BQ312" s="23" t="n">
        <x:v>986.8994321826833</x:v>
      </x:c>
      <x:c r="BR312" s="23" t="n">
        <x:v>975.985177786955</x:v>
      </x:c>
      <x:c r="BS312" s="23" t="n">
        <x:v>965.4515731206575</x:v>
      </x:c>
      <x:c r="BT312" s="23" t="n">
        <x:v>945.786696495568</x:v>
      </x:c>
      <x:c r="BU312" s="23" t="n">
        <x:v>895.1029289543585</x:v>
      </x:c>
      <x:c r="BV312" s="23" t="n">
        <x:v>868.0205234308617</x:v>
      </x:c>
      <x:c r="BW312" s="23" t="n">
        <x:v>869.4361830135033</x:v>
      </x:c>
      <x:c r="BX312" s="23" t="n">
        <x:v>886.9667739804026</x:v>
      </x:c>
      <x:c r="BY312" s="23" t="n">
        <x:v>880.0613493499798</x:v>
      </x:c>
      <x:c r="BZ312" s="23" t="n">
        <x:v>926.4406301879835</x:v>
      </x:c>
      <x:c r="CA312" s="23" t="n">
        <x:v>142.14088694443095</x:v>
      </x:c>
      <x:c r="CB312" s="23" t="n">
        <x:v>158.0761470514814</x:v>
      </x:c>
      <x:c r="CC312" s="23" t="n">
        <x:v>170.02271886542678</x:v>
      </x:c>
      <x:c r="CD312" s="23" t="n">
        <x:v>196.08786022119753</x:v>
      </x:c>
      <x:c r="CE312" s="23" t="n">
        <x:v>211.91728179651165</x:v>
      </x:c>
      <x:c r="CF312" s="23" t="n">
        <x:v>243.8316965319215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1358.085026557353</x:v>
      </x:c>
      <x:c r="CN312" s="23" t="n">
        <x:v>1408.0560392658772</x:v>
      </x:c>
      <x:c r="CO312" s="23" t="n">
        <x:v>1450.594331124974</x:v>
      </x:c>
      <x:c r="CP312" s="23" t="n">
        <x:v>901.9549176458096</x:v>
      </x:c>
      <x:c r="CQ312" s="23" t="n">
        <x:v>690.9123672044902</x:v>
      </x:c>
      <x:c r="CR312" s="23" t="n">
        <x:v>719.6061494861628</x:v>
      </x:c>
      <x:c r="CS312" s="23" t="n">
        <x:v>758.6429481826563</x:v>
      </x:c>
      <x:c r="CT312" s="23" t="n">
        <x:v>812.1240770504488</x:v>
      </x:c>
      <x:c r="CU312" s="23" t="n">
        <x:v>859.9210067813447</x:v>
      </x:c>
      <x:c r="CV312" s="23" t="n">
        <x:v>896.5183872826349</x:v>
      </x:c>
      <x:c r="CW312" s="23" t="n">
        <x:v>954.4171403692076</x:v>
      </x:c>
      <x:c r="CX312" s="23" t="n">
        <x:v>993.0445299322397</x:v>
      </x:c>
      <x:c r="CY312" s="23" t="n">
        <x:v>1004.4306480783034</x:v>
      </x:c>
      <x:c r="CZ312" s="23" t="n">
        <x:v>1007.4370490987014</x:v>
      </x:c>
      <x:c r="DA312" s="23" t="n">
        <x:v>1006.728354754647</x:v>
      </x:c>
      <x:c r="DB312" s="23" t="n">
        <x:v>1023.1246744791666</x:v>
      </x:c>
      <x:c r="DC312" s="23" t="n">
        <x:v>1047.8434244791665</x:v>
      </x:c>
      <x:c r="DD312" s="23" t="n">
        <x:v>940.770751953125</x:v>
      </x:c>
      <x:c r="DE312" s="23" t="n">
        <x:v>725.3502604166666</x:v>
      </x:c>
      <x:c r="DF312" s="23" t="n">
        <x:v>705.668701171875</x:v>
      </x:c>
      <x:c r="DG312" s="23" t="n">
        <x:v>728.6583658854166</x:v>
      </x:c>
      <x:c r="DH312" s="23" t="n">
        <x:v>726.9734700520833</x:v>
      </x:c>
      <x:c r="DI312" s="23" t="n">
        <x:v>723.969482421875</x:v>
      </x:c>
      <x:c r="DJ312" s="23" t="n">
        <x:v>105.73806705729051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709.60986328125</x:v>
      </x:c>
      <x:c r="DW312" s="23" t="n">
        <x:v>728.881538202482</x:v>
      </x:c>
      <x:c r="DX312" s="23" t="n">
        <x:v>726.0664092078189</x:v>
      </x:c>
      <x:c r="DY312" s="23" t="n">
        <x:v>721.4164225260416</x:v>
      </x:c>
      <x:c r="DZ312" s="23" t="n">
        <x:v>724.2950846354166</x:v>
      </x:c>
      <x:c r="EA312" s="23" t="n">
        <x:v>723.6674508333333</x:v>
      </x:c>
      <x:c r="EB312" s="23" t="n">
        <x:v>670.2747758072917</x:v>
      </x:c>
      <x:c r="EC312" s="23" t="n">
        <x:v>1399.0069580078125</x:v>
      </x:c>
      <x:c r="ED312" s="23" t="n">
        <x:v>1381.4571126302083</x:v>
      </x:c>
      <x:c r="EE312" s="23" t="n">
        <x:v>1383.31787109375</x:v>
      </x:c>
      <x:c r="EF312" s="23" t="n">
        <x:v>1375.4681803385415</x:v>
      </x:c>
      <x:c r="EG312" s="23" t="n">
        <x:v>1387.7414143880208</x:v>
      </x:c>
      <x:c r="EH312" s="23" t="n">
        <x:v>1400.1202799479165</x:v>
      </x:c>
      <x:c r="EI312" s="23" t="n">
        <x:v>570.0515950520833</x:v>
      </x:c>
      <x:c r="EJ312" s="23" t="n">
        <x:v>580.1623942057291</x:v>
      </x:c>
      <x:c r="EK312" s="23" t="n">
        <x:v>583.6529947916666</x:v>
      </x:c>
      <x:c r="EL312" s="23" t="n">
        <x:v>574.2832845052083</x:v>
      </x:c>
      <x:c r="EM312" s="23" t="n">
        <x:v>583.3306884765625</x:v>
      </x:c>
      <x:c r="EN312" s="23" t="n">
        <x:v>877.1320353732642</x:v>
      </x:c>
      <x:c r="EO312" s="23" t="n">
        <x:v>590.4232177734375</x:v>
      </x:c>
      <x:c r="EP312" s="23" t="n">
        <x:f>SUM(B312:EO312)</x:f>
        <x:v>90957.98616273889</x:v>
      </x:c>
      <x:c r="EQ312" s="23" t="n">
        <x:f>SUMPRODUCT(B312:EO312,{0.4298,0.4633,0.4476,0.4365,0.4585,0.4925,0.4893,0.4603,0.454,0.5061,0.5181,0.4789,0.4712,0.4722,0.4707,0.4817,0.4708,0.4476,0.4619,0.4959,0.5067,0.4705,0.4671,0.4987,0.4942,0.5024,0.5297,0.5295,0.5339,0.5309,0.4835,0.506,0.5363,0.4417,0.6399,1.0215,1.0361,1.0183,1.0991,1.0602,1.0113,1.0113,0.9991,0.9814,0.9549,0.9367,1.125,1.4091,1.4417,1.3448,1.2766,1.2769,1.2524,1.1974,1.1987,1.2353,1.2376,1.1766,1.2546,1.4286,1.4353,1.3411,1.2976,1.3484,1.1313,0.7498,0.6941,0.743,0.7221,0.6866,0.6861,0.7076,0.6981,0.6759,0.6353,0.5863,0.7543,1.0427,1.1048,1.092,1.1147,1.1391,1.225,1.3412,1.3779,1.3718,1.3879,1.415,1.197,0.8662,0.8439,0.9204,0.9435,0.9622,0.954,0.9555,1.0271,1.0204,0.9738,1.074,1.147,1.1347,1.1483,1.1431,1.1075,1.1006,1.166,1.2556,1.2738,1.2796,1.2843,1.258,1.3429,1.4897,1.4913,1.4444,1.4421,1.4837,1.5233,1.5183,1.4626,1.4426,1.5329,1.6698,1.4071,0.9175,0.854,0.9481,1.0022,1.0417,0.7698,0.362,0.3445,0.4357,0.4359,0.4216,0.4135,0.4123,0.417,0.4291,0.4388,0.4338,0.4398,0.4536})</x:f>
        <x:v>67574.57664196342</x:v>
      </x:c>
    </x:row>
    <x:row r="313" ht="14" customHeight="1">
      <x:c r="A313" s="3">
        <x:v>46000</x:v>
      </x:c>
      <x:c r="B313" s="23" t="n">
        <x:v>583.28759765625</x:v>
      </x:c>
      <x:c r="C313" s="23" t="n">
        <x:v>586.0216471354166</x:v>
      </x:c>
      <x:c r="D313" s="23" t="n">
        <x:v>1423.2469075520833</x:v>
      </x:c>
      <x:c r="E313" s="23" t="n">
        <x:v>1426.1427408854165</x:v>
      </x:c>
      <x:c r="F313" s="23" t="n">
        <x:v>1422.7071126302083</x:v>
      </x:c>
      <x:c r="G313" s="23" t="n">
        <x:v>928.2681867500958</x:v>
      </x:c>
      <x:c r="H313" s="23" t="n">
        <x:v>1428.4414876302083</x:v>
      </x:c>
      <x:c r="I313" s="23" t="n">
        <x:v>1435.594482421875</x:v>
      </x:c>
      <x:c r="J313" s="23" t="n">
        <x:v>613.0370686848958</x:v>
      </x:c>
      <x:c r="K313" s="23" t="n">
        <x:v>610.3791097005208</x:v>
      </x:c>
      <x:c r="L313" s="23" t="n">
        <x:v>613.5363362630208</x:v>
      </x:c>
      <x:c r="M313" s="23" t="n">
        <x:v>635.6322021484375</x:v>
      </x:c>
      <x:c r="N313" s="23" t="n">
        <x:v>621.7484130859375</x:v>
      </x:c>
      <x:c r="O313" s="23" t="n">
        <x:v>624.7917887369791</x:v>
      </x:c>
      <x:c r="P313" s="23" t="n">
        <x:v>647.3154703776041</x:v>
      </x:c>
      <x:c r="Q313" s="23" t="n">
        <x:v>658.3042399088541</x:v>
      </x:c>
      <x:c r="R313" s="23" t="n">
        <x:v>651.0793050130208</x:v>
      </x:c>
      <x:c r="S313" s="23" t="n">
        <x:v>651.1634521484375</x:v>
      </x:c>
      <x:c r="T313" s="23" t="n">
        <x:v>640.5552164713541</x:v>
      </x:c>
      <x:c r="U313" s="23" t="n">
        <x:v>623.0762532552083</x:v>
      </x:c>
      <x:c r="V313" s="23" t="n">
        <x:v>645.8203531901041</x:v>
      </x:c>
      <x:c r="W313" s="23" t="n">
        <x:v>661.2903645833333</x:v>
      </x:c>
      <x:c r="X313" s="23" t="n">
        <x:v>678.3565266927083</x:v>
      </x:c>
      <x:c r="Y313" s="23" t="n">
        <x:v>676.712890625</x:v>
      </x:c>
      <x:c r="Z313" s="23" t="n">
        <x:v>668.6825358072916</x:v>
      </x:c>
      <x:c r="AA313" s="23" t="n">
        <x:v>657.7945963541666</x:v>
      </x:c>
      <x:c r="AB313" s="23" t="n">
        <x:v>645.3380126953125</x:v>
      </x:c>
      <x:c r="AC313" s="23" t="n">
        <x:v>670.5467122395833</x:v>
      </x:c>
      <x:c r="AD313" s="23" t="n">
        <x:v>693.631103515625</x:v>
      </x:c>
      <x:c r="AE313" s="23" t="n">
        <x:v>692.2860514322916</x:v>
      </x:c>
      <x:c r="AF313" s="23" t="n">
        <x:v>701.48779296875</x:v>
      </x:c>
      <x:c r="AG313" s="23" t="n">
        <x:v>698.8984375</x:v>
      </x:c>
      <x:c r="AH313" s="23" t="n">
        <x:v>647.2862141927083</x:v>
      </x:c>
      <x:c r="AI313" s="23" t="n">
        <x:v>1476.0755615234375</x:v>
      </x:c>
      <x:c r="AJ313" s="23" t="n">
        <x:v>761.2789713541666</x:v>
      </x:c>
      <x:c r="AK313" s="23" t="n">
        <x:v>889.618896484375</x:v>
      </x:c>
      <x:c r="AL313" s="23" t="n">
        <x:v>892.3160807291666</x:v>
      </x:c>
      <x:c r="AM313" s="23" t="n">
        <x:v>881.2672526041666</x:v>
      </x:c>
      <x:c r="AN313" s="23" t="n">
        <x:v>893.3180338541666</x:v>
      </x:c>
      <x:c r="AO313" s="23" t="n">
        <x:v>898.2813901899053</x:v>
      </x:c>
      <x:c r="AP313" s="23" t="n">
        <x:v>885.6786237228052</x:v>
      </x:c>
      <x:c r="AQ313" s="23" t="n">
        <x:v>867.2501972448481</x:v>
      </x:c>
      <x:c r="AR313" s="23" t="n">
        <x:v>835.180195806869</x:v>
      </x:c>
      <x:c r="AS313" s="23" t="n">
        <x:v>791.2478058010813</x:v>
      </x:c>
      <x:c r="AT313" s="23" t="n">
        <x:v>755.739285110332</x:v>
      </x:c>
      <x:c r="AU313" s="23" t="n">
        <x:v>701.0050375260622</x:v>
      </x:c>
      <x:c r="AV313" s="23" t="n">
        <x:v>765.4250057178292</x:v>
      </x:c>
      <x:c r="AW313" s="23" t="n">
        <x:v>127.04742185315322</x:v>
      </x:c>
      <x:c r="AX313" s="23" t="n">
        <x:v>96.11167504752939</x:v>
      </x:c>
      <x:c r="AY313" s="23" t="n">
        <x:v>26.49992224109974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235.7640596858453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214.644667031683</x:v>
      </x:c>
      <x:c r="BO313" s="23" t="n">
        <x:v>1021.0286318824425</x:v>
      </x:c>
      <x:c r="BP313" s="23" t="n">
        <x:v>1000.7433879663232</x:v>
      </x:c>
      <x:c r="BQ313" s="23" t="n">
        <x:v>991.2869779773382</x:v>
      </x:c>
      <x:c r="BR313" s="23" t="n">
        <x:v>980.4470565401307</x:v>
      </x:c>
      <x:c r="BS313" s="23" t="n">
        <x:v>975.126999451548</x:v>
      </x:c>
      <x:c r="BT313" s="23" t="n">
        <x:v>945.8587810202858</x:v>
      </x:c>
      <x:c r="BU313" s="23" t="n">
        <x:v>902.0312371757642</x:v>
      </x:c>
      <x:c r="BV313" s="23" t="n">
        <x:v>885.7044008288187</x:v>
      </x:c>
      <x:c r="BW313" s="23" t="n">
        <x:v>893.8393776859572</x:v>
      </x:c>
      <x:c r="BX313" s="23" t="n">
        <x:v>911.9175061153094</x:v>
      </x:c>
      <x:c r="BY313" s="23" t="n">
        <x:v>923.1758871269408</x:v>
      </x:c>
      <x:c r="BZ313" s="23" t="n">
        <x:v>948.8792964839988</x:v>
      </x:c>
      <x:c r="CA313" s="23" t="n">
        <x:v>158.75783482366415</x:v>
      </x:c>
      <x:c r="CB313" s="23" t="n">
        <x:v>169.58138138365393</x:v>
      </x:c>
      <x:c r="CC313" s="23" t="n">
        <x:v>184.96218814248732</x:v>
      </x:c>
      <x:c r="CD313" s="23" t="n">
        <x:v>209.37908390400722</x:v>
      </x:c>
      <x:c r="CE313" s="23" t="n">
        <x:v>246.16149151980642</x:v>
      </x:c>
      <x:c r="CF313" s="23" t="n">
        <x:v>0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1362.5034022441178</x:v>
      </x:c>
      <x:c r="CN313" s="23" t="n">
        <x:v>1403.063968314313</x:v>
      </x:c>
      <x:c r="CO313" s="23" t="n">
        <x:v>1445.0169568093102</x:v>
      </x:c>
      <x:c r="CP313" s="23" t="n">
        <x:v>654.5721093080977</x:v>
      </x:c>
      <x:c r="CQ313" s="23" t="n">
        <x:v>1516.3856483263353</x:v>
      </x:c>
      <x:c r="CR313" s="23" t="n">
        <x:v>1107.2758931367282</x:v>
      </x:c>
      <x:c r="CS313" s="23" t="n">
        <x:v>760.9766182011036</x:v>
      </x:c>
      <x:c r="CT313" s="23" t="n">
        <x:v>824.4765787586317</x:v>
      </x:c>
      <x:c r="CU313" s="23" t="n">
        <x:v>868.9001479980958</x:v>
      </x:c>
      <x:c r="CV313" s="23" t="n">
        <x:v>899.9755108685524</x:v>
      </x:c>
      <x:c r="CW313" s="23" t="n">
        <x:v>950.6388466709783</x:v>
      </x:c>
      <x:c r="CX313" s="23" t="n">
        <x:v>985.5432628518595</x:v>
      </x:c>
      <x:c r="CY313" s="23" t="n">
        <x:v>1006.9868105552705</x:v>
      </x:c>
      <x:c r="CZ313" s="23" t="n">
        <x:v>1011.9974161215384</x:v>
      </x:c>
      <x:c r="DA313" s="23" t="n">
        <x:v>1014.7318675404318</x:v>
      </x:c>
      <x:c r="DB313" s="23" t="n">
        <x:v>1020.741455078125</x:v>
      </x:c>
      <x:c r="DC313" s="23" t="n">
        <x:v>1040.5130208333333</x:v>
      </x:c>
      <x:c r="DD313" s="23" t="n">
        <x:v>913.8877766927083</x:v>
      </x:c>
      <x:c r="DE313" s="23" t="n">
        <x:v>725.647705078125</x:v>
      </x:c>
      <x:c r="DF313" s="23" t="n">
        <x:v>712.0643717447916</x:v>
      </x:c>
      <x:c r="DG313" s="23" t="n">
        <x:v>725.1410319010416</x:v>
      </x:c>
      <x:c r="DH313" s="23" t="n">
        <x:v>721.157470703125</x:v>
      </x:c>
      <x:c r="DI313" s="23" t="n">
        <x:v>724.53173828125</x:v>
      </x:c>
      <x:c r="DJ313" s="23" t="n">
        <x:v>733.98046875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101.34019921875066</x:v>
      </x:c>
      <x:c r="DW313" s="23" t="n">
        <x:v>727.252143671232</x:v>
      </x:c>
      <x:c r="DX313" s="23" t="n">
        <x:v>727.9129261349022</x:v>
      </x:c>
      <x:c r="DY313" s="23" t="n">
        <x:v>733.2276204427083</x:v>
      </x:c>
      <x:c r="DZ313" s="23" t="n">
        <x:v>737.3109537760416</x:v>
      </x:c>
      <x:c r="EA313" s="23" t="n">
        <x:v>745.4235543489583</x:v>
      </x:c>
      <x:c r="EB313" s="23" t="n">
        <x:v>674.9000446614583</x:v>
      </x:c>
      <x:c r="EC313" s="23" t="n">
        <x:v>558.02392578125</x:v>
      </x:c>
      <x:c r="ED313" s="23" t="n">
        <x:v>1373.673095703125</x:v>
      </x:c>
      <x:c r="EE313" s="23" t="n">
        <x:v>1390.9774576822915</x:v>
      </x:c>
      <x:c r="EF313" s="23" t="n">
        <x:v>562.38330078125</x:v>
      </x:c>
      <x:c r="EG313" s="23" t="n">
        <x:v>558.7769775390625</x:v>
      </x:c>
      <x:c r="EH313" s="23" t="n">
        <x:v>837.3508337311923</x:v>
      </x:c>
      <x:c r="EI313" s="23" t="n">
        <x:v>1386.978556315104</x:v>
      </x:c>
      <x:c r="EJ313" s="23" t="n">
        <x:v>1392.6131591796875</x:v>
      </x:c>
      <x:c r="EK313" s="23" t="n">
        <x:v>1405.2630208333333</x:v>
      </x:c>
      <x:c r="EL313" s="23" t="n">
        <x:v>578.0220947265625</x:v>
      </x:c>
      <x:c r="EM313" s="23" t="n">
        <x:v>591.3438720703125</x:v>
      </x:c>
      <x:c r="EN313" s="23" t="n">
        <x:v>589.017578125</x:v>
      </x:c>
      <x:c r="EO313" s="23" t="n">
        <x:v>1404.9154866536458</x:v>
      </x:c>
      <x:c r="EP313" s="23" t="n">
        <x:f>SUM(B313:EO313)</x:f>
        <x:v>91112.50909195343</x:v>
      </x:c>
      <x:c r="EQ313" s="23" t="n">
        <x:f>SUMPRODUCT(B313:EO313,{0.4506,0.4719,0.4897,0.4347,0.4116,0.453,0.4822,0.4542,0.4091,0.4272,0.4491,0.4448,0.4443,0.4586,0.4723,0.4587,0.4291,0.4211,0.4639,0.493,0.4917,0.4989,0.4903,0.4774,0.4978,0.4887,0.4695,0.5173,0.5194,0.4645,0.4645,0.5213,0.5289,0.4287,0.6388,1.0382,1.0664,1.0245,1.062,1.026,1.0406,1.0833,1,0.9793,1.0113,0.9381,1.1276,1.4784,1.4791,1.3834,1.3648,1.3434,1.3351,1.3234,1.2634,1.2276,1.2119,1.1662,1.2663,1.4058,1.2969,1.2644,1.3736,1.3265,1.0463,0.7256,0.6568,0.6991,0.7201,0.7077,0.656,0.6048,0.6141,0.6452,0.6385,0.6024,0.7826,1.0633,1.0673,1.0432,1.0936,1.0883,1.1841,1.3658,1.4277,1.3916,1.3891,1.4812,1.2729,0.8811,0.8469,0.9183,0.9119,0.904,0.9129,0.9483,1.017,1.0806,1.0914,1.0399,1.0526,1.1331,1.1624,1.1585,1.145,1.1336,1.2052,1.3042,1.285,1.2506,1.249,1.2485,1.3651,1.5317,1.5404,1.4995,1.4991,1.5219,1.5229,1.5021,1.4982,1.5021,1.5182,1.5288,1.3346,1.0334,0.9495,0.95,0.9509,0.9657,0.75,0.4209,0.3682,0.3774,0.3545,0.4133,0.4024,0.3418,0.4051,0.4304,0.398,0.448,0.4505,0.3857})</x:f>
        <x:v>66906.83627736579</x:v>
      </x:c>
    </x:row>
    <x:row r="314" ht="14" customHeight="1">
      <x:c r="A314" s="3">
        <x:v>46001</x:v>
      </x:c>
      <x:c r="B314" s="23" t="n">
        <x:v>1410.8566080729165</x:v>
      </x:c>
      <x:c r="C314" s="23" t="n">
        <x:v>1422.8324381510415</x:v>
      </x:c>
      <x:c r="D314" s="23" t="n">
        <x:v>591.8746744791666</x:v>
      </x:c>
      <x:c r="E314" s="23" t="n">
        <x:v>591.7003987630208</x:v>
      </x:c>
      <x:c r="F314" s="23" t="n">
        <x:v>592.5524088541666</x:v>
      </x:c>
      <x:c r="G314" s="23" t="n">
        <x:v>606.6398518880208</x:v>
      </x:c>
      <x:c r="H314" s="23" t="n">
        <x:v>605.4811197916666</x:v>
      </x:c>
      <x:c r="I314" s="23" t="n">
        <x:v>616.5849609375</x:v>
      </x:c>
      <x:c r="J314" s="23" t="n">
        <x:v>1437.087646484375</x:v>
      </x:c>
      <x:c r="K314" s="23" t="n">
        <x:v>1441.831827799479</x:v>
      </x:c>
      <x:c r="L314" s="23" t="n">
        <x:v>612.6317952473958</x:v>
      </x:c>
      <x:c r="M314" s="23" t="n">
        <x:v>601.4969889322916</x:v>
      </x:c>
      <x:c r="N314" s="23" t="n">
        <x:v>613.4399007161458</x:v>
      </x:c>
      <x:c r="O314" s="23" t="n">
        <x:v>626.8270670572916</x:v>
      </x:c>
      <x:c r="P314" s="23" t="n">
        <x:v>632.8323974609375</x:v>
      </x:c>
      <x:c r="Q314" s="23" t="n">
        <x:v>637.2969563802083</x:v>
      </x:c>
      <x:c r="R314" s="23" t="n">
        <x:v>631.1453043619791</x:v>
      </x:c>
      <x:c r="S314" s="23" t="n">
        <x:v>635.5377604166666</x:v>
      </x:c>
      <x:c r="T314" s="23" t="n">
        <x:v>646.3558756510416</x:v>
      </x:c>
      <x:c r="U314" s="23" t="n">
        <x:v>626.0560302734375</x:v>
      </x:c>
      <x:c r="V314" s="23" t="n">
        <x:v>639.1923014322916</x:v>
      </x:c>
      <x:c r="W314" s="23" t="n">
        <x:v>1479.0684407552083</x:v>
      </x:c>
      <x:c r="X314" s="23" t="n">
        <x:v>1020.7944879454408</x:v>
      </x:c>
      <x:c r="Y314" s="23" t="n">
        <x:v>669.2836100260416</x:v>
      </x:c>
      <x:c r="Z314" s="23" t="n">
        <x:v>672.6297607421875</x:v>
      </x:c>
      <x:c r="AA314" s="23" t="n">
        <x:v>676.8311767578125</x:v>
      </x:c>
      <x:c r="AB314" s="23" t="n">
        <x:v>670.3036702473958</x:v>
      </x:c>
      <x:c r="AC314" s="23" t="n">
        <x:v>687.5582682291666</x:v>
      </x:c>
      <x:c r="AD314" s="23" t="n">
        <x:v>688.847900390625</x:v>
      </x:c>
      <x:c r="AE314" s="23" t="n">
        <x:v>679.2352701822916</x:v>
      </x:c>
      <x:c r="AF314" s="23" t="n">
        <x:v>647.8889567057291</x:v>
      </x:c>
      <x:c r="AG314" s="23" t="n">
        <x:v>670.8793538411458</x:v>
      </x:c>
      <x:c r="AH314" s="23" t="n">
        <x:v>691.1604817708333</x:v>
      </x:c>
      <x:c r="AI314" s="23" t="n">
        <x:v>1499.5138346354165</x:v>
      </x:c>
      <x:c r="AJ314" s="23" t="n">
        <x:v>747.7820638020833</x:v>
      </x:c>
      <x:c r="AK314" s="23" t="n">
        <x:v>877.6993815104166</x:v>
      </x:c>
      <x:c r="AL314" s="23" t="n">
        <x:v>215.37711588541666</x:v>
      </x:c>
      <x:c r="AM314" s="23" t="n">
        <x:v>889.512451171875</x:v>
      </x:c>
      <x:c r="AN314" s="23" t="n">
        <x:v>913.8646647135416</x:v>
      </x:c>
      <x:c r="AO314" s="23" t="n">
        <x:v>902.5909694446814</x:v>
      </x:c>
      <x:c r="AP314" s="23" t="n">
        <x:v>884.4875576767138</x:v>
      </x:c>
      <x:c r="AQ314" s="23" t="n">
        <x:v>868.1722917662739</x:v>
      </x:c>
      <x:c r="AR314" s="23" t="n">
        <x:v>834.5382805505866</x:v>
      </x:c>
      <x:c r="AS314" s="23" t="n">
        <x:v>803.0684625623522</x:v>
      </x:c>
      <x:c r="AT314" s="23" t="n">
        <x:v>776.3730761234885</x:v>
      </x:c>
      <x:c r="AU314" s="23" t="n">
        <x:v>1533.4726331600687</x:v>
      </x:c>
      <x:c r="AV314" s="23" t="n">
        <x:v>743.7824920355731</x:v>
      </x:c>
      <x:c r="AW314" s="23" t="n">
        <x:v>150.8088950880639</x:v>
      </x:c>
      <x:c r="AX314" s="23" t="n">
        <x:v>110.7684097548719</x:v>
      </x:c>
      <x:c r="AY314" s="23" t="n">
        <x:v>37.7951317689655</x:v>
      </x:c>
      <x:c r="AZ314" s="23" t="n">
        <x:v>7.8988478092531595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425.12932484323255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0</x:v>
      </x:c>
      <x:c r="BO314" s="23" t="n">
        <x:v>996.1086740962476</x:v>
      </x:c>
      <x:c r="BP314" s="23" t="n">
        <x:v>980.6385928638935</x:v>
      </x:c>
      <x:c r="BQ314" s="23" t="n">
        <x:v>970.6196409795466</x:v>
      </x:c>
      <x:c r="BR314" s="23" t="n">
        <x:v>968.9557068259166</x:v>
      </x:c>
      <x:c r="BS314" s="23" t="n">
        <x:v>949.8105925465097</x:v>
      </x:c>
      <x:c r="BT314" s="23" t="n">
        <x:v>916.8129399756835</x:v>
      </x:c>
      <x:c r="BU314" s="23" t="n">
        <x:v>874.7591504868994</x:v>
      </x:c>
      <x:c r="BV314" s="23" t="n">
        <x:v>862.9172728632284</x:v>
      </x:c>
      <x:c r="BW314" s="23" t="n">
        <x:v>870.2264734269179</x:v>
      </x:c>
      <x:c r="BX314" s="23" t="n">
        <x:v>890.7347269790886</x:v>
      </x:c>
      <x:c r="BY314" s="23" t="n">
        <x:v>901.0720822407817</x:v>
      </x:c>
      <x:c r="BZ314" s="23" t="n">
        <x:v>935.428386603649</x:v>
      </x:c>
      <x:c r="CA314" s="23" t="n">
        <x:v>151.18047490548966</x:v>
      </x:c>
      <x:c r="CB314" s="23" t="n">
        <x:v>171.90636529844625</x:v>
      </x:c>
      <x:c r="CC314" s="23" t="n">
        <x:v>186.4856986991804</x:v>
      </x:c>
      <x:c r="CD314" s="23" t="n">
        <x:v>217.92209735606622</x:v>
      </x:c>
      <x:c r="CE314" s="23" t="n">
        <x:v>253.7076311652454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1365.8409788018375</x:v>
      </x:c>
      <x:c r="CN314" s="23" t="n">
        <x:v>1406.9803334653916</x:v>
      </x:c>
      <x:c r="CO314" s="23" t="n">
        <x:v>1445.0328947600156</x:v>
      </x:c>
      <x:c r="CP314" s="23" t="n">
        <x:v>1114.97970029326</x:v>
      </x:c>
      <x:c r="CQ314" s="23" t="n">
        <x:v>1519.8120819186056</x:v>
      </x:c>
      <x:c r="CR314" s="23" t="n">
        <x:v>720.5016223849816</x:v>
      </x:c>
      <x:c r="CS314" s="23" t="n">
        <x:v>756.6626131813766</x:v>
      </x:c>
      <x:c r="CT314" s="23" t="n">
        <x:v>817.510916051514</x:v>
      </x:c>
      <x:c r="CU314" s="23" t="n">
        <x:v>872.1917412065192</x:v>
      </x:c>
      <x:c r="CV314" s="23" t="n">
        <x:v>917.8037315432964</x:v>
      </x:c>
      <x:c r="CW314" s="23" t="n">
        <x:v>959.3678158150076</x:v>
      </x:c>
      <x:c r="CX314" s="23" t="n">
        <x:v>980.7336015071269</x:v>
      </x:c>
      <x:c r="CY314" s="23" t="n">
        <x:v>1006.3264848104324</x:v>
      </x:c>
      <x:c r="CZ314" s="23" t="n">
        <x:v>1011.833836903091</x:v>
      </x:c>
      <x:c r="DA314" s="23" t="n">
        <x:v>1010.612729301587</x:v>
      </x:c>
      <x:c r="DB314" s="23" t="n">
        <x:v>1013.932373046875</x:v>
      </x:c>
      <x:c r="DC314" s="23" t="n">
        <x:v>1047.44287109375</x:v>
      </x:c>
      <x:c r="DD314" s="23" t="n">
        <x:v>943.1585286458333</x:v>
      </x:c>
      <x:c r="DE314" s="23" t="n">
        <x:v>730.2503255208333</x:v>
      </x:c>
      <x:c r="DF314" s="23" t="n">
        <x:v>717.085205078125</x:v>
      </x:c>
      <x:c r="DG314" s="23" t="n">
        <x:v>731.6013997395833</x:v>
      </x:c>
      <x:c r="DH314" s="23" t="n">
        <x:v>726.484375</x:v>
      </x:c>
      <x:c r="DI314" s="23" t="n">
        <x:v>701.877197265625</x:v>
      </x:c>
      <x:c r="DJ314" s="23" t="n">
        <x:v>703.2894694010416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74.54454492187354</x:v>
      </x:c>
      <x:c r="DW314" s="23" t="n">
        <x:v>751.8245720566489</x:v>
      </x:c>
      <x:c r="DX314" s="23" t="n">
        <x:v>738.5895211869856</x:v>
      </x:c>
      <x:c r="DY314" s="23" t="n">
        <x:v>729.4657389322916</x:v>
      </x:c>
      <x:c r="DZ314" s="23" t="n">
        <x:v>727.80810546875</x:v>
      </x:c>
      <x:c r="EA314" s="23" t="n">
        <x:v>732.2686878125</x:v>
      </x:c>
      <x:c r="EB314" s="23" t="n">
        <x:v>680.0621476953124</x:v>
      </x:c>
      <x:c r="EC314" s="23" t="n">
        <x:v>1379.3748372395833</x:v>
      </x:c>
      <x:c r="ED314" s="23" t="n">
        <x:v>1372.85888671875</x:v>
      </x:c>
      <x:c r="EE314" s="23" t="n">
        <x:v>1391.6346028645833</x:v>
      </x:c>
      <x:c r="EF314" s="23" t="n">
        <x:v>555.2086181640625</x:v>
      </x:c>
      <x:c r="EG314" s="23" t="n">
        <x:v>551.99365234375</x:v>
      </x:c>
      <x:c r="EH314" s="23" t="n">
        <x:v>828.8391469224216</x:v>
      </x:c>
      <x:c r="EI314" s="23" t="n">
        <x:v>1381.6960042317708</x:v>
      </x:c>
      <x:c r="EJ314" s="23" t="n">
        <x:v>1399.7435302734375</x:v>
      </x:c>
      <x:c r="EK314" s="23" t="n">
        <x:v>583.2060139973958</x:v>
      </x:c>
      <x:c r="EL314" s="23" t="n">
        <x:v>578.8170979817708</x:v>
      </x:c>
      <x:c r="EM314" s="23" t="n">
        <x:v>581.1771647135416</x:v>
      </x:c>
      <x:c r="EN314" s="23" t="n">
        <x:v>585.6957194010416</x:v>
      </x:c>
      <x:c r="EO314" s="23" t="n">
        <x:v>1421.5023193359375</x:v>
      </x:c>
      <x:c r="EP314" s="23" t="n">
        <x:f>SUM(B314:EO314)</x:f>
        <x:v>91064.28182135866</x:v>
      </x:c>
      <x:c r="EQ314" s="23" t="n">
        <x:f>SUMPRODUCT(B314:EO314,{0.3834,0.45,0.5066,0.4634,0.398,0.3897,0.4528,0.5041,0.4901,0.4322,0.435,0.4875,0.4858,0.4911,0.499,0.4438,0.441,0.4826,0.4498,0.4513,0.4867,0.4465,0.4488,0.5118,0.5268,0.5155,0.5083,0.5096,0.5192,0.5322,0.5372,0.5132,0.4545,0.4217,0.655,1.0119,1.0794,1.0602,1.0823,1.0668,1.0407,1.0251,1.0121,1.0126,0.9744,0.8803,1.0998,1.4683,1.4236,1.3214,1.3419,1.3146,1.3071,1.3168,1.2558,1.2253,1.2252,1.1699,1.2243,1.3558,1.3558,1.3497,1.4148,1.4433,1.1504,0.7438,0.7388,0.7639,0.6645,0.6602,0.6872,0.6916,0.6999,0.7182,0.7062,0.651,0.7948,1.064,1.1209,1.0865,1.0623,1.0483,1.1823,1.3749,1.3843,1.4,1.4906,1.4855,1.2006,0.8557,0.885,0.9788,0.9717,0.9976,1.0505,1.0839,1.0716,1.0698,1.0906,1.0963,1.1053,1.1223,1.1265,1.1092,1.0933,1.1161,1.163,1.2306,1.3118,1.2941,1.2025,1.2059,1.3794,1.5707,1.5391,1.4903,1.5002,1.4599,1.4909,1.572,1.543,1.495,1.5311,1.6143,1.3885,0.9799,0.8926,0.9065,0.9113,0.9829,0.7804,0.4223,0.4002,0.4461,0.4005,0.3834,0.4102,0.4337,0.407,0.4116,0.4436,0.4253,0.4467,0.4821})</x:f>
        <x:v>68029.26683149554</x:v>
      </x:c>
    </x:row>
    <x:row r="315" ht="14" customHeight="1">
      <x:c r="A315" s="3">
        <x:v>46002</x:v>
      </x:c>
      <x:c r="B315" s="23" t="n">
        <x:v>1419.6256510416665</x:v>
      </x:c>
      <x:c r="C315" s="23" t="n">
        <x:v>1419.3126627604165</x:v>
      </x:c>
      <x:c r="D315" s="23" t="n">
        <x:v>1429.7569986979165</x:v>
      </x:c>
      <x:c r="E315" s="23" t="n">
        <x:v>1419.3992513020833</x:v>
      </x:c>
      <x:c r="F315" s="23" t="n">
        <x:v>1152.147548262602</x:v>
      </x:c>
      <x:c r="G315" s="23" t="n">
        <x:v>613.4967041015625</x:v>
      </x:c>
      <x:c r="H315" s="23" t="n">
        <x:v>594.7074788411458</x:v>
      </x:c>
      <x:c r="I315" s="23" t="n">
        <x:v>592.7040201822916</x:v>
      </x:c>
      <x:c r="J315" s="23" t="n">
        <x:v>603.2766520182291</x:v>
      </x:c>
      <x:c r="K315" s="23" t="n">
        <x:v>609.6863606770833</x:v>
      </x:c>
      <x:c r="L315" s="23" t="n">
        <x:v>611.374755859375</x:v>
      </x:c>
      <x:c r="M315" s="23" t="n">
        <x:v>603.1473795572916</x:v>
      </x:c>
      <x:c r="N315" s="23" t="n">
        <x:v>630.2355143229166</x:v>
      </x:c>
      <x:c r="O315" s="23" t="n">
        <x:v>631.5050048828125</x:v>
      </x:c>
      <x:c r="P315" s="23" t="n">
        <x:v>628.0400390625</x:v>
      </x:c>
      <x:c r="Q315" s="23" t="n">
        <x:v>647.626220703125</x:v>
      </x:c>
      <x:c r="R315" s="23" t="n">
        <x:v>650.0458577473958</x:v>
      </x:c>
      <x:c r="S315" s="23" t="n">
        <x:v>643.37158203125</x:v>
      </x:c>
      <x:c r="T315" s="23" t="n">
        <x:v>1481.3660481770833</x:v>
      </x:c>
      <x:c r="U315" s="23" t="n">
        <x:v>656.4140625</x:v>
      </x:c>
      <x:c r="V315" s="23" t="n">
        <x:v>671.1326497395833</x:v>
      </x:c>
      <x:c r="W315" s="23" t="n">
        <x:v>673.5834554036458</x:v>
      </x:c>
      <x:c r="X315" s="23" t="n">
        <x:v>670.14599609375</x:v>
      </x:c>
      <x:c r="Y315" s="23" t="n">
        <x:v>667.2186279296875</x:v>
      </x:c>
      <x:c r="Z315" s="23" t="n">
        <x:v>681.6764729817708</x:v>
      </x:c>
      <x:c r="AA315" s="23" t="n">
        <x:v>692.0570475260416</x:v>
      </x:c>
      <x:c r="AB315" s="23" t="n">
        <x:v>672.0983072916666</x:v>
      </x:c>
      <x:c r="AC315" s="23" t="n">
        <x:v>686.58447265625</x:v>
      </x:c>
      <x:c r="AD315" s="23" t="n">
        <x:v>701.8094075520833</x:v>
      </x:c>
      <x:c r="AE315" s="23" t="n">
        <x:v>680.5980631510416</x:v>
      </x:c>
      <x:c r="AF315" s="23" t="n">
        <x:v>677.3175048828125</x:v>
      </x:c>
      <x:c r="AG315" s="23" t="n">
        <x:v>685.80859375</x:v>
      </x:c>
      <x:c r="AH315" s="23" t="n">
        <x:v>665.8982747395833</x:v>
      </x:c>
      <x:c r="AI315" s="23" t="n">
        <x:v>1497.110880533854</x:v>
      </x:c>
      <x:c r="AJ315" s="23" t="n">
        <x:v>752.3543294270833</x:v>
      </x:c>
      <x:c r="AK315" s="23" t="n">
        <x:v>884.3980305989583</x:v>
      </x:c>
      <x:c r="AL315" s="23" t="n">
        <x:v>901.1229654947916</x:v>
      </x:c>
      <x:c r="AM315" s="23" t="n">
        <x:v>914.9228515625</x:v>
      </x:c>
      <x:c r="AN315" s="23" t="n">
        <x:v>917.5634765625</x:v>
      </x:c>
      <x:c r="AO315" s="23" t="n">
        <x:v>905.2840125298583</x:v>
      </x:c>
      <x:c r="AP315" s="23" t="n">
        <x:v>886.4595490754268</x:v>
      </x:c>
      <x:c r="AQ315" s="23" t="n">
        <x:v>867.4452678104386</x:v>
      </x:c>
      <x:c r="AR315" s="23" t="n">
        <x:v>845.3481779915139</x:v>
      </x:c>
      <x:c r="AS315" s="23" t="n">
        <x:v>814.2347651141082</x:v>
      </x:c>
      <x:c r="AT315" s="23" t="n">
        <x:v>761.5882029733995</x:v>
      </x:c>
      <x:c r="AU315" s="23" t="n">
        <x:v>672.3830270496471</x:v>
      </x:c>
      <x:c r="AV315" s="23" t="n">
        <x:v>745.4415440149793</x:v>
      </x:c>
      <x:c r="AW315" s="23" t="n">
        <x:v>146.22423124746774</x:v>
      </x:c>
      <x:c r="AX315" s="23" t="n">
        <x:v>102.92685649229588</x:v>
      </x:c>
      <x:c r="AY315" s="23" t="n">
        <x:v>23.694929391209975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214.33930151919282</x:v>
      </x:c>
      <x:c r="BG315" s="23" t="n">
        <x:v>444.2250229645815</x:v>
      </x:c>
      <x:c r="BH315" s="23" t="n">
        <x:v>0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218.03801936679216</x:v>
      </x:c>
      <x:c r="BO315" s="23" t="n">
        <x:v>1036.3192328938242</x:v>
      </x:c>
      <x:c r="BP315" s="23" t="n">
        <x:v>1012.4612173449523</x:v>
      </x:c>
      <x:c r="BQ315" s="23" t="n">
        <x:v>987.832394541575</x:v>
      </x:c>
      <x:c r="BR315" s="23" t="n">
        <x:v>981.9801648412861</x:v>
      </x:c>
      <x:c r="BS315" s="23" t="n">
        <x:v>956.9384011531995</x:v>
      </x:c>
      <x:c r="BT315" s="23" t="n">
        <x:v>922.8203606611216</x:v>
      </x:c>
      <x:c r="BU315" s="23" t="n">
        <x:v>886.6959035767343</x:v>
      </x:c>
      <x:c r="BV315" s="23" t="n">
        <x:v>881.6821413613497</x:v>
      </x:c>
      <x:c r="BW315" s="23" t="n">
        <x:v>896.500303301666</x:v>
      </x:c>
      <x:c r="BX315" s="23" t="n">
        <x:v>928.4231875136359</x:v>
      </x:c>
      <x:c r="BY315" s="23" t="n">
        <x:v>935.9689792375211</x:v>
      </x:c>
      <x:c r="BZ315" s="23" t="n">
        <x:v>959.7966617258464</x:v>
      </x:c>
      <x:c r="CA315" s="23" t="n">
        <x:v>176.30788131469092</x:v>
      </x:c>
      <x:c r="CB315" s="23" t="n">
        <x:v>193.472253706218</x:v>
      </x:c>
      <x:c r="CC315" s="23" t="n">
        <x:v>219.83157163549652</x:v>
      </x:c>
      <x:c r="CD315" s="23" t="n">
        <x:v>246.60751891237697</x:v>
      </x:c>
      <x:c r="CE315" s="23" t="n">
        <x:v>265.64394948961746</x:v>
      </x:c>
      <x:c r="CF315" s="23" t="n">
        <x:v>284.21457631444747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1373.6691372137886</x:v>
      </x:c>
      <x:c r="CN315" s="23" t="n">
        <x:v>1404.2227950851204</x:v>
      </x:c>
      <x:c r="CO315" s="23" t="n">
        <x:v>1443.6389171342719</x:v>
      </x:c>
      <x:c r="CP315" s="23" t="n">
        <x:v>647.4763002900427</x:v>
      </x:c>
      <x:c r="CQ315" s="23" t="n">
        <x:v>1145.3847972983667</x:v>
      </x:c>
      <x:c r="CR315" s="23" t="n">
        <x:v>735.4111998176372</x:v>
      </x:c>
      <x:c r="CS315" s="23" t="n">
        <x:v>772.8317646063624</x:v>
      </x:c>
      <x:c r="CT315" s="23" t="n">
        <x:v>830.5881168500233</x:v>
      </x:c>
      <x:c r="CU315" s="23" t="n">
        <x:v>883.6442480405204</x:v>
      </x:c>
      <x:c r="CV315" s="23" t="n">
        <x:v>923.2076830395511</x:v>
      </x:c>
      <x:c r="CW315" s="23" t="n">
        <x:v>965.7743622674079</x:v>
      </x:c>
      <x:c r="CX315" s="23" t="n">
        <x:v>999.5933066688269</x:v>
      </x:c>
      <x:c r="CY315" s="23" t="n">
        <x:v>1017.4283819654511</x:v>
      </x:c>
      <x:c r="CZ315" s="23" t="n">
        <x:v>1019.260170974721</x:v>
      </x:c>
      <x:c r="DA315" s="23" t="n">
        <x:v>1005.9410726342878</x:v>
      </x:c>
      <x:c r="DB315" s="23" t="n">
        <x:v>1015.008544921875</x:v>
      </x:c>
      <x:c r="DC315" s="23" t="n">
        <x:v>1051.1726888020833</x:v>
      </x:c>
      <x:c r="DD315" s="23" t="n">
        <x:v>938.0861002604166</x:v>
      </x:c>
      <x:c r="DE315" s="23" t="n">
        <x:v>733.95166015625</x:v>
      </x:c>
      <x:c r="DF315" s="23" t="n">
        <x:v>712.5955403645833</x:v>
      </x:c>
      <x:c r="DG315" s="23" t="n">
        <x:v>721.709228515625</x:v>
      </x:c>
      <x:c r="DH315" s="23" t="n">
        <x:v>704.815185546875</x:v>
      </x:c>
      <x:c r="DI315" s="23" t="n">
        <x:v>715.3719889322916</x:v>
      </x:c>
      <x:c r="DJ315" s="23" t="n">
        <x:v>718.892822265625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93.4972190755208</x:v>
      </x:c>
      <x:c r="DW315" s="23" t="n">
        <x:v>727.456298828125</x:v>
      </x:c>
      <x:c r="DX315" s="23" t="n">
        <x:v>729.5755306793337</x:v>
      </x:c>
      <x:c r="DY315" s="23" t="n">
        <x:v>728.0795084635416</x:v>
      </x:c>
      <x:c r="DZ315" s="23" t="n">
        <x:v>729.36279296875</x:v>
      </x:c>
      <x:c r="EA315" s="23" t="n">
        <x:v>734.6528407812499</x:v>
      </x:c>
      <x:c r="EB315" s="23" t="n">
        <x:v>674.2851526822915</x:v>
      </x:c>
      <x:c r="EC315" s="23" t="n">
        <x:v>834.3542420508618</x:v>
      </x:c>
      <x:c r="ED315" s="23" t="n">
        <x:v>1383.47900390625</x:v>
      </x:c>
      <x:c r="EE315" s="23" t="n">
        <x:v>559.04736328125</x:v>
      </x:c>
      <x:c r="EF315" s="23" t="n">
        <x:v>1365.5191243489583</x:v>
      </x:c>
      <x:c r="EG315" s="23" t="n">
        <x:v>1386.5439453125</x:v>
      </x:c>
      <x:c r="EH315" s="23" t="n">
        <x:v>1397.365519205729</x:v>
      </x:c>
      <x:c r="EI315" s="23" t="n">
        <x:v>557.4961344401041</x:v>
      </x:c>
      <x:c r="EJ315" s="23" t="n">
        <x:v>578.7417805989583</x:v>
      </x:c>
      <x:c r="EK315" s="23" t="n">
        <x:v>580.1750081380208</x:v>
      </x:c>
      <x:c r="EL315" s="23" t="n">
        <x:v>582.0725504557291</x:v>
      </x:c>
      <x:c r="EM315" s="23" t="n">
        <x:v>581.6131998697916</x:v>
      </x:c>
      <x:c r="EN315" s="23" t="n">
        <x:v>1369.96484375</x:v>
      </x:c>
      <x:c r="EO315" s="23" t="n">
        <x:v>1275.2494710286458</x:v>
      </x:c>
      <x:c r="EP315" s="23" t="n">
        <x:f>SUM(B315:EO315)</x:f>
        <x:v>91499.97835119047</x:v>
      </x:c>
      <x:c r="EQ315" s="23" t="n">
        <x:f>SUMPRODUCT(B315:EO315,{0.4181,0.4158,0.4898,0.4862,0.4435,0.4136,0.4051,0.4064,0.4209,0.4606,0.4893,0.4892,0.4762,0.4795,0.4839,0.4508,0.4311,0.4259,0.3972,0.4388,0.5105,0.4719,0.4469,0.4847,0.5059,0.4876,0.469,0.5021,0.5091,0.4753,0.4664,0.4854,0.4794,0.4385,0.6608,1.0197,1.0587,1.0022,1.0191,1.0507,1.0544,1.0276,0.9991,0.9902,0.9591,0.887,1.0673,1.3899,1.4238,1.3722,1.3603,1.3074,1.2731,1.2737,1.2571,1.2193,1.1811,1.1792,1.2597,1.361,1.3596,1.3237,1.3431,1.3928,1.1229,0.693,0.6445,0.6985,0.6813,0.7035,0.7444,0.7307,0.625,0.5907,0.6421,0.6605,0.783,0.9784,1.0527,1.0879,1.0779,0.9601,1.0625,1.3498,1.4266,1.3148,1.2643,1.4462,1.2782,0.8363,0.8029,0.9065,0.9343,0.9601,0.9814,0.9995,1.0324,1.0613,1.0706,1.0647,1.0745,1.0933,1.0887,1.0999,1.1225,1.1194,1.1668,1.2563,1.2917,1.2765,1.2495,1.261,1.3693,1.4954,1.4957,1.514,1.5588,1.4988,1.47,1.5194,1.548,1.5125,1.4993,1.5835,1.3647,0.9617,0.9154,0.9176,0.8782,0.9812,0.7893,0.3945,0.3679,0.4518,0.4443,0.4141,0.4249,0.4591,0.4449,0.4019,0.3771,0.3954,0.3835,0.33})</x:f>
        <x:v>66896.05562653598</x:v>
      </x:c>
    </x:row>
    <x:row r="316" ht="14" customHeight="1">
      <x:c r="A316" s="3">
        <x:v>46003</x:v>
      </x:c>
      <x:c r="B316" s="23" t="n">
        <x:v>1263.8948974609375</x:v>
      </x:c>
      <x:c r="C316" s="23" t="n">
        <x:v>1274.3641764322915</x:v>
      </x:c>
      <x:c r="D316" s="23" t="n">
        <x:v>448.23356119791663</x:v>
      </x:c>
      <x:c r="E316" s="23" t="n">
        <x:v>898.2103635955182</x:v>
      </x:c>
      <x:c r="F316" s="23" t="n">
        <x:v>1268.212158203125</x:v>
      </x:c>
      <x:c r="G316" s="23" t="n">
        <x:v>441.2510986328125</x:v>
      </x:c>
      <x:c r="H316" s="23" t="n">
        <x:v>444.46744791666663</x:v>
      </x:c>
      <x:c r="I316" s="23" t="n">
        <x:v>445.23388671875</x:v>
      </x:c>
      <x:c r="J316" s="23" t="n">
        <x:v>453.0592041015625</x:v>
      </x:c>
      <x:c r="K316" s="23" t="n">
        <x:v>1283.19189453125</x:v>
      </x:c>
      <x:c r="L316" s="23" t="n">
        <x:v>464.5251057942708</x:v>
      </x:c>
      <x:c r="M316" s="23" t="n">
        <x:v>467.68009440104163</x:v>
      </x:c>
      <x:c r="N316" s="23" t="n">
        <x:v>455.2808837890625</x:v>
      </x:c>
      <x:c r="O316" s="23" t="n">
        <x:v>452.9263509114583</x:v>
      </x:c>
      <x:c r="P316" s="23" t="n">
        <x:v>466.0009358723958</x:v>
      </x:c>
      <x:c r="Q316" s="23" t="n">
        <x:v>499.92313639322913</x:v>
      </x:c>
      <x:c r="R316" s="23" t="n">
        <x:v>498.8482666015625</x:v>
      </x:c>
      <x:c r="S316" s="23" t="n">
        <x:v>496.1480712890625</x:v>
      </x:c>
      <x:c r="T316" s="23" t="n">
        <x:v>1308.370849609375</x:v>
      </x:c>
      <x:c r="U316" s="23" t="n">
        <x:v>1291.7240804036458</x:v>
      </x:c>
      <x:c r="V316" s="23" t="n">
        <x:v>457.04736328125</x:v>
      </x:c>
      <x:c r="W316" s="23" t="n">
        <x:v>490.0198974609375</x:v>
      </x:c>
      <x:c r="X316" s="23" t="n">
        <x:v>496.5976155598958</x:v>
      </x:c>
      <x:c r="Y316" s="23" t="n">
        <x:v>486.52978515625</x:v>
      </x:c>
      <x:c r="Z316" s="23" t="n">
        <x:v>498.3753662109375</x:v>
      </x:c>
      <x:c r="AA316" s="23" t="n">
        <x:v>504.7963460286458</x:v>
      </x:c>
      <x:c r="AB316" s="23" t="n">
        <x:v>504.2093505859375</x:v>
      </x:c>
      <x:c r="AC316" s="23" t="n">
        <x:v>482.6402587890625</x:v>
      </x:c>
      <x:c r="AD316" s="23" t="n">
        <x:v>500.33121744791663</x:v>
      </x:c>
      <x:c r="AE316" s="23" t="n">
        <x:v>523.6123453776041</x:v>
      </x:c>
      <x:c r="AF316" s="23" t="n">
        <x:v>505.90458170572913</x:v>
      </x:c>
      <x:c r="AG316" s="23" t="n">
        <x:v>497.4160970052083</x:v>
      </x:c>
      <x:c r="AH316" s="23" t="n">
        <x:v>510.4753011067708</x:v>
      </x:c>
      <x:c r="AI316" s="23" t="n">
        <x:v>506.3709716796875</x:v>
      </x:c>
      <x:c r="AJ316" s="23" t="n">
        <x:v>504.3365478515625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0</x:v>
      </x:c>
      <x:c r="AU316" s="23" t="n">
        <x:v>0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0</x:v>
      </x:c>
      <x:c r="BP316" s="23" t="n">
        <x:v>518.5177158498296</x:v>
      </x:c>
      <x:c r="BQ316" s="23" t="n">
        <x:v>502.922204677439</x:v>
      </x:c>
      <x:c r="BR316" s="23" t="n">
        <x:v>31.864660370729325</x:v>
      </x:c>
      <x:c r="BS316" s="23" t="n">
        <x:v>497.7307362988537</x:v>
      </x:c>
      <x:c r="BT316" s="23" t="n">
        <x:v>0</x:v>
      </x:c>
      <x:c r="BU316" s="23" t="n">
        <x:v>0</x:v>
      </x:c>
      <x:c r="BV316" s="23" t="n">
        <x:v>0</x:v>
      </x:c>
      <x:c r="BW316" s="23" t="n">
        <x:v>0</x:v>
      </x:c>
      <x:c r="BX316" s="23" t="n">
        <x:v>0</x:v>
      </x:c>
      <x:c r="BY316" s="23" t="n">
        <x:v>497.89129255867994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87.86127656806093</x:v>
      </x:c>
      <x:c r="CN316" s="23" t="n">
        <x:v>108.73051656118096</x:v>
      </x:c>
      <x:c r="CO316" s="23" t="n">
        <x:v>155.83475453321608</x:v>
      </x:c>
      <x:c r="CP316" s="23" t="n">
        <x:v>191.78726612531457</x:v>
      </x:c>
      <x:c r="CQ316" s="23" t="n">
        <x:v>230.77143368401363</x:v>
      </x:c>
      <x:c r="CR316" s="23" t="n">
        <x:v>282.3186832050178</x:v>
      </x:c>
      <x:c r="CS316" s="23" t="n">
        <x:v>326.2632945001997</x:v>
      </x:c>
      <x:c r="CT316" s="23" t="n">
        <x:v>373.57625045274204</x:v>
      </x:c>
      <x:c r="CU316" s="23" t="n">
        <x:v>413.2140188396081</x:v>
      </x:c>
      <x:c r="CV316" s="23" t="n">
        <x:v>449.0568577372638</x:v>
      </x:c>
      <x:c r="CW316" s="23" t="n">
        <x:v>474.5949689797019</x:v>
      </x:c>
      <x:c r="CX316" s="23" t="n">
        <x:v>462.688081608959</x:v>
      </x:c>
      <x:c r="CY316" s="23" t="n">
        <x:v>443.58559658759566</x:v>
      </x:c>
      <x:c r="CZ316" s="23" t="n">
        <x:v>468.98775022721577</x:v>
      </x:c>
      <x:c r="DA316" s="23" t="n">
        <x:v>491.61906303486995</x:v>
      </x:c>
      <x:c r="DB316" s="23" t="n">
        <x:v>460.098388671875</x:v>
      </x:c>
      <x:c r="DC316" s="23" t="n">
        <x:v>455.578369140625</x:v>
      </x:c>
      <x:c r="DD316" s="23" t="n">
        <x:v>106.02870833333334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455.8000081380208</x:v>
      </x:c>
      <x:c r="DX316" s="23" t="n">
        <x:v>456.7801106770833</x:v>
      </x:c>
      <x:c r="DY316" s="23" t="n">
        <x:v>458.32275390625</x:v>
      </x:c>
      <x:c r="DZ316" s="23" t="n">
        <x:v>455.47709147135413</x:v>
      </x:c>
      <x:c r="EA316" s="23" t="n">
        <x:v>476.9907333723959</x:v>
      </x:c>
      <x:c r="EB316" s="23" t="n">
        <x:v>443.2992403385417</x:v>
      </x:c>
      <x:c r="EC316" s="23" t="n">
        <x:v>398.56229654947913</x:v>
      </x:c>
      <x:c r="ED316" s="23" t="n">
        <x:v>1223.9821370442708</x:v>
      </x:c>
      <x:c r="EE316" s="23" t="n">
        <x:v>1237.7256673177083</x:v>
      </x:c>
      <x:c r="EF316" s="23" t="n">
        <x:v>1231.5516357421875</x:v>
      </x:c>
      <x:c r="EG316" s="23" t="n">
        <x:v>399.22733561197913</x:v>
      </x:c>
      <x:c r="EH316" s="23" t="n">
        <x:v>1219.9689368770894</x:v>
      </x:c>
      <x:c r="EI316" s="23" t="n">
        <x:v>1241.8651529947915</x:v>
      </x:c>
      <x:c r="EJ316" s="23" t="n">
        <x:v>1242.5128580729165</x:v>
      </x:c>
      <x:c r="EK316" s="23" t="n">
        <x:v>422.5220947265625</x:v>
      </x:c>
      <x:c r="EL316" s="23" t="n">
        <x:v>0</x:v>
      </x:c>
      <x:c r="EM316" s="23" t="n">
        <x:v>423.8172200520833</x:v>
      </x:c>
      <x:c r="EN316" s="23" t="n">
        <x:v>1258.355712890625</x:v>
      </x:c>
      <x:c r="EO316" s="23" t="n">
        <x:v>426.109130859375</x:v>
      </x:c>
      <x:c r="EP316" s="23" t="n">
        <x:f>SUM(B316:EO316)</x:f>
        <x:v>43594.601514292364</x:v>
      </x:c>
      <x:c r="EQ316" s="23" t="n">
        <x:f>SUMPRODUCT(B316:EO316,{0.3017,0.3293,0.3709,0.3534,0.3254,0.3252,0.3463,0.3732,0.3814,0.3572,0.3533,0.3652,0.339,0.3144,0.3184,0.3382,0.3531,0.3755,0.4257,0.4197,0.3528,0.3133,0.3381,0.3976,0.4248,0.4112,0.3884,0.395,0.3998,0.3827,0.3613,0.3864,0.4198,0.403,0.5667,0.8395,0.8918,0.8539,0.8422,0.8411,0.837,0.8333,0.8421,0.8505,0.8182,0.7459,0.8644,1.0853,1.0734,1.0059,0.999,0.9933,0.9993,1.0099,0.9957,0.9824,0.9551,0.9001,1.0127,1.2037,1.1653,1.0616,1.0636,1.1346,0.8892,0.4756,0.4461,0.5053,0.4702,0.4614,0.4878,0.5225,0.537,0.5184,0.4615,0.4137,0.5962,0.8816,0.8914,0.8048,0.767,0.7628,0.8457,0.9861,1.0771,1.1128,1.1471,1.1869,0.9382,0.5645,0.5671,0.6777,0.7022,0.708,0.7184,0.7369,0.7613,0.7878,0.8174,0.8437,0.8156,0.7695,0.7983,0.8264,0.7957,0.7494,0.8753,1.0766,1.0657,1.06,1.1293,1.1374,1.2264,1.3748,1.3933,1.3604,1.3444,1.335,1.3284,1.3417,1.3849,1.3718,1.3636,1.456,1.2253,0.7798,0.6926,0.7514,0.7854,0.8085,0.6092,0.337,0.3765,0.3934,0.2984,0.3339,0.359,0.3321,0.358,0.3324,0.2681,0.298,0.3539,0.3719})</x:f>
        <x:v>19513.715630840892</x:v>
      </x:c>
    </x:row>
    <x:row r="317" ht="14" customHeight="1">
      <x:c r="A317" s="3">
        <x:v>46004</x:v>
      </x:c>
      <x:c r="B317" s="23" t="n">
        <x:v>1267.3300374348958</x:v>
      </x:c>
      <x:c r="C317" s="23" t="n">
        <x:v>1274.87353515625</x:v>
      </x:c>
      <x:c r="D317" s="23" t="n">
        <x:v>443.6736653645833</x:v>
      </x:c>
      <x:c r="E317" s="23" t="n">
        <x:v>1275.1891276041665</x:v>
      </x:c>
      <x:c r="F317" s="23" t="n">
        <x:v>1274.0487467447915</x:v>
      </x:c>
      <x:c r="G317" s="23" t="n">
        <x:v>445.59708658854163</x:v>
      </x:c>
      <x:c r="H317" s="23" t="n">
        <x:v>447.1165771484375</x:v>
      </x:c>
      <x:c r="I317" s="23" t="n">
        <x:v>451.8197021484375</x:v>
      </x:c>
      <x:c r="J317" s="23" t="n">
        <x:v>454.46708170572913</x:v>
      </x:c>
      <x:c r="K317" s="23" t="n">
        <x:v>454.39762369791663</x:v>
      </x:c>
      <x:c r="L317" s="23" t="n">
        <x:v>454.1967366536458</x:v>
      </x:c>
      <x:c r="M317" s="23" t="n">
        <x:v>466.4361572265625</x:v>
      </x:c>
      <x:c r="N317" s="23" t="n">
        <x:v>493.9381103515625</x:v>
      </x:c>
      <x:c r="O317" s="23" t="n">
        <x:v>491.21073404947913</x:v>
      </x:c>
      <x:c r="P317" s="23" t="n">
        <x:v>472.0216878255208</x:v>
      </x:c>
      <x:c r="Q317" s="23" t="n">
        <x:v>770.8491227163719</x:v>
      </x:c>
      <x:c r="R317" s="23" t="n">
        <x:v>498.1717122395833</x:v>
      </x:c>
      <x:c r="S317" s="23" t="n">
        <x:v>463.6570638020833</x:v>
      </x:c>
      <x:c r="T317" s="23" t="n">
        <x:v>1304.7440185546875</x:v>
      </x:c>
      <x:c r="U317" s="23" t="n">
        <x:v>1331.3740234375</x:v>
      </x:c>
      <x:c r="V317" s="23" t="n">
        <x:v>494.31620279947913</x:v>
      </x:c>
      <x:c r="W317" s="23" t="n">
        <x:v>497.79593912760413</x:v>
      </x:c>
      <x:c r="X317" s="23" t="n">
        <x:v>508.906982421875</x:v>
      </x:c>
      <x:c r="Y317" s="23" t="n">
        <x:v>500.77213541666663</x:v>
      </x:c>
      <x:c r="Z317" s="23" t="n">
        <x:v>511.27530924479163</x:v>
      </x:c>
      <x:c r="AA317" s="23" t="n">
        <x:v>515.9051513671875</x:v>
      </x:c>
      <x:c r="AB317" s="23" t="n">
        <x:v>525.8406982421875</x:v>
      </x:c>
      <x:c r="AC317" s="23" t="n">
        <x:v>529.1765950520833</x:v>
      </x:c>
      <x:c r="AD317" s="23" t="n">
        <x:v>533.1189778645833</x:v>
      </x:c>
      <x:c r="AE317" s="23" t="n">
        <x:v>533.3507486979166</x:v>
      </x:c>
      <x:c r="AF317" s="23" t="n">
        <x:v>520.4283447265625</x:v>
      </x:c>
      <x:c r="AG317" s="23" t="n">
        <x:v>513.5834554036458</x:v>
      </x:c>
      <x:c r="AH317" s="23" t="n">
        <x:v>515.0649820963541</x:v>
      </x:c>
      <x:c r="AI317" s="23" t="n">
        <x:v>516.845703125</x:v>
      </x:c>
      <x:c r="AJ317" s="23" t="n">
        <x:v>521.5224609375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0</x:v>
      </x:c>
      <x:c r="AU317" s="23" t="n">
        <x:v>0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0</x:v>
      </x:c>
      <x:c r="BP317" s="23" t="n">
        <x:v>556.1763395234872</x:v>
      </x:c>
      <x:c r="BQ317" s="23" t="n">
        <x:v>0</x:v>
      </x:c>
      <x:c r="BR317" s="23" t="n">
        <x:v>0</x:v>
      </x:c>
      <x:c r="BS317" s="23" t="n">
        <x:v>0</x:v>
      </x:c>
      <x:c r="BT317" s="23" t="n">
        <x:v>0</x:v>
      </x:c>
      <x:c r="BU317" s="23" t="n">
        <x:v>552.645208838942</x:v>
      </x:c>
      <x:c r="BV317" s="23" t="n">
        <x:v>548.5866114825526</x:v>
      </x:c>
      <x:c r="BW317" s="23" t="n">
        <x:v>534.1425105242854</x:v>
      </x:c>
      <x:c r="BX317" s="23" t="n">
        <x:v>526.4844166664881</x:v>
      </x:c>
      <x:c r="BY317" s="23" t="n">
        <x:v>537.9367453690498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59.01306861054225</x:v>
      </x:c>
      <x:c r="CN317" s="23" t="n">
        <x:v>129.80620790921918</x:v>
      </x:c>
      <x:c r="CO317" s="23" t="n">
        <x:v>163.5441583525664</x:v>
      </x:c>
      <x:c r="CP317" s="23" t="n">
        <x:v>196.09799493084626</x:v>
      </x:c>
      <x:c r="CQ317" s="23" t="n">
        <x:v>238.23422198184653</x:v>
      </x:c>
      <x:c r="CR317" s="23" t="n">
        <x:v>283.8464705822689</x:v>
      </x:c>
      <x:c r="CS317" s="23" t="n">
        <x:v>321.7796273859162</x:v>
      </x:c>
      <x:c r="CT317" s="23" t="n">
        <x:v>369.23506946423873</x:v>
      </x:c>
      <x:c r="CU317" s="23" t="n">
        <x:v>408.9908591372938</x:v>
      </x:c>
      <x:c r="CV317" s="23" t="n">
        <x:v>449.2374056664818</x:v>
      </x:c>
      <x:c r="CW317" s="23" t="n">
        <x:v>158.87220745836981</x:v>
      </x:c>
      <x:c r="CX317" s="23" t="n">
        <x:v>506.5796149426383</x:v>
      </x:c>
      <x:c r="CY317" s="23" t="n">
        <x:v>443.48822291003245</x:v>
      </x:c>
      <x:c r="CZ317" s="23" t="n">
        <x:v>452.220703125</x:v>
      </x:c>
      <x:c r="DA317" s="23" t="n">
        <x:v>448.82531380638443</x:v>
      </x:c>
      <x:c r="DB317" s="23" t="n">
        <x:v>448.8830159505208</x:v>
      </x:c>
      <x:c r="DC317" s="23" t="n">
        <x:v>449.0905354817708</x:v>
      </x:c>
      <x:c r="DD317" s="23" t="n">
        <x:v>452.2310384114583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460.03458658854163</x:v>
      </x:c>
      <x:c r="DX317" s="23" t="n">
        <x:v>466.66666666666663</x:v>
      </x:c>
      <x:c r="DY317" s="23" t="n">
        <x:v>465.4434407552083</x:v>
      </x:c>
      <x:c r="DZ317" s="23" t="n">
        <x:v>461.9225667317708</x:v>
      </x:c>
      <x:c r="EA317" s="23" t="n">
        <x:v>449.2736869140627</x:v>
      </x:c>
      <x:c r="EB317" s="23" t="n">
        <x:v>447.87198893229163</x:v>
      </x:c>
      <x:c r="EC317" s="23" t="n">
        <x:v>405.7814534505208</x:v>
      </x:c>
      <x:c r="ED317" s="23" t="n">
        <x:v>1234.203409830729</x:v>
      </x:c>
      <x:c r="EE317" s="23" t="n">
        <x:v>1243.6642252604165</x:v>
      </x:c>
      <x:c r="EF317" s="23" t="n">
        <x:v>1236.532511393229</x:v>
      </x:c>
      <x:c r="EG317" s="23" t="n">
        <x:v>1232.096964518229</x:v>
      </x:c>
      <x:c r="EH317" s="23" t="n">
        <x:v>552.7824025245941</x:v>
      </x:c>
      <x:c r="EI317" s="23" t="n">
        <x:v>1251.931396484375</x:v>
      </x:c>
      <x:c r="EJ317" s="23" t="n">
        <x:v>1252.2032877604165</x:v>
      </x:c>
      <x:c r="EK317" s="23" t="n">
        <x:v>416.67728678385413</x:v>
      </x:c>
      <x:c r="EL317" s="23" t="n">
        <x:v>416.585205078125</x:v>
      </x:c>
      <x:c r="EM317" s="23" t="n">
        <x:v>1248.9881591796875</x:v>
      </x:c>
      <x:c r="EN317" s="23" t="n">
        <x:v>498.6259765625</x:v>
      </x:c>
      <x:c r="EO317" s="23" t="n">
        <x:v>0</x:v>
      </x:c>
      <x:c r="EP317" s="23" t="n">
        <x:f>SUM(B317:EO317)</x:f>
        <x:v>45250.249020901596</x:v>
      </x:c>
      <x:c r="EQ317" s="23" t="n">
        <x:f>SUMPRODUCT(B317:EO317,{0.3561,0.3543,0.3863,0.4239,0.4035,0.3706,0.4265,0.4304,0.3705,0.3729,0.3614,0.3439,0.4067,0.4099,0.3436,0.3433,0.3741,0.3784,0.3463,0.3624,0.4037,0.3737,0.3956,0.4556,0.4133,0.3912,0.4191,0.4019,0.3813,0.3819,0.3847,0.4057,0.3956,0.3248,0.5151,0.8487,0.8605,0.798,0.8141,0.8162,0.8385,0.8767,0.8784,0.8892,0.872,0.7717,0.8747,1.104,1.0808,1.0091,1.0139,1.0109,0.9994,0.9856,0.9651,0.9559,0.9512,0.9436,1.0389,1.1741,1.1586,1.075,1.0602,1.1266,0.8832,0.4723,0.4437,0.4601,0.3842,0.4209,0.4394,0.3984,0.4109,0.4899,0.5201,0.4091,0.5389,0.8349,0.8366,0.8243,0.8975,0.8766,0.9424,1.0947,1.127,1.1086,1.1458,1.2216,0.9903,0.6116,0.6139,0.6714,0.6354,0.6834,0.7127,0.6961,0.7243,0.7633,0.8012,0.8548,0.8441,0.7882,0.7918,0.8082,0.7725,0.7062,0.8724,1.1633,1.1875,1.1327,1.1165,1.0872,1.1828,1.3489,1.3687,1.343,1.3416,1.3393,1.3778,1.4166,1.3646,1.3248,1.3651,1.4072,1.1482,0.7536,0.724,0.8147,0.8362,0.8111,0.6327,0.3883,0.3133,0.3241,0.336,0.3473,0.3602,0.3587,0.3309,0.3503,0.3798,0.3192,0.3358,0.4216})</x:f>
        <x:v>20424.19777524083</x:v>
      </x:c>
    </x:row>
    <x:row r="318" ht="14" customHeight="1">
      <x:c r="A318" s="3">
        <x:v>46005</x:v>
      </x:c>
      <x:c r="B318" s="23" t="n">
        <x:v>1425.3206380208333</x:v>
      </x:c>
      <x:c r="C318" s="23" t="n">
        <x:v>1423.080118815104</x:v>
      </x:c>
      <x:c r="D318" s="23" t="n">
        <x:v>596.1311442057291</x:v>
      </x:c>
      <x:c r="E318" s="23" t="n">
        <x:v>606.3381754557291</x:v>
      </x:c>
      <x:c r="F318" s="23" t="n">
        <x:v>607.0777587890625</x:v>
      </x:c>
      <x:c r="G318" s="23" t="n">
        <x:v>612.3883870442708</x:v>
      </x:c>
      <x:c r="H318" s="23" t="n">
        <x:v>1432.0207112630208</x:v>
      </x:c>
      <x:c r="I318" s="23" t="n">
        <x:v>1437.6588948567708</x:v>
      </x:c>
      <x:c r="J318" s="23" t="n">
        <x:v>639.1580810546875</x:v>
      </x:c>
      <x:c r="K318" s="23" t="n">
        <x:v>620.6407063802083</x:v>
      </x:c>
      <x:c r="L318" s="23" t="n">
        <x:v>608.0157470703125</x:v>
      </x:c>
      <x:c r="M318" s="23" t="n">
        <x:v>1440.3861897786458</x:v>
      </x:c>
      <x:c r="N318" s="23" t="n">
        <x:v>618.225830078125</x:v>
      </x:c>
      <x:c r="O318" s="23" t="n">
        <x:v>631.3903401692708</x:v>
      </x:c>
      <x:c r="P318" s="23" t="n">
        <x:v>633.3614095052083</x:v>
      </x:c>
      <x:c r="Q318" s="23" t="n">
        <x:v>642.825927734375</x:v>
      </x:c>
      <x:c r="R318" s="23" t="n">
        <x:v>624.8974609375</x:v>
      </x:c>
      <x:c r="S318" s="23" t="n">
        <x:v>985.1071154602323</x:v>
      </x:c>
      <x:c r="T318" s="23" t="n">
        <x:v>644.1290283203125</x:v>
      </x:c>
      <x:c r="U318" s="23" t="n">
        <x:v>639.3207194010416</x:v>
      </x:c>
      <x:c r="V318" s="23" t="n">
        <x:v>627.1208089192708</x:v>
      </x:c>
      <x:c r="W318" s="23" t="n">
        <x:v>637.7148844401041</x:v>
      </x:c>
      <x:c r="X318" s="23" t="n">
        <x:v>653.7075602213541</x:v>
      </x:c>
      <x:c r="Y318" s="23" t="n">
        <x:v>663.8852945963541</x:v>
      </x:c>
      <x:c r="Z318" s="23" t="n">
        <x:v>637.0047200520833</x:v>
      </x:c>
      <x:c r="AA318" s="23" t="n">
        <x:v>644.8739827473958</x:v>
      </x:c>
      <x:c r="AB318" s="23" t="n">
        <x:v>671.2503662109375</x:v>
      </x:c>
      <x:c r="AC318" s="23" t="n">
        <x:v>680.0548095703125</x:v>
      </x:c>
      <x:c r="AD318" s="23" t="n">
        <x:v>670.2781575520833</x:v>
      </x:c>
      <x:c r="AE318" s="23" t="n">
        <x:v>668.8501790364583</x:v>
      </x:c>
      <x:c r="AF318" s="23" t="n">
        <x:v>691.7888997395833</x:v>
      </x:c>
      <x:c r="AG318" s="23" t="n">
        <x:v>696.604248046875</x:v>
      </x:c>
      <x:c r="AH318" s="23" t="n">
        <x:v>672.1468505859375</x:v>
      </x:c>
      <x:c r="AI318" s="23" t="n">
        <x:v>1470.253702799479</x:v>
      </x:c>
      <x:c r="AJ318" s="23" t="n">
        <x:v>739.1548665364583</x:v>
      </x:c>
      <x:c r="AK318" s="23" t="n">
        <x:v>883.7926432291666</x:v>
      </x:c>
      <x:c r="AL318" s="23" t="n">
        <x:v>893.599609375</x:v>
      </x:c>
      <x:c r="AM318" s="23" t="n">
        <x:v>871.888671875</x:v>
      </x:c>
      <x:c r="AN318" s="23" t="n">
        <x:v>865.7333984375</x:v>
      </x:c>
      <x:c r="AO318" s="23" t="n">
        <x:v>865.3930637371974</x:v>
      </x:c>
      <x:c r="AP318" s="23" t="n">
        <x:v>871.90869140625</x:v>
      </x:c>
      <x:c r="AQ318" s="23" t="n">
        <x:v>862.3546552170137</x:v>
      </x:c>
      <x:c r="AR318" s="23" t="n">
        <x:v>818.2588688848988</x:v>
      </x:c>
      <x:c r="AS318" s="23" t="n">
        <x:v>767.4559803894138</x:v>
      </x:c>
      <x:c r="AT318" s="23" t="n">
        <x:v>718.8284892863923</x:v>
      </x:c>
      <x:c r="AU318" s="23" t="n">
        <x:v>679.930262056325</x:v>
      </x:c>
      <x:c r="AV318" s="23" t="n">
        <x:v>776.0012063424888</x:v>
      </x:c>
      <x:c r="AW318" s="23" t="n">
        <x:v>126.04646758831814</x:v>
      </x:c>
      <x:c r="AX318" s="23" t="n">
        <x:v>110.78653760133768</x:v>
      </x:c>
      <x:c r="AY318" s="23" t="n">
        <x:v>31.764459772067916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454.976221043548</x:v>
      </x:c>
      <x:c r="BH318" s="23" t="n">
        <x:v>104.33817567710639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230.71703516459698</x:v>
      </x:c>
      <x:c r="BO318" s="23" t="n">
        <x:v>1024.5407352726766</x:v>
      </x:c>
      <x:c r="BP318" s="23" t="n">
        <x:v>1013.6536834888811</x:v>
      </x:c>
      <x:c r="BQ318" s="23" t="n">
        <x:v>1010.7061995430028</x:v>
      </x:c>
      <x:c r="BR318" s="23" t="n">
        <x:v>997.7173750734241</x:v>
      </x:c>
      <x:c r="BS318" s="23" t="n">
        <x:v>985.9900431830833</x:v>
      </x:c>
      <x:c r="BT318" s="23" t="n">
        <x:v>960.7748146037002</x:v>
      </x:c>
      <x:c r="BU318" s="23" t="n">
        <x:v>913.1284094406656</x:v>
      </x:c>
      <x:c r="BV318" s="23" t="n">
        <x:v>916.5477455260385</x:v>
      </x:c>
      <x:c r="BW318" s="23" t="n">
        <x:v>920.4264710400848</x:v>
      </x:c>
      <x:c r="BX318" s="23" t="n">
        <x:v>911.4127947054027</x:v>
      </x:c>
      <x:c r="BY318" s="23" t="n">
        <x:v>914.3179231846034</x:v>
      </x:c>
      <x:c r="BZ318" s="23" t="n">
        <x:v>967.6510539018911</x:v>
      </x:c>
      <x:c r="CA318" s="23" t="n">
        <x:v>185.04246782400028</x:v>
      </x:c>
      <x:c r="CB318" s="23" t="n">
        <x:v>225.49387015529706</x:v>
      </x:c>
      <x:c r="CC318" s="23" t="n">
        <x:v>243.4877841231452</x:v>
      </x:c>
      <x:c r="CD318" s="23" t="n">
        <x:v>252.77314565284087</x:v>
      </x:c>
      <x:c r="CE318" s="23" t="n">
        <x:v>265.0160121102132</x:v>
      </x:c>
      <x:c r="CF318" s="23" t="n">
        <x:v>301.140625775246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1345.4896260421451</x:v>
      </x:c>
      <x:c r="CN318" s="23" t="n">
        <x:v>1388.5697086310465</x:v>
      </x:c>
      <x:c r="CO318" s="23" t="n">
        <x:v>663.0629640642101</x:v>
      </x:c>
      <x:c r="CP318" s="23" t="n">
        <x:v>646.8278076534573</x:v>
      </x:c>
      <x:c r="CQ318" s="23" t="n">
        <x:v>1524.8330693596258</x:v>
      </x:c>
      <x:c r="CR318" s="23" t="n">
        <x:v>1557.9902144432158</x:v>
      </x:c>
      <x:c r="CS318" s="23" t="n">
        <x:v>771.2359873004095</x:v>
      </x:c>
      <x:c r="CT318" s="23" t="n">
        <x:v>819.6020331825082</x:v>
      </x:c>
      <x:c r="CU318" s="23" t="n">
        <x:v>863.408338412873</x:v>
      </x:c>
      <x:c r="CV318" s="23" t="n">
        <x:v>907.4624059738928</x:v>
      </x:c>
      <x:c r="CW318" s="23" t="n">
        <x:v>948.3059735905023</x:v>
      </x:c>
      <x:c r="CX318" s="23" t="n">
        <x:v>988.167818623856</x:v>
      </x:c>
      <x:c r="CY318" s="23" t="n">
        <x:v>1013.6356735605418</x:v>
      </x:c>
      <x:c r="CZ318" s="23" t="n">
        <x:v>1023.5167643229166</x:v>
      </x:c>
      <x:c r="DA318" s="23" t="n">
        <x:v>1019.780195865575</x:v>
      </x:c>
      <x:c r="DB318" s="23" t="n">
        <x:v>1029.4397786458333</x:v>
      </x:c>
      <x:c r="DC318" s="23" t="n">
        <x:v>1046.2832845052083</x:v>
      </x:c>
      <x:c r="DD318" s="23" t="n">
        <x:v>912.3179524739583</x:v>
      </x:c>
      <x:c r="DE318" s="23" t="n">
        <x:v>720.1765950520833</x:v>
      </x:c>
      <x:c r="DF318" s="23" t="n">
        <x:v>710.9768880208333</x:v>
      </x:c>
      <x:c r="DG318" s="23" t="n">
        <x:v>730.007568359375</x:v>
      </x:c>
      <x:c r="DH318" s="23" t="n">
        <x:v>726.040283203125</x:v>
      </x:c>
      <x:c r="DI318" s="23" t="n">
        <x:v>730.099853515625</x:v>
      </x:c>
      <x:c r="DJ318" s="23" t="n">
        <x:v>739.9307454427083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91.85865468749762</x:v>
      </x:c>
      <x:c r="DW318" s="23" t="n">
        <x:v>720.8249871801054</x:v>
      </x:c>
      <x:c r="DX318" s="23" t="n">
        <x:v>717.3898686262215</x:v>
      </x:c>
      <x:c r="DY318" s="23" t="n">
        <x:v>716.03564453125</x:v>
      </x:c>
      <x:c r="DZ318" s="23" t="n">
        <x:v>734.2197265625</x:v>
      </x:c>
      <x:c r="EA318" s="23" t="n">
        <x:v>728.5426485026043</x:v>
      </x:c>
      <x:c r="EB318" s="23" t="n">
        <x:v>658.0149739583333</x:v>
      </x:c>
      <x:c r="EC318" s="23" t="n">
        <x:v>556.1348470052083</x:v>
      </x:c>
      <x:c r="ED318" s="23" t="n">
        <x:v>1385.0455322265625</x:v>
      </x:c>
      <x:c r="EE318" s="23" t="n">
        <x:v>571.3359375</x:v>
      </x:c>
      <x:c r="EF318" s="23" t="n">
        <x:v>1388.3275146484375</x:v>
      </x:c>
      <x:c r="EG318" s="23" t="n">
        <x:v>1375.8955891927083</x:v>
      </x:c>
      <x:c r="EH318" s="23" t="n">
        <x:v>834.0869569026488</x:v>
      </x:c>
      <x:c r="EI318" s="23" t="n">
        <x:v>562.9709065755208</x:v>
      </x:c>
      <x:c r="EJ318" s="23" t="n">
        <x:v>1407.139200846354</x:v>
      </x:c>
      <x:c r="EK318" s="23" t="n">
        <x:v>583.0110270182291</x:v>
      </x:c>
      <x:c r="EL318" s="23" t="n">
        <x:v>580.9706217447916</x:v>
      </x:c>
      <x:c r="EM318" s="23" t="n">
        <x:v>583.3751627604166</x:v>
      </x:c>
      <x:c r="EN318" s="23" t="n">
        <x:v>1416.7716064453125</x:v>
      </x:c>
      <x:c r="EO318" s="23" t="n">
        <x:v>1418.492431640625</x:v>
      </x:c>
      <x:c r="EP318" s="23" t="n">
        <x:f>SUM(B318:EO318)</x:f>
        <x:v>91493.3646758838</x:v>
      </x:c>
      <x:c r="EQ318" s="23" t="n">
        <x:f>SUMPRODUCT(B318:EO318,{0.4011,0.3949,0.4375,0.4356,0.4318,0.459,0.4935,0.4731,0.4223,0.4271,0.4385,0.4278,0.4202,0.4345,0.4615,0.4725,0.461,0.4486,0.4661,0.491,0.4795,0.4168,0.4289,0.5035,0.5068,0.5047,0.5212,0.5129,0.5383,0.5822,0.5628,0.5308,0.4909,0.4435,0.6694,1.0362,1.0928,1.0406,1.0412,1.0564,1.0822,1.0953,1.0616,1.0199,0.9526,0.8551,1.0542,1.4291,1.4903,1.3909,1.3327,1.3594,1.358,1.2951,1.2431,1.2292,1.2377,1.2424,1.2925,1.3832,1.4377,1.391,1.3346,1.3911,1.2198,0.8645,0.7364,0.7162,0.6995,0.7193,0.7467,0.7288,0.6481,0.6457,0.6767,0.5991,0.76,1.0778,1.1025,1.1048,1.1633,1.0922,1.1474,1.344,1.4151,1.3903,1.3993,1.4851,1.2822,0.9065,0.8663,0.916,0.9176,0.9832,1.0203,0.9973,0.9917,1.0495,1.1255,1.1304,1.1246,1.1304,1.1168,1.1414,1.171,1.126,1.1828,1.3157,1.3124,1.277,1.2714,1.2694,1.3793,1.5267,1.5127,1.5058,1.561,1.563,1.5391,1.5267,1.5268,1.5137,1.5229,1.5687,1.3356,0.9663,0.9413,0.9456,0.898,0.9931,0.802,0.4237,0.421,0.476,0.4089,0.3769,0.4193,0.4598,0.4052,0.4093,0.4645,0.4151,0.4025,0.4518})</x:f>
        <x:v>68888.82130674049</x:v>
      </x:c>
    </x:row>
    <x:row r="319" ht="14" customHeight="1">
      <x:c r="A319" s="3">
        <x:v>46006</x:v>
      </x:c>
      <x:c r="B319" s="23" t="n">
        <x:v>1430.4837646484375</x:v>
      </x:c>
      <x:c r="C319" s="23" t="n">
        <x:v>991.2440615371017</x:v>
      </x:c>
      <x:c r="D319" s="23" t="n">
        <x:v>591.5856526692708</x:v>
      </x:c>
      <x:c r="E319" s="23" t="n">
        <x:v>594.0325113932291</x:v>
      </x:c>
      <x:c r="F319" s="23" t="n">
        <x:v>601.7844645182291</x:v>
      </x:c>
      <x:c r="G319" s="23" t="n">
        <x:v>602.8230387369791</x:v>
      </x:c>
      <x:c r="H319" s="23" t="n">
        <x:v>601.35693359375</x:v>
      </x:c>
      <x:c r="I319" s="23" t="n">
        <x:v>602.1276041666666</x:v>
      </x:c>
      <x:c r="J319" s="23" t="n">
        <x:v>1443.1881103515625</x:v>
      </x:c>
      <x:c r="K319" s="23" t="n">
        <x:v>610.6909993489583</x:v>
      </x:c>
      <x:c r="L319" s="23" t="n">
        <x:v>608.2408854166666</x:v>
      </x:c>
      <x:c r="M319" s="23" t="n">
        <x:v>613.6773274739583</x:v>
      </x:c>
      <x:c r="N319" s="23" t="n">
        <x:v>631.9560546875</x:v>
      </x:c>
      <x:c r="O319" s="23" t="n">
        <x:v>641.0585530598958</x:v>
      </x:c>
      <x:c r="P319" s="23" t="n">
        <x:v>628.6345621744791</x:v>
      </x:c>
      <x:c r="Q319" s="23" t="n">
        <x:v>1480.1651204427083</x:v>
      </x:c>
      <x:c r="R319" s="23" t="n">
        <x:v>652.2183837890625</x:v>
      </x:c>
      <x:c r="S319" s="23" t="n">
        <x:v>636.1045328776041</x:v>
      </x:c>
      <x:c r="T319" s="23" t="n">
        <x:v>1476.8420003255208</x:v>
      </x:c>
      <x:c r="U319" s="23" t="n">
        <x:v>650.9194742838541</x:v>
      </x:c>
      <x:c r="V319" s="23" t="n">
        <x:v>646.6811930338541</x:v>
      </x:c>
      <x:c r="W319" s="23" t="n">
        <x:v>657.1656494140625</x:v>
      </x:c>
      <x:c r="X319" s="23" t="n">
        <x:v>1497.413614908854</x:v>
      </x:c>
      <x:c r="Y319" s="23" t="n">
        <x:v>665.846435546875</x:v>
      </x:c>
      <x:c r="Z319" s="23" t="n">
        <x:v>664.9049886067708</x:v>
      </x:c>
      <x:c r="AA319" s="23" t="n">
        <x:v>672.5614420572916</x:v>
      </x:c>
      <x:c r="AB319" s="23" t="n">
        <x:v>668.3621826171875</x:v>
      </x:c>
      <x:c r="AC319" s="23" t="n">
        <x:v>704.5345865885416</x:v>
      </x:c>
      <x:c r="AD319" s="23" t="n">
        <x:v>709.5821126302083</x:v>
      </x:c>
      <x:c r="AE319" s="23" t="n">
        <x:v>694.8395182291666</x:v>
      </x:c>
      <x:c r="AF319" s="23" t="n">
        <x:v>692.2826334635416</x:v>
      </x:c>
      <x:c r="AG319" s="23" t="n">
        <x:v>695.0439453125</x:v>
      </x:c>
      <x:c r="AH319" s="23" t="n">
        <x:v>690.136474609375</x:v>
      </x:c>
      <x:c r="AI319" s="23" t="n">
        <x:v>1517.847412109375</x:v>
      </x:c>
      <x:c r="AJ319" s="23" t="n">
        <x:v>780.0708821614583</x:v>
      </x:c>
      <x:c r="AK319" s="23" t="n">
        <x:v>873.6907552083333</x:v>
      </x:c>
      <x:c r="AL319" s="23" t="n">
        <x:v>881.5016276041666</x:v>
      </x:c>
      <x:c r="AM319" s="23" t="n">
        <x:v>872.9318033854166</x:v>
      </x:c>
      <x:c r="AN319" s="23" t="n">
        <x:v>880.8445638020833</x:v>
      </x:c>
      <x:c r="AO319" s="23" t="n">
        <x:v>885.1602875370545</x:v>
      </x:c>
      <x:c r="AP319" s="23" t="n">
        <x:v>897.3585611979166</x:v>
      </x:c>
      <x:c r="AQ319" s="23" t="n">
        <x:v>881.490462684165</x:v>
      </x:c>
      <x:c r="AR319" s="23" t="n">
        <x:v>839.010928434358</x:v>
      </x:c>
      <x:c r="AS319" s="23" t="n">
        <x:v>792.0817431586252</x:v>
      </x:c>
      <x:c r="AT319" s="23" t="n">
        <x:v>747.9764979726069</x:v>
      </x:c>
      <x:c r="AU319" s="23" t="n">
        <x:v>697.3907019406795</x:v>
      </x:c>
      <x:c r="AV319" s="23" t="n">
        <x:v>761.4772015059993</x:v>
      </x:c>
      <x:c r="AW319" s="23" t="n">
        <x:v>128.4810893020655</x:v>
      </x:c>
      <x:c r="AX319" s="23" t="n">
        <x:v>100.73709323627766</x:v>
      </x:c>
      <x:c r="AY319" s="23" t="n">
        <x:v>26.06719369257674</x:v>
      </x:c>
      <x:c r="AZ319" s="23" t="n">
        <x:v>0.08904192836719933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357.3436320115905</x:v>
      </x:c>
      <x:c r="BG319" s="23" t="n">
        <x:v>454.42554288226404</x:v>
      </x:c>
      <x:c r="BH319" s="23" t="n">
        <x:v>0</x:v>
      </x:c>
      <x:c r="BI319" s="23" t="n">
        <x:v>0</x:v>
      </x:c>
      <x:c r="BJ319" s="23" t="n">
        <x:v>0</x:v>
      </x:c>
      <x:c r="BK319" s="23" t="n">
        <x:v>0</x:v>
      </x:c>
      <x:c r="BL319" s="23" t="n">
        <x:v>0</x:v>
      </x:c>
      <x:c r="BM319" s="23" t="n">
        <x:v>0</x:v>
      </x:c>
      <x:c r="BN319" s="23" t="n">
        <x:v>0</x:v>
      </x:c>
      <x:c r="BO319" s="23" t="n">
        <x:v>1065.7445769128763</x:v>
      </x:c>
      <x:c r="BP319" s="23" t="n">
        <x:v>1035.288944627625</x:v>
      </x:c>
      <x:c r="BQ319" s="23" t="n">
        <x:v>1008.7665062810195</x:v>
      </x:c>
      <x:c r="BR319" s="23" t="n">
        <x:v>992.4989149933529</x:v>
      </x:c>
      <x:c r="BS319" s="23" t="n">
        <x:v>984.9628916862323</x:v>
      </x:c>
      <x:c r="BT319" s="23" t="n">
        <x:v>978.9443873792532</x:v>
      </x:c>
      <x:c r="BU319" s="23" t="n">
        <x:v>945.7845173917767</x:v>
      </x:c>
      <x:c r="BV319" s="23" t="n">
        <x:v>938.0431931500303</x:v>
      </x:c>
      <x:c r="BW319" s="23" t="n">
        <x:v>943.0792281149375</x:v>
      </x:c>
      <x:c r="BX319" s="23" t="n">
        <x:v>950.1296642890262</x:v>
      </x:c>
      <x:c r="BY319" s="23" t="n">
        <x:v>954.3275778521192</x:v>
      </x:c>
      <x:c r="BZ319" s="23" t="n">
        <x:v>985.915165852242</x:v>
      </x:c>
      <x:c r="CA319" s="23" t="n">
        <x:v>202.87237102447307</x:v>
      </x:c>
      <x:c r="CB319" s="23" t="n">
        <x:v>216.99406530699372</x:v>
      </x:c>
      <x:c r="CC319" s="23" t="n">
        <x:v>219.86614622240873</x:v>
      </x:c>
      <x:c r="CD319" s="23" t="n">
        <x:v>232.3492183870594</x:v>
      </x:c>
      <x:c r="CE319" s="23" t="n">
        <x:v>259.09119120726393</x:v>
      </x:c>
      <x:c r="CF319" s="23" t="n">
        <x:v>0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1360.4849539743682</x:v>
      </x:c>
      <x:c r="CN319" s="23" t="n">
        <x:v>1399.6223988599697</x:v>
      </x:c>
      <x:c r="CO319" s="23" t="n">
        <x:v>1442.8489862884035</x:v>
      </x:c>
      <x:c r="CP319" s="23" t="n">
        <x:v>661.9348152115701</x:v>
      </x:c>
      <x:c r="CQ319" s="23" t="n">
        <x:v>706.4538365900622</x:v>
      </x:c>
      <x:c r="CR319" s="23" t="n">
        <x:v>1578.7141348155212</x:v>
      </x:c>
      <x:c r="CS319" s="23" t="n">
        <x:v>1278.1141127698704</x:v>
      </x:c>
      <x:c r="CT319" s="23" t="n">
        <x:v>822.7055066721242</x:v>
      </x:c>
      <x:c r="CU319" s="23" t="n">
        <x:v>871.671886567955</x:v>
      </x:c>
      <x:c r="CV319" s="23" t="n">
        <x:v>911.3965542442486</x:v>
      </x:c>
      <x:c r="CW319" s="23" t="n">
        <x:v>964.2898093027952</x:v>
      </x:c>
      <x:c r="CX319" s="23" t="n">
        <x:v>998.9578405279799</x:v>
      </x:c>
      <x:c r="CY319" s="23" t="n">
        <x:v>1013.6989731265576</x:v>
      </x:c>
      <x:c r="CZ319" s="23" t="n">
        <x:v>1024.7764485677083</x:v>
      </x:c>
      <x:c r="DA319" s="23" t="n">
        <x:v>1023.5945607534755</x:v>
      </x:c>
      <x:c r="DB319" s="23" t="n">
        <x:v>1022.7229817708333</x:v>
      </x:c>
      <x:c r="DC319" s="23" t="n">
        <x:v>1042.4129231770833</x:v>
      </x:c>
      <x:c r="DD319" s="23" t="n">
        <x:v>922.5904947916666</x:v>
      </x:c>
      <x:c r="DE319" s="23" t="n">
        <x:v>720.5616861979166</x:v>
      </x:c>
      <x:c r="DF319" s="23" t="n">
        <x:v>706.536376953125</x:v>
      </x:c>
      <x:c r="DG319" s="23" t="n">
        <x:v>724.0348307291666</x:v>
      </x:c>
      <x:c r="DH319" s="23" t="n">
        <x:v>714.0244140625</x:v>
      </x:c>
      <x:c r="DI319" s="23" t="n">
        <x:v>709.3019205729166</x:v>
      </x:c>
      <x:c r="DJ319" s="23" t="n">
        <x:v>719.6746419270833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93.6015872395845</x:v>
      </x:c>
      <x:c r="DW319" s="23" t="n">
        <x:v>721.5647786458333</x:v>
      </x:c>
      <x:c r="DX319" s="23" t="n">
        <x:v>724.1574088139789</x:v>
      </x:c>
      <x:c r="DY319" s="23" t="n">
        <x:v>727.2354329427083</x:v>
      </x:c>
      <x:c r="DZ319" s="23" t="n">
        <x:v>722.3170572916666</x:v>
      </x:c>
      <x:c r="EA319" s="23" t="n">
        <x:v>731.7517594010417</x:v>
      </x:c>
      <x:c r="EB319" s="23" t="n">
        <x:v>673.0302390494792</x:v>
      </x:c>
      <x:c r="EC319" s="23" t="n">
        <x:v>1387.8042805989583</x:v>
      </x:c>
      <x:c r="ED319" s="23" t="n">
        <x:v>1383.4218343098958</x:v>
      </x:c>
      <x:c r="EE319" s="23" t="n">
        <x:v>559.2669677734375</x:v>
      </x:c>
      <x:c r="EF319" s="23" t="n">
        <x:v>1380.071044921875</x:v>
      </x:c>
      <x:c r="EG319" s="23" t="n">
        <x:v>1387.681884765625</x:v>
      </x:c>
      <x:c r="EH319" s="23" t="n">
        <x:v>1395.3248697916665</x:v>
      </x:c>
      <x:c r="EI319" s="23" t="n">
        <x:v>1397.9738362630208</x:v>
      </x:c>
      <x:c r="EJ319" s="23" t="n">
        <x:v>574.956787109375</x:v>
      </x:c>
      <x:c r="EK319" s="23" t="n">
        <x:v>568.834228515625</x:v>
      </x:c>
      <x:c r="EL319" s="23" t="n">
        <x:v>564.3238525390625</x:v>
      </x:c>
      <x:c r="EM319" s="23" t="n">
        <x:v>578.0125732421875</x:v>
      </x:c>
      <x:c r="EN319" s="23" t="n">
        <x:v>881.6450873521095</x:v>
      </x:c>
      <x:c r="EO319" s="23" t="n">
        <x:v>591.4671223958333</x:v>
      </x:c>
      <x:c r="EP319" s="23" t="n">
        <x:f>SUM(B319:EO319)</x:f>
        <x:v>92424.69211636558</x:v>
      </x:c>
      <x:c r="EQ319" s="23" t="n">
        <x:f>SUMPRODUCT(B319:EO319,{0.4399,0.4203,0.44,0.4813,0.4806,0.4447,0.4393,0.4434,0.4407,0.4439,0.47,0.4751,0.4083,0.4265,0.5161,0.5035,0.4668,0.4644,0.4712,0.4641,0.4525,0.4596,0.4443,0.4254,0.4599,0.4593,0.4301,0.4686,0.5012,0.4995,0.5104,0.5255,0.5091,0.4781,0.6922,1.0306,1.0824,1.0364,1.0443,1.0639,1.0479,1.0126,1.0149,1.0193,0.9775,0.9196,1.1263,1.4416,1.4034,1.3081,1.3364,1.3736,1.3695,1.3246,1.2734,1.2586,1.2487,1.1918,1.2485,1.401,1.4489,1.393,1.3567,1.411,1.1667,0.7516,0.7177,0.7971,0.769,0.6935,0.7107,0.7706,0.7019,0.6644,0.6907,0.677,0.8098,1.0247,1.0467,1.0491,1.088,1.0594,1.1421,1.3308,1.4139,1.3868,1.3725,1.455,1.294,0.9561,0.8845,0.9745,1.0413,1.0102,0.9913,1.0274,1.0528,1.0245,0.9997,1.0701,1.0993,1.0803,1.1345,1.1544,1.1194,1.1288,1.1758,1.2208,1.2352,1.2481,1.2551,1.2461,1.3715,1.5428,1.5121,1.4991,1.5558,1.5167,1.4916,1.5233,1.5319,1.5076,1.4985,1.5154,1.2845,0.9247,0.8617,0.9055,0.95,1.032,0.8132,0.4249,0.3752,0.4242,0.3909,0.3509,0.3947,0.4708,0.446,0.4262,0.4572,0.4748,0.4585,0.413})</x:f>
        <x:v>69281.62588740914</x:v>
      </x:c>
    </x:row>
    <x:row r="320" ht="14" customHeight="1">
      <x:c r="A320" s="3">
        <x:v>46007</x:v>
      </x:c>
      <x:c r="B320" s="23" t="n">
        <x:v>590.9517822265625</x:v>
      </x:c>
      <x:c r="C320" s="23" t="n">
        <x:v>593.8832194010416</x:v>
      </x:c>
      <x:c r="D320" s="23" t="n">
        <x:v>599.887451171875</x:v>
      </x:c>
      <x:c r="E320" s="23" t="n">
        <x:v>1433.353556315104</x:v>
      </x:c>
      <x:c r="F320" s="23" t="n">
        <x:v>1436.8053792317708</x:v>
      </x:c>
      <x:c r="G320" s="23" t="n">
        <x:v>1446.5896809895833</x:v>
      </x:c>
      <x:c r="H320" s="23" t="n">
        <x:v>605.1788736979166</x:v>
      </x:c>
      <x:c r="I320" s="23" t="n">
        <x:v>1435.5243326822915</x:v>
      </x:c>
      <x:c r="J320" s="23" t="n">
        <x:v>1438.8151041666665</x:v>
      </x:c>
      <x:c r="K320" s="23" t="n">
        <x:v>608.0234375</x:v>
      </x:c>
      <x:c r="L320" s="23" t="n">
        <x:v>614.1491292317708</x:v>
      </x:c>
      <x:c r="M320" s="23" t="n">
        <x:v>623.3838297526041</x:v>
      </x:c>
      <x:c r="N320" s="23" t="n">
        <x:v>616.3248291015625</x:v>
      </x:c>
      <x:c r="O320" s="23" t="n">
        <x:v>626.9862467447916</x:v>
      </x:c>
      <x:c r="P320" s="23" t="n">
        <x:v>627.1390787760416</x:v>
      </x:c>
      <x:c r="Q320" s="23" t="n">
        <x:v>648.6078287760416</x:v>
      </x:c>
      <x:c r="R320" s="23" t="n">
        <x:v>1053.310831677597</x:v>
      </x:c>
      <x:c r="S320" s="23" t="n">
        <x:v>645.8448893229166</x:v>
      </x:c>
      <x:c r="T320" s="23" t="n">
        <x:v>663.6319580078125</x:v>
      </x:c>
      <x:c r="U320" s="23" t="n">
        <x:v>662.9694010416666</x:v>
      </x:c>
      <x:c r="V320" s="23" t="n">
        <x:v>671.0795084635416</x:v>
      </x:c>
      <x:c r="W320" s="23" t="n">
        <x:v>682.5668538411458</x:v>
      </x:c>
      <x:c r="X320" s="23" t="n">
        <x:v>680.5669352213541</x:v>
      </x:c>
      <x:c r="Y320" s="23" t="n">
        <x:v>658.3895670572916</x:v>
      </x:c>
      <x:c r="Z320" s="23" t="n">
        <x:v>676.9532063802083</x:v>
      </x:c>
      <x:c r="AA320" s="23" t="n">
        <x:v>669.5224202473958</x:v>
      </x:c>
      <x:c r="AB320" s="23" t="n">
        <x:v>660.4527587890625</x:v>
      </x:c>
      <x:c r="AC320" s="23" t="n">
        <x:v>684.1324869791666</x:v>
      </x:c>
      <x:c r="AD320" s="23" t="n">
        <x:v>700.0970865885416</x:v>
      </x:c>
      <x:c r="AE320" s="23" t="n">
        <x:v>682.2309977213541</x:v>
      </x:c>
      <x:c r="AF320" s="23" t="n">
        <x:v>694.119384765625</x:v>
      </x:c>
      <x:c r="AG320" s="23" t="n">
        <x:v>706.2679850260416</x:v>
      </x:c>
      <x:c r="AH320" s="23" t="n">
        <x:v>703.3817545572916</x:v>
      </x:c>
      <x:c r="AI320" s="23" t="n">
        <x:v>1490.6553955078125</x:v>
      </x:c>
      <x:c r="AJ320" s="23" t="n">
        <x:v>736.0364583333333</x:v>
      </x:c>
      <x:c r="AK320" s="23" t="n">
        <x:v>882.9495442708333</x:v>
      </x:c>
      <x:c r="AL320" s="23" t="n">
        <x:v>900.4596354166666</x:v>
      </x:c>
      <x:c r="AM320" s="23" t="n">
        <x:v>899.890380859375</x:v>
      </x:c>
      <x:c r="AN320" s="23" t="n">
        <x:v>920.807861328125</x:v>
      </x:c>
      <x:c r="AO320" s="23" t="n">
        <x:v>893.7584228536576</x:v>
      </x:c>
      <x:c r="AP320" s="23" t="n">
        <x:v>887.4142252604166</x:v>
      </x:c>
      <x:c r="AQ320" s="23" t="n">
        <x:v>873.3952329883105</x:v>
      </x:c>
      <x:c r="AR320" s="23" t="n">
        <x:v>845.7449811690822</x:v>
      </x:c>
      <x:c r="AS320" s="23" t="n">
        <x:v>813.0958259088675</x:v>
      </x:c>
      <x:c r="AT320" s="23" t="n">
        <x:v>782.6307137731169</x:v>
      </x:c>
      <x:c r="AU320" s="23" t="n">
        <x:v>717.5023745617466</x:v>
      </x:c>
      <x:c r="AV320" s="23" t="n">
        <x:v>778.143445318743</x:v>
      </x:c>
      <x:c r="AW320" s="23" t="n">
        <x:v>133.73179100632765</x:v>
      </x:c>
      <x:c r="AX320" s="23" t="n">
        <x:v>101.78412088230773</x:v>
      </x:c>
      <x:c r="AY320" s="23" t="n">
        <x:v>24.445906255315396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189.90387804906646</x:v>
      </x:c>
      <x:c r="BG320" s="23" t="n">
        <x:v>457.89412960440796</x:v>
      </x:c>
      <x:c r="BH320" s="23" t="n">
        <x:v>0</x:v>
      </x:c>
      <x:c r="BI320" s="23" t="n">
        <x:v>0</x:v>
      </x:c>
      <x:c r="BJ320" s="23" t="n">
        <x:v>0</x:v>
      </x:c>
      <x:c r="BK320" s="23" t="n">
        <x:v>0</x:v>
      </x:c>
      <x:c r="BL320" s="23" t="n">
        <x:v>0</x:v>
      </x:c>
      <x:c r="BM320" s="23" t="n">
        <x:v>0</x:v>
      </x:c>
      <x:c r="BN320" s="23" t="n">
        <x:v>237.99382460065013</x:v>
      </x:c>
      <x:c r="BO320" s="23" t="n">
        <x:v>1060.7913629237796</x:v>
      </x:c>
      <x:c r="BP320" s="23" t="n">
        <x:v>1053.8039541153903</x:v>
      </x:c>
      <x:c r="BQ320" s="23" t="n">
        <x:v>1030.849718695623</x:v>
      </x:c>
      <x:c r="BR320" s="23" t="n">
        <x:v>1026.763540837801</x:v>
      </x:c>
      <x:c r="BS320" s="23" t="n">
        <x:v>1015.841045798839</x:v>
      </x:c>
      <x:c r="BT320" s="23" t="n">
        <x:v>973.0191937299384</x:v>
      </x:c>
      <x:c r="BU320" s="23" t="n">
        <x:v>940.7058494638345</x:v>
      </x:c>
      <x:c r="BV320" s="23" t="n">
        <x:v>939.0393017850752</x:v>
      </x:c>
      <x:c r="BW320" s="23" t="n">
        <x:v>956.13680672479</x:v>
      </x:c>
      <x:c r="BX320" s="23" t="n">
        <x:v>959.3997938250598</x:v>
      </x:c>
      <x:c r="BY320" s="23" t="n">
        <x:v>958.5346446898322</x:v>
      </x:c>
      <x:c r="BZ320" s="23" t="n">
        <x:v>982.9663486553151</x:v>
      </x:c>
      <x:c r="CA320" s="23" t="n">
        <x:v>188.9748832172275</x:v>
      </x:c>
      <x:c r="CB320" s="23" t="n">
        <x:v>200.58557600861346</x:v>
      </x:c>
      <x:c r="CC320" s="23" t="n">
        <x:v>214.737416253018</x:v>
      </x:c>
      <x:c r="CD320" s="23" t="n">
        <x:v>231.1109504704083</x:v>
      </x:c>
      <x:c r="CE320" s="23" t="n">
        <x:v>253.5823781892732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1366.7057443250183</x:v>
      </x:c>
      <x:c r="CN320" s="23" t="n">
        <x:v>1400.7264743395156</x:v>
      </x:c>
      <x:c r="CO320" s="23" t="n">
        <x:v>1076.8853674289971</x:v>
      </x:c>
      <x:c r="CP320" s="23" t="n">
        <x:v>653.2540536963895</x:v>
      </x:c>
      <x:c r="CQ320" s="23" t="n">
        <x:v>1545.9702110276032</x:v>
      </x:c>
      <x:c r="CR320" s="23" t="n">
        <x:v>1583.556415869451</x:v>
      </x:c>
      <x:c r="CS320" s="23" t="n">
        <x:v>774.9925975986614</x:v>
      </x:c>
      <x:c r="CT320" s="23" t="n">
        <x:v>822.9358652291892</x:v>
      </x:c>
      <x:c r="CU320" s="23" t="n">
        <x:v>871.7878249087203</x:v>
      </x:c>
      <x:c r="CV320" s="23" t="n">
        <x:v>914.235491998342</x:v>
      </x:c>
      <x:c r="CW320" s="23" t="n">
        <x:v>962.9333123088902</x:v>
      </x:c>
      <x:c r="CX320" s="23" t="n">
        <x:v>990.5584775605557</x:v>
      </x:c>
      <x:c r="CY320" s="23" t="n">
        <x:v>1009.5386891451319</x:v>
      </x:c>
      <x:c r="CZ320" s="23" t="n">
        <x:v>1024.673828125</x:v>
      </x:c>
      <x:c r="DA320" s="23" t="n">
        <x:v>1027.0625999487274</x:v>
      </x:c>
      <x:c r="DB320" s="23" t="n">
        <x:v>1031.4625651041665</x:v>
      </x:c>
      <x:c r="DC320" s="23" t="n">
        <x:v>1053.17578125</x:v>
      </x:c>
      <x:c r="DD320" s="23" t="n">
        <x:v>931.4658203125</x:v>
      </x:c>
      <x:c r="DE320" s="23" t="n">
        <x:v>710.4796549479166</x:v>
      </x:c>
      <x:c r="DF320" s="23" t="n">
        <x:v>704.4588216145833</x:v>
      </x:c>
      <x:c r="DG320" s="23" t="n">
        <x:v>725.4432779947916</x:v>
      </x:c>
      <x:c r="DH320" s="23" t="n">
        <x:v>722.1724446614583</x:v>
      </x:c>
      <x:c r="DI320" s="23" t="n">
        <x:v>729.2347005208333</x:v>
      </x:c>
      <x:c r="DJ320" s="23" t="n">
        <x:v>732.6953938802083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123.30975846354211</x:v>
      </x:c>
      <x:c r="DW320" s="23" t="n">
        <x:v>726.4603678385416</x:v>
      </x:c>
      <x:c r="DX320" s="23" t="n">
        <x:v>727.0365397135416</x:v>
      </x:c>
      <x:c r="DY320" s="23" t="n">
        <x:v>735.7784016927083</x:v>
      </x:c>
      <x:c r="DZ320" s="23" t="n">
        <x:v>729.9269205729166</x:v>
      </x:c>
      <x:c r="EA320" s="23" t="n">
        <x:v>729.5799215104166</x:v>
      </x:c>
      <x:c r="EB320" s="23" t="n">
        <x:v>667.6710129427083</x:v>
      </x:c>
      <x:c r="EC320" s="23" t="n">
        <x:v>557.6408284505208</x:v>
      </x:c>
      <x:c r="ED320" s="23" t="n">
        <x:v>1381.6615804036458</x:v>
      </x:c>
      <x:c r="EE320" s="23" t="n">
        <x:v>1388.3898518880208</x:v>
      </x:c>
      <x:c r="EF320" s="23" t="n">
        <x:v>1393.281982421875</x:v>
      </x:c>
      <x:c r="EG320" s="23" t="n">
        <x:v>567.4945068359375</x:v>
      </x:c>
      <x:c r="EH320" s="23" t="n">
        <x:v>1399.1909993489583</x:v>
      </x:c>
      <x:c r="EI320" s="23" t="n">
        <x:v>1388.7757975260415</x:v>
      </x:c>
      <x:c r="EJ320" s="23" t="n">
        <x:v>861.4574718524946</x:v>
      </x:c>
      <x:c r="EK320" s="23" t="n">
        <x:v>576.453369140625</x:v>
      </x:c>
      <x:c r="EL320" s="23" t="n">
        <x:v>582.3654378255208</x:v>
      </x:c>
      <x:c r="EM320" s="23" t="n">
        <x:v>585.7027994791666</x:v>
      </x:c>
      <x:c r="EN320" s="23" t="n">
        <x:v>582.5927327473958</x:v>
      </x:c>
      <x:c r="EO320" s="23" t="n">
        <x:v>1404.9940999348958</x:v>
      </x:c>
      <x:c r="EP320" s="23" t="n">
        <x:f>SUM(B320:EO320)</x:f>
        <x:v>92872.37249317173</x:v>
      </x:c>
      <x:c r="EQ320" s="23" t="n">
        <x:f>SUMPRODUCT(B320:EO320,{0.3715,0.4216,0.5027,0.4653,0.4453,0.4734,0.4463,0.4352,0.4442,0.4089,0.4351,0.5096,0.5035,0.4731,0.4626,0.4603,0.4723,0.4797,0.4549,0.4517,0.4693,0.4553,0.4503,0.4715,0.4926,0.502,0.5015,0.499,0.4906,0.4742,0.4624,0.5026,0.5253,0.4528,0.6482,1.0206,1.0895,1.0678,1.0757,1.0184,1.0202,1.0704,1.0246,0.9691,0.9286,0.8819,1.093,1.4263,1.4418,1.3616,1.3465,1.3384,1.3271,1.3109,1.283,1.2429,1.1989,1.1837,1.2888,1.4293,1.4053,1.318,1.319,1.416,1.1777,0.747,0.7185,0.7784,0.7288,0.696,0.6977,0.7075,0.702,0.718,0.7197,0.6606,0.7838,1.035,1.0948,1.0618,1.0469,1.0761,1.2147,1.3695,1.3588,1.3193,1.3724,1.4617,1.2329,0.8588,0.8831,0.9517,0.9061,0.9436,0.9808,0.9761,0.9908,1.0323,1.0779,1.0976,1.0899,1.09,1.1368,1.1699,1.1446,1.0914,1.1714,1.3227,1.3194,1.2916,1.2924,1.2597,1.3386,1.5009,1.5512,1.5284,1.5139,1.5408,1.529,1.4809,1.4799,1.4938,1.5171,1.5367,1.3021,0.942,0.8726,0.9118,0.9393,0.9747,0.7524,0.4167,0.4104,0.4491,0.3964,0.3994,0.4031,0.3934,0.4231,0.4346,0.421,0.4358,0.4543,0.4579})</x:f>
        <x:v>69348.01648351058</x:v>
      </x:c>
    </x:row>
    <x:row r="321" ht="14" customHeight="1">
      <x:c r="A321" s="3">
        <x:v>46008</x:v>
      </x:c>
      <x:c r="B321" s="23" t="n">
        <x:v>1426.548136393229</x:v>
      </x:c>
      <x:c r="C321" s="23" t="n">
        <x:v>1430.7904866536458</x:v>
      </x:c>
      <x:c r="D321" s="23" t="n">
        <x:v>601.2899983723958</x:v>
      </x:c>
      <x:c r="E321" s="23" t="n">
        <x:v>601.536376953125</x:v>
      </x:c>
      <x:c r="F321" s="23" t="n">
        <x:v>1430.9822591145833</x:v>
      </x:c>
      <x:c r="G321" s="23" t="n">
        <x:v>1067.3578802678117</x:v>
      </x:c>
      <x:c r="H321" s="23" t="n">
        <x:v>606.7838541666666</x:v>
      </x:c>
      <x:c r="I321" s="23" t="n">
        <x:v>615.4344482421875</x:v>
      </x:c>
      <x:c r="J321" s="23" t="n">
        <x:v>608.0706787109375</x:v>
      </x:c>
      <x:c r="K321" s="23" t="n">
        <x:v>1440.536417643229</x:v>
      </x:c>
      <x:c r="L321" s="23" t="n">
        <x:v>610.1059977213541</x:v>
      </x:c>
      <x:c r="M321" s="23" t="n">
        <x:v>623.5952962239583</x:v>
      </x:c>
      <x:c r="N321" s="23" t="n">
        <x:v>655.1107177734375</x:v>
      </x:c>
      <x:c r="O321" s="23" t="n">
        <x:v>642.24169921875</x:v>
      </x:c>
      <x:c r="P321" s="23" t="n">
        <x:v>621.7328287760416</x:v>
      </x:c>
      <x:c r="Q321" s="23" t="n">
        <x:v>637.5257975260416</x:v>
      </x:c>
      <x:c r="R321" s="23" t="n">
        <x:v>648.56689453125</x:v>
      </x:c>
      <x:c r="S321" s="23" t="n">
        <x:v>640.3153483072916</x:v>
      </x:c>
      <x:c r="T321" s="23" t="n">
        <x:v>652.1472981770833</x:v>
      </x:c>
      <x:c r="U321" s="23" t="n">
        <x:v>663.125732421875</x:v>
      </x:c>
      <x:c r="V321" s="23" t="n">
        <x:v>662.9447428385416</x:v>
      </x:c>
      <x:c r="W321" s="23" t="n">
        <x:v>1486.6977132161458</x:v>
      </x:c>
      <x:c r="X321" s="23" t="n">
        <x:v>1483.8964029947915</x:v>
      </x:c>
      <x:c r="Y321" s="23" t="n">
        <x:v>672.5648600260416</x:v>
      </x:c>
      <x:c r="Z321" s="23" t="n">
        <x:v>9.0146484375</x:v>
      </x:c>
      <x:c r="AA321" s="23" t="n">
        <x:v>705.4017740885416</x:v>
      </x:c>
      <x:c r="AB321" s="23" t="n">
        <x:v>709.6504720052083</x:v>
      </x:c>
      <x:c r="AC321" s="23" t="n">
        <x:v>696.7500813802083</x:v>
      </x:c>
      <x:c r="AD321" s="23" t="n">
        <x:v>703.468017578125</x:v>
      </x:c>
      <x:c r="AE321" s="23" t="n">
        <x:v>692.888427734375</x:v>
      </x:c>
      <x:c r="AF321" s="23" t="n">
        <x:v>690.9822591145833</x:v>
      </x:c>
      <x:c r="AG321" s="23" t="n">
        <x:v>682.5495198567708</x:v>
      </x:c>
      <x:c r="AH321" s="23" t="n">
        <x:v>688.1551106770833</x:v>
      </x:c>
      <x:c r="AI321" s="23" t="n">
        <x:v>1510.2177327473958</x:v>
      </x:c>
      <x:c r="AJ321" s="23" t="n">
        <x:v>753.4603678385416</x:v>
      </x:c>
      <x:c r="AK321" s="23" t="n">
        <x:v>890.1148274739583</x:v>
      </x:c>
      <x:c r="AL321" s="23" t="n">
        <x:v>906.0386555989583</x:v>
      </x:c>
      <x:c r="AM321" s="23" t="n">
        <x:v>909.0040690104166</x:v>
      </x:c>
      <x:c r="AN321" s="23" t="n">
        <x:v>925.8592936197916</x:v>
      </x:c>
      <x:c r="AO321" s="23" t="n">
        <x:v>886.120098716252</x:v>
      </x:c>
      <x:c r="AP321" s="23" t="n">
        <x:v>877.033447265625</x:v>
      </x:c>
      <x:c r="AQ321" s="23" t="n">
        <x:v>868.8055920434147</x:v>
      </x:c>
      <x:c r="AR321" s="23" t="n">
        <x:v>848.1602037745108</x:v>
      </x:c>
      <x:c r="AS321" s="23" t="n">
        <x:v>823.6578891129681</x:v>
      </x:c>
      <x:c r="AT321" s="23" t="n">
        <x:v>768.1827089225577</x:v>
      </x:c>
      <x:c r="AU321" s="23" t="n">
        <x:v>711.1324181891762</x:v>
      </x:c>
      <x:c r="AV321" s="23" t="n">
        <x:v>769.0038083105194</x:v>
      </x:c>
      <x:c r="AW321" s="23" t="n">
        <x:v>143.95925927416252</x:v>
      </x:c>
      <x:c r="AX321" s="23" t="n">
        <x:v>117.47719522166031</x:v>
      </x:c>
      <x:c r="AY321" s="23" t="n">
        <x:v>41.67029317875646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102.26564964236127</x:v>
      </x:c>
      <x:c r="BF321" s="23" t="n">
        <x:v>510.94690600131787</x:v>
      </x:c>
      <x:c r="BG321" s="23" t="n">
        <x:v>482.0269886883484</x:v>
      </x:c>
      <x:c r="BH321" s="23" t="n">
        <x:v>0</x:v>
      </x:c>
      <x:c r="BI321" s="23" t="n">
        <x:v>0</x:v>
      </x:c>
      <x:c r="BJ321" s="23" t="n">
        <x:v>0</x:v>
      </x:c>
      <x:c r="BK321" s="23" t="n">
        <x:v>0</x:v>
      </x:c>
      <x:c r="BL321" s="23" t="n">
        <x:v>0</x:v>
      </x:c>
      <x:c r="BM321" s="23" t="n">
        <x:v>0</x:v>
      </x:c>
      <x:c r="BN321" s="23" t="n">
        <x:v>0</x:v>
      </x:c>
      <x:c r="BO321" s="23" t="n">
        <x:v>1082.8064543467913</x:v>
      </x:c>
      <x:c r="BP321" s="23" t="n">
        <x:v>1078.7884419416753</x:v>
      </x:c>
      <x:c r="BQ321" s="23" t="n">
        <x:v>1066.5735378236006</x:v>
      </x:c>
      <x:c r="BR321" s="23" t="n">
        <x:v>1049.670650466358</x:v>
      </x:c>
      <x:c r="BS321" s="23" t="n">
        <x:v>1029.8030943962688</x:v>
      </x:c>
      <x:c r="BT321" s="23" t="n">
        <x:v>1020.8948368553574</x:v>
      </x:c>
      <x:c r="BU321" s="23" t="n">
        <x:v>974.0082346581796</x:v>
      </x:c>
      <x:c r="BV321" s="23" t="n">
        <x:v>962.7477213227318</x:v>
      </x:c>
      <x:c r="BW321" s="23" t="n">
        <x:v>950.0257158885893</x:v>
      </x:c>
      <x:c r="BX321" s="23" t="n">
        <x:v>954.9306404932918</x:v>
      </x:c>
      <x:c r="BY321" s="23" t="n">
        <x:v>956.8990862263599</x:v>
      </x:c>
      <x:c r="BZ321" s="23" t="n">
        <x:v>979.3506881254995</x:v>
      </x:c>
      <x:c r="CA321" s="23" t="n">
        <x:v>180.08539741232227</x:v>
      </x:c>
      <x:c r="CB321" s="23" t="n">
        <x:v>191.24541724558503</x:v>
      </x:c>
      <x:c r="CC321" s="23" t="n">
        <x:v>200.5328149698962</x:v>
      </x:c>
      <x:c r="CD321" s="23" t="n">
        <x:v>231.19969541383335</x:v>
      </x:c>
      <x:c r="CE321" s="23" t="n">
        <x:v>261.26841622468373</x:v>
      </x:c>
      <x:c r="CF321" s="23" t="n">
        <x:v>0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1342.166150583757</x:v>
      </x:c>
      <x:c r="CN321" s="23" t="n">
        <x:v>1380.789453109494</x:v>
      </x:c>
      <x:c r="CO321" s="23" t="n">
        <x:v>1426.167046756654</x:v>
      </x:c>
      <x:c r="CP321" s="23" t="n">
        <x:v>646.4127881777055</x:v>
      </x:c>
      <x:c r="CQ321" s="23" t="n">
        <x:v>1527.3820247671167</x:v>
      </x:c>
      <x:c r="CR321" s="23" t="n">
        <x:v>1122.518169125099</x:v>
      </x:c>
      <x:c r="CS321" s="23" t="n">
        <x:v>772.7209584896054</x:v>
      </x:c>
      <x:c r="CT321" s="23" t="n">
        <x:v>819.0486222812463</x:v>
      </x:c>
      <x:c r="CU321" s="23" t="n">
        <x:v>863.6487048491069</x:v>
      </x:c>
      <x:c r="CV321" s="23" t="n">
        <x:v>915.4606992901049</x:v>
      </x:c>
      <x:c r="CW321" s="23" t="n">
        <x:v>962.9369429893966</x:v>
      </x:c>
      <x:c r="CX321" s="23" t="n">
        <x:v>990.6647508286769</x:v>
      </x:c>
      <x:c r="CY321" s="23" t="n">
        <x:v>1004.5023309264554</x:v>
      </x:c>
      <x:c r="CZ321" s="23" t="n">
        <x:v>1025.739013671875</x:v>
      </x:c>
      <x:c r="DA321" s="23" t="n">
        <x:v>1026.4907139818233</x:v>
      </x:c>
      <x:c r="DB321" s="23" t="n">
        <x:v>1031.06494140625</x:v>
      </x:c>
      <x:c r="DC321" s="23" t="n">
        <x:v>1062.677734375</x:v>
      </x:c>
      <x:c r="DD321" s="23" t="n">
        <x:v>929.2135416666666</x:v>
      </x:c>
      <x:c r="DE321" s="23" t="n">
        <x:v>721.321044921875</x:v>
      </x:c>
      <x:c r="DF321" s="23" t="n">
        <x:v>720.30224609375</x:v>
      </x:c>
      <x:c r="DG321" s="23" t="n">
        <x:v>731.7110188802083</x:v>
      </x:c>
      <x:c r="DH321" s="23" t="n">
        <x:v>699.2637532552083</x:v>
      </x:c>
      <x:c r="DI321" s="23" t="n">
        <x:v>707.9996744791666</x:v>
      </x:c>
      <x:c r="DJ321" s="23" t="n">
        <x:v>721.873779296875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46.01183333333188</x:v>
      </x:c>
      <x:c r="DW321" s="23" t="n">
        <x:v>738.12646484375</x:v>
      </x:c>
      <x:c r="DX321" s="23" t="n">
        <x:v>731.82275390625</x:v>
      </x:c>
      <x:c r="DY321" s="23" t="n">
        <x:v>730.2203776041666</x:v>
      </x:c>
      <x:c r="DZ321" s="23" t="n">
        <x:v>727.4461263020833</x:v>
      </x:c>
      <x:c r="EA321" s="23" t="n">
        <x:v>742.92496578125</x:v>
      </x:c>
      <x:c r="EB321" s="23" t="n">
        <x:v>674.9011565755209</x:v>
      </x:c>
      <x:c r="EC321" s="23" t="n">
        <x:v>558.8262939453125</x:v>
      </x:c>
      <x:c r="ED321" s="23" t="n">
        <x:v>1381.2679443359375</x:v>
      </x:c>
      <x:c r="EE321" s="23" t="n">
        <x:v>564.4595540364583</x:v>
      </x:c>
      <x:c r="EF321" s="23" t="n">
        <x:v>1394.8046468098958</x:v>
      </x:c>
      <x:c r="EG321" s="23" t="n">
        <x:v>1392.3985595703125</x:v>
      </x:c>
      <x:c r="EH321" s="23" t="n">
        <x:v>855.2195824371465</x:v>
      </x:c>
      <x:c r="EI321" s="23" t="n">
        <x:v>568.5327555338541</x:v>
      </x:c>
      <x:c r="EJ321" s="23" t="n">
        <x:v>1406.8680826822915</x:v>
      </x:c>
      <x:c r="EK321" s="23" t="n">
        <x:v>1414.6910807291665</x:v>
      </x:c>
      <x:c r="EL321" s="23" t="n">
        <x:v>578.1829020182291</x:v>
      </x:c>
      <x:c r="EM321" s="23" t="n">
        <x:v>577.5153401692708</x:v>
      </x:c>
      <x:c r="EN321" s="23" t="n">
        <x:v>1421.2144368489583</x:v>
      </x:c>
      <x:c r="EO321" s="23" t="n">
        <x:v>597.4527994791666</x:v>
      </x:c>
      <x:c r="EP321" s="23" t="n">
        <x:f>SUM(B321:EO321)</x:f>
        <x:v>93379.69418672996</x:v>
      </x:c>
      <x:c r="EQ321" s="23" t="n">
        <x:f>SUMPRODUCT(B321:EO321,{0.4508,0.4237,0.4151,0.473,0.4861,0.461,0.5032,0.4902,0.4412,0.498,0.502,0.4364,0.448,0.4673,0.4529,0.4437,0.4644,0.4837,0.456,0.4755,0.5273,0.5041,0.5003,0.5184,0.4662,0.4447,0.4789,0.4917,0.4996,0.5107,0.507,0.4964,0.4738,0.4687,0.7105,1.0443,1.0529,0.996,1.0287,1.0527,1.0677,1.0626,1.013,0.992,0.9773,0.9218,1.1334,1.4762,1.4688,1.3682,1.3384,1.29,1.2524,1.2419,1.2409,1.2746,1.2917,1.2218,1.2559,1.3806,1.3797,1.3117,1.3069,1.3893,1.1831,0.7845,0.6929,0.7384,0.7452,0.7128,0.6718,0.6423,0.6365,0.6948,0.731,0.6422,0.7717,1.0614,1.0969,1.0821,1.094,1.0228,1.1432,1.3803,1.3611,1.3063,1.3718,1.4429,1.2164,0.8476,0.8163,0.8954,0.9265,0.977,1.0178,1.0418,1.0709,1.051,1.0219,1.0825,1.1212,1.1077,1.1215,1.1403,1.1457,1.1524,1.182,1.224,1.2465,1.265,1.2674,1.2402,1.3129,1.4514,1.4827,1.4733,1.4791,1.4831,1.4717,1.4765,1.533,1.526,1.499,1.5634,1.3402,0.9489,0.9196,0.9496,0.9241,0.9932,0.7794,0.3887,0.3507,0.4182,0.4089,0.3939,0.3967,0.413,0.424,0.4082,0.4101,0.4851,0.4761,0.397})</x:f>
        <x:v>69788.9647691541</x:v>
      </x:c>
    </x:row>
    <x:row r="322" ht="14" customHeight="1">
      <x:c r="A322" s="3">
        <x:v>46009</x:v>
      </x:c>
      <x:c r="B322" s="23" t="n">
        <x:v>952.802903167599</x:v>
      </x:c>
      <x:c r="C322" s="23" t="n">
        <x:v>1430.539306640625</x:v>
      </x:c>
      <x:c r="D322" s="23" t="n">
        <x:v>583.4269205729166</x:v>
      </x:c>
      <x:c r="E322" s="23" t="n">
        <x:v>581.72314453125</x:v>
      </x:c>
      <x:c r="F322" s="23" t="n">
        <x:v>600.4291585286458</x:v>
      </x:c>
      <x:c r="G322" s="23" t="n">
        <x:v>609.6600748697916</x:v>
      </x:c>
      <x:c r="H322" s="23" t="n">
        <x:v>1435.2052815755208</x:v>
      </x:c>
      <x:c r="I322" s="23" t="n">
        <x:v>1434.166300455729</x:v>
      </x:c>
      <x:c r="J322" s="23" t="n">
        <x:v>1448.964599609375</x:v>
      </x:c>
      <x:c r="K322" s="23" t="n">
        <x:v>619.1685384114583</x:v>
      </x:c>
      <x:c r="L322" s="23" t="n">
        <x:v>619.2611083984375</x:v>
      </x:c>
      <x:c r="M322" s="23" t="n">
        <x:v>629.3533528645833</x:v>
      </x:c>
      <x:c r="N322" s="23" t="n">
        <x:v>634.0496419270833</x:v>
      </x:c>
      <x:c r="O322" s="23" t="n">
        <x:v>641.0528157552083</x:v>
      </x:c>
      <x:c r="P322" s="23" t="n">
        <x:v>640.7073974609375</x:v>
      </x:c>
      <x:c r="Q322" s="23" t="n">
        <x:v>622.2066243489583</x:v>
      </x:c>
      <x:c r="R322" s="23" t="n">
        <x:v>626.628173828125</x:v>
      </x:c>
      <x:c r="S322" s="23" t="n">
        <x:v>1492.2269694010415</x:v>
      </x:c>
      <x:c r="T322" s="23" t="n">
        <x:v>1462.8182779947915</x:v>
      </x:c>
      <x:c r="U322" s="23" t="n">
        <x:v>635.7751871744791</x:v>
      </x:c>
      <x:c r="V322" s="23" t="n">
        <x:v>662.2797037760416</x:v>
      </x:c>
      <x:c r="W322" s="23" t="n">
        <x:v>673.2637532552083</x:v>
      </x:c>
      <x:c r="X322" s="23" t="n">
        <x:v>674.2012939453125</x:v>
      </x:c>
      <x:c r="Y322" s="23" t="n">
        <x:v>659.72998046875</x:v>
      </x:c>
      <x:c r="Z322" s="23" t="n">
        <x:v>648.0125732421875</x:v>
      </x:c>
      <x:c r="AA322" s="23" t="n">
        <x:v>655.2655436197916</x:v>
      </x:c>
      <x:c r="AB322" s="23" t="n">
        <x:v>669.145751953125</x:v>
      </x:c>
      <x:c r="AC322" s="23" t="n">
        <x:v>666.8155517578125</x:v>
      </x:c>
      <x:c r="AD322" s="23" t="n">
        <x:v>665.1812744140625</x:v>
      </x:c>
      <x:c r="AE322" s="23" t="n">
        <x:v>682.2413330078125</x:v>
      </x:c>
      <x:c r="AF322" s="23" t="n">
        <x:v>694.3033040364583</x:v>
      </x:c>
      <x:c r="AG322" s="23" t="n">
        <x:v>714.81103515625</x:v>
      </x:c>
      <x:c r="AH322" s="23" t="n">
        <x:v>715.731689453125</x:v>
      </x:c>
      <x:c r="AI322" s="23" t="n">
        <x:v>686.6632486979166</x:v>
      </x:c>
      <x:c r="AJ322" s="23" t="n">
        <x:v>768.6588541666666</x:v>
      </x:c>
      <x:c r="AK322" s="23" t="n">
        <x:v>894.6429850260416</x:v>
      </x:c>
      <x:c r="AL322" s="23" t="n">
        <x:v>910.5943196614583</x:v>
      </x:c>
      <x:c r="AM322" s="23" t="n">
        <x:v>897.319580078125</x:v>
      </x:c>
      <x:c r="AN322" s="23" t="n">
        <x:v>890.1730143229166</x:v>
      </x:c>
      <x:c r="AO322" s="23" t="n">
        <x:v>891.5949289452353</x:v>
      </x:c>
      <x:c r="AP322" s="23" t="n">
        <x:v>903.4549153645833</x:v>
      </x:c>
      <x:c r="AQ322" s="23" t="n">
        <x:v>893.6558845350174</x:v>
      </x:c>
      <x:c r="AR322" s="23" t="n">
        <x:v>868.4176403212389</x:v>
      </x:c>
      <x:c r="AS322" s="23" t="n">
        <x:v>818.6622500691143</x:v>
      </x:c>
      <x:c r="AT322" s="23" t="n">
        <x:v>741.6403158117282</x:v>
      </x:c>
      <x:c r="AU322" s="23" t="n">
        <x:v>700.3587154918996</x:v>
      </x:c>
      <x:c r="AV322" s="23" t="n">
        <x:v>749.9860946549103</x:v>
      </x:c>
      <x:c r="AW322" s="23" t="n">
        <x:v>133.44240024301143</x:v>
      </x:c>
      <x:c r="AX322" s="23" t="n">
        <x:v>114.4249653870238</x:v>
      </x:c>
      <x:c r="AY322" s="23" t="n">
        <x:v>41.22441389069202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486.4611760309341</x:v>
      </x:c>
      <x:c r="BG322" s="23" t="n">
        <x:v>477.56065306431196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0</x:v>
      </x:c>
      <x:c r="BM322" s="23" t="n">
        <x:v>0</x:v>
      </x:c>
      <x:c r="BN322" s="23" t="n">
        <x:v>0</x:v>
      </x:c>
      <x:c r="BO322" s="23" t="n">
        <x:v>1073.003565934791</x:v>
      </x:c>
      <x:c r="BP322" s="23" t="n">
        <x:v>1062.6907000543683</x:v>
      </x:c>
      <x:c r="BQ322" s="23" t="n">
        <x:v>1047.6713103822894</x:v>
      </x:c>
      <x:c r="BR322" s="23" t="n">
        <x:v>1033.5221057961191</x:v>
      </x:c>
      <x:c r="BS322" s="23" t="n">
        <x:v>1026.477349354403</x:v>
      </x:c>
      <x:c r="BT322" s="23" t="n">
        <x:v>996.79770306257</x:v>
      </x:c>
      <x:c r="BU322" s="23" t="n">
        <x:v>969.994855464162</x:v>
      </x:c>
      <x:c r="BV322" s="23" t="n">
        <x:v>957.2943503135223</x:v>
      </x:c>
      <x:c r="BW322" s="23" t="n">
        <x:v>955.0073411098452</x:v>
      </x:c>
      <x:c r="BX322" s="23" t="n">
        <x:v>965.7540683042167</x:v>
      </x:c>
      <x:c r="BY322" s="23" t="n">
        <x:v>978.593843073501</x:v>
      </x:c>
      <x:c r="BZ322" s="23" t="n">
        <x:v>998.9277383611145</x:v>
      </x:c>
      <x:c r="CA322" s="23" t="n">
        <x:v>201.11318254736852</x:v>
      </x:c>
      <x:c r="CB322" s="23" t="n">
        <x:v>220.96030807120374</x:v>
      </x:c>
      <x:c r="CC322" s="23" t="n">
        <x:v>233.54782532715276</x:v>
      </x:c>
      <x:c r="CD322" s="23" t="n">
        <x:v>231.79934425187759</x:v>
      </x:c>
      <x:c r="CE322" s="23" t="n">
        <x:v>257.7189266790647</x:v>
      </x:c>
      <x:c r="CF322" s="23" t="n">
        <x:v>281.6623711019044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1344.7023360196536</x:v>
      </x:c>
      <x:c r="CN322" s="23" t="n">
        <x:v>1393.9589350903698</x:v>
      </x:c>
      <x:c r="CO322" s="23" t="n">
        <x:v>1442.960505125297</x:v>
      </x:c>
      <x:c r="CP322" s="23" t="n">
        <x:v>1487.829544914665</x:v>
      </x:c>
      <x:c r="CQ322" s="23" t="n">
        <x:v>715.4703492306982</x:v>
      </x:c>
      <x:c r="CR322" s="23" t="n">
        <x:v>743.0329660148261</x:v>
      </x:c>
      <x:c r="CS322" s="23" t="n">
        <x:v>784.7248687042011</x:v>
      </x:c>
      <x:c r="CT322" s="23" t="n">
        <x:v>825.7066778415558</x:v>
      </x:c>
      <x:c r="CU322" s="23" t="n">
        <x:v>866.7302491430373</x:v>
      </x:c>
      <x:c r="CV322" s="23" t="n">
        <x:v>916.6408013068508</x:v>
      </x:c>
      <x:c r="CW322" s="23" t="n">
        <x:v>963.8778837667128</x:v>
      </x:c>
      <x:c r="CX322" s="23" t="n">
        <x:v>998.044851022395</x:v>
      </x:c>
      <x:c r="CY322" s="23" t="n">
        <x:v>1014.9601472911678</x:v>
      </x:c>
      <x:c r="CZ322" s="23" t="n">
        <x:v>1022.252685546875</x:v>
      </x:c>
      <x:c r="DA322" s="23" t="n">
        <x:v>1016.2486997261892</x:v>
      </x:c>
      <x:c r="DB322" s="23" t="n">
        <x:v>1026.802734375</x:v>
      </x:c>
      <x:c r="DC322" s="23" t="n">
        <x:v>1054.48828125</x:v>
      </x:c>
      <x:c r="DD322" s="23" t="n">
        <x:v>932.1233723958333</x:v>
      </x:c>
      <x:c r="DE322" s="23" t="n">
        <x:v>733.3308919270833</x:v>
      </x:c>
      <x:c r="DF322" s="23" t="n">
        <x:v>714.4807942708333</x:v>
      </x:c>
      <x:c r="DG322" s="23" t="n">
        <x:v>726.8590494791666</x:v>
      </x:c>
      <x:c r="DH322" s="23" t="n">
        <x:v>725.2122395833333</x:v>
      </x:c>
      <x:c r="DI322" s="23" t="n">
        <x:v>725.25</x:v>
      </x:c>
      <x:c r="DJ322" s="23" t="n">
        <x:v>723.8504231770833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41.62784570312381</x:v>
      </x:c>
      <x:c r="DW322" s="23" t="n">
        <x:v>727.3817545572916</x:v>
      </x:c>
      <x:c r="DX322" s="23" t="n">
        <x:v>727.935546875</x:v>
      </x:c>
      <x:c r="DY322" s="23" t="n">
        <x:v>731.260986328125</x:v>
      </x:c>
      <x:c r="DZ322" s="23" t="n">
        <x:v>736.2532552083333</x:v>
      </x:c>
      <x:c r="EA322" s="23" t="n">
        <x:v>734.8461817317709</x:v>
      </x:c>
      <x:c r="EB322" s="23" t="n">
        <x:v>673.388983346354</x:v>
      </x:c>
      <x:c r="EC322" s="23" t="n">
        <x:v>1392.1347249348958</x:v>
      </x:c>
      <x:c r="ED322" s="23" t="n">
        <x:v>1384.138427734375</x:v>
      </x:c>
      <x:c r="EE322" s="23" t="n">
        <x:v>563.4493001302083</x:v>
      </x:c>
      <x:c r="EF322" s="23" t="n">
        <x:v>557.1412353515625</x:v>
      </x:c>
      <x:c r="EG322" s="23" t="n">
        <x:v>1377.2958170572915</x:v>
      </x:c>
      <x:c r="EH322" s="23" t="n">
        <x:v>852.7134892738878</x:v>
      </x:c>
      <x:c r="EI322" s="23" t="n">
        <x:v>574.3606363932291</x:v>
      </x:c>
      <x:c r="EJ322" s="23" t="n">
        <x:v>571.9751790364583</x:v>
      </x:c>
      <x:c r="EK322" s="23" t="n">
        <x:v>1405.6541748046875</x:v>
      </x:c>
      <x:c r="EL322" s="23" t="n">
        <x:v>581.7213541666666</x:v>
      </x:c>
      <x:c r="EM322" s="23" t="n">
        <x:v>588.5122477213541</x:v>
      </x:c>
      <x:c r="EN322" s="23" t="n">
        <x:v>1375.583780924479</x:v>
      </x:c>
      <x:c r="EO322" s="23" t="n">
        <x:v>1275.2083333333333</x:v>
      </x:c>
      <x:c r="EP322" s="23" t="n">
        <x:f>SUM(B322:EO322)</x:f>
        <x:v>92614.74435237005</x:v>
      </x:c>
      <x:c r="EQ322" s="23" t="n">
        <x:f>SUMPRODUCT(B322:EO322,{0.42,0.4523,0.4451,0.4458,0.4387,0.4212,0.421,0.4641,0.4804,0.3833,0.3887,0.5084,0.5305,0.4731,0.4287,0.4644,0.4934,0.4978,0.53,0.502,0.4384,0.4629,0.5006,0.5053,0.5059,0.513,0.5227,0.5248,0.52,0.5101,0.4971,0.489,0.4704,0.4629,0.7143,1.0549,1.0357,0.973,1.02,1.0172,0.9925,0.9881,1.0077,1.0426,1.0182,0.909,1.1095,1.464,1.4008,1.2912,1.3371,1.3643,1.3436,1.2897,1.2323,1.2447,1.2801,1.2357,1.2968,1.4564,1.4966,1.4216,1.3496,1.3578,1.1569,0.8183,0.7248,0.7039,0.6649,0.6948,0.6922,0.6326,0.6029,0.6289,0.6247,0.5193,0.6603,0.9929,1.0922,1.0784,1.0612,1.0389,1.1631,1.3673,1.4107,1.3835,1.395,1.4213,1.194,0.8604,0.8616,0.9234,0.9087,0.9495,0.9714,0.9657,1.0075,1.0298,1.0248,1.0609,1.129,1.1776,1.1606,1.1356,1.1219,1.1035,1.1756,1.2837,1.2664,1.2402,1.245,1.2261,1.3303,1.4969,1.5034,1.5122,1.564,1.5341,1.5143,1.5432,1.5586,1.5366,1.5316,1.5699,1.3192,0.9254,0.8999,0.9574,0.9547,0.9911,0.7724,0.4348,0.4468,0.4896,0.4146,0.4009,0.4489,0.4779,0.4195,0.3773,0.4041,0.449,0.4265,0.3508})</x:f>
        <x:v>68672.91292650667</x:v>
      </x:c>
    </x:row>
    <x:row r="323" ht="14" customHeight="1">
      <x:c r="A323" s="3">
        <x:v>46010</x:v>
      </x:c>
      <x:c r="B323" s="23" t="n">
        <x:v>1256.5155436197915</x:v>
      </x:c>
      <x:c r="C323" s="23" t="n">
        <x:v>1267.420694986979</x:v>
      </x:c>
      <x:c r="D323" s="23" t="n">
        <x:v>444.0291341145833</x:v>
      </x:c>
      <x:c r="E323" s="23" t="n">
        <x:v>443.57291666666663</x:v>
      </x:c>
      <x:c r="F323" s="23" t="n">
        <x:v>1274.8352864583333</x:v>
      </x:c>
      <x:c r="G323" s="23" t="n">
        <x:v>877.6532577851733</x:v>
      </x:c>
      <x:c r="H323" s="23" t="n">
        <x:v>441.1242268880208</x:v>
      </x:c>
      <x:c r="I323" s="23" t="n">
        <x:v>447.5841878255208</x:v>
      </x:c>
      <x:c r="J323" s="23" t="n">
        <x:v>1297.8384602864583</x:v>
      </x:c>
      <x:c r="K323" s="23" t="n">
        <x:v>464.8106282552083</x:v>
      </x:c>
      <x:c r="L323" s="23" t="n">
        <x:v>477.7720947265625</x:v>
      </x:c>
      <x:c r="M323" s="23" t="n">
        <x:v>482.61783854166663</x:v>
      </x:c>
      <x:c r="N323" s="23" t="n">
        <x:v>470.4493408203125</x:v>
      </x:c>
      <x:c r="O323" s="23" t="n">
        <x:v>456.0860595703125</x:v>
      </x:c>
      <x:c r="P323" s="23" t="n">
        <x:v>465.08231608072913</x:v>
      </x:c>
      <x:c r="Q323" s="23" t="n">
        <x:v>495.8913167317708</x:v>
      </x:c>
      <x:c r="R323" s="23" t="n">
        <x:v>496.62259928385413</x:v>
      </x:c>
      <x:c r="S323" s="23" t="n">
        <x:v>473.805908203125</x:v>
      </x:c>
      <x:c r="T323" s="23" t="n">
        <x:v>484.1236572265625</x:v>
      </x:c>
      <x:c r="U323" s="23" t="n">
        <x:v>487.6707356770833</x:v>
      </x:c>
      <x:c r="V323" s="23" t="n">
        <x:v>479.0072835286458</x:v>
      </x:c>
      <x:c r="W323" s="23" t="n">
        <x:v>1320.6705729166665</x:v>
      </x:c>
      <x:c r="X323" s="23" t="n">
        <x:v>1326.2042643229165</x:v>
      </x:c>
      <x:c r="Y323" s="23" t="n">
        <x:v>482.4351806640625</x:v>
      </x:c>
      <x:c r="Z323" s="23" t="n">
        <x:v>513.6370442708333</x:v>
      </x:c>
      <x:c r="AA323" s="23" t="n">
        <x:v>530.7711995442708</x:v>
      </x:c>
      <x:c r="AB323" s="23" t="n">
        <x:v>533.5616861979166</x:v>
      </x:c>
      <x:c r="AC323" s="23" t="n">
        <x:v>518.2245686848958</x:v>
      </x:c>
      <x:c r="AD323" s="23" t="n">
        <x:v>518.1459554036458</x:v>
      </x:c>
      <x:c r="AE323" s="23" t="n">
        <x:v>526.9515787760416</x:v>
      </x:c>
      <x:c r="AF323" s="23" t="n">
        <x:v>521.5536702473958</x:v>
      </x:c>
      <x:c r="AG323" s="23" t="n">
        <x:v>523.2747395833333</x:v>
      </x:c>
      <x:c r="AH323" s="23" t="n">
        <x:v>529.0904541015625</x:v>
      </x:c>
      <x:c r="AI323" s="23" t="n">
        <x:v>520.3091227213541</x:v>
      </x:c>
      <x:c r="AJ323" s="23" t="n">
        <x:v>522.7621663411458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0</x:v>
      </x:c>
      <x:c r="AU323" s="23" t="n">
        <x:v>0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278.9241167515097</x:v>
      </x:c>
      <x:c r="BP323" s="23" t="n">
        <x:v>590.8951772699438</x:v>
      </x:c>
      <x:c r="BQ323" s="23" t="n">
        <x:v>559.0334297365982</x:v>
      </x:c>
      <x:c r="BR323" s="23" t="n">
        <x:v>544.3062116948095</x:v>
      </x:c>
      <x:c r="BS323" s="23" t="n">
        <x:v>534.1055127382401</x:v>
      </x:c>
      <x:c r="BT323" s="23" t="n">
        <x:v>543.2619542630148</x:v>
      </x:c>
      <x:c r="BU323" s="23" t="n">
        <x:v>0</x:v>
      </x:c>
      <x:c r="BV323" s="23" t="n">
        <x:v>0</x:v>
      </x:c>
      <x:c r="BW323" s="23" t="n">
        <x:v>0</x:v>
      </x:c>
      <x:c r="BX323" s="23" t="n">
        <x:v>532.3294013473826</x:v>
      </x:c>
      <x:c r="BY323" s="23" t="n">
        <x:v>515.4378881723911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38.84003632183993</x:v>
      </x:c>
      <x:c r="CN323" s="23" t="n">
        <x:v>99.06843811541489</x:v>
      </x:c>
      <x:c r="CO323" s="23" t="n">
        <x:v>152.07990308013547</x:v>
      </x:c>
      <x:c r="CP323" s="23" t="n">
        <x:v>185.3910721739158</x:v>
      </x:c>
      <x:c r="CQ323" s="23" t="n">
        <x:v>240.88440331421225</x:v>
      </x:c>
      <x:c r="CR323" s="23" t="n">
        <x:v>293.05807631063817</x:v>
      </x:c>
      <x:c r="CS323" s="23" t="n">
        <x:v>334.0613899950271</x:v>
      </x:c>
      <x:c r="CT323" s="23" t="n">
        <x:v>369.69159677009486</x:v>
      </x:c>
      <x:c r="CU323" s="23" t="n">
        <x:v>402.75827770599346</x:v>
      </x:c>
      <x:c r="CV323" s="23" t="n">
        <x:v>452.2463524075498</x:v>
      </x:c>
      <x:c r="CW323" s="23" t="n">
        <x:v>498.8023542587807</x:v>
      </x:c>
      <x:c r="CX323" s="23" t="n">
        <x:v>490.3896386447846</x:v>
      </x:c>
      <x:c r="CY323" s="23" t="n">
        <x:v>448.404824923091</x:v>
      </x:c>
      <x:c r="CZ323" s="23" t="n">
        <x:v>477.8924153645833</x:v>
      </x:c>
      <x:c r="DA323" s="23" t="n">
        <x:v>468.5634914463926</x:v>
      </x:c>
      <x:c r="DB323" s="23" t="n">
        <x:v>458.38993326822913</x:v>
      </x:c>
      <x:c r="DC323" s="23" t="n">
        <x:v>458.98681640625</x:v>
      </x:c>
      <x:c r="DD323" s="23" t="n">
        <x:v>82.56342545572996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472.9014892578125</x:v>
      </x:c>
      <x:c r="DX323" s="23" t="n">
        <x:v>456.03055826822913</x:v>
      </x:c>
      <x:c r="DY323" s="23" t="n">
        <x:v>455.7684326171875</x:v>
      </x:c>
      <x:c r="DZ323" s="23" t="n">
        <x:v>458.9995930989583</x:v>
      </x:c>
      <x:c r="EA323" s="23" t="n">
        <x:v>464.63370582031246</x:v>
      </x:c>
      <x:c r="EB323" s="23" t="n">
        <x:v>444.2408771223957</x:v>
      </x:c>
      <x:c r="EC323" s="23" t="n">
        <x:v>1235.76611328125</x:v>
      </x:c>
      <x:c r="ED323" s="23" t="n">
        <x:v>1229.1407063802083</x:v>
      </x:c>
      <x:c r="EE323" s="23" t="n">
        <x:v>407.05224609375</x:v>
      </x:c>
      <x:c r="EF323" s="23" t="n">
        <x:v>1236.015869140625</x:v>
      </x:c>
      <x:c r="EG323" s="23" t="n">
        <x:v>1230.8330891927083</x:v>
      </x:c>
      <x:c r="EH323" s="23" t="n">
        <x:v>405.260986328125</x:v>
      </x:c>
      <x:c r="EI323" s="23" t="n">
        <x:v>1243.250284830729</x:v>
      </x:c>
      <x:c r="EJ323" s="23" t="n">
        <x:v>410.86767578125</x:v>
      </x:c>
      <x:c r="EK323" s="23" t="n">
        <x:v>423.08463541666663</x:v>
      </x:c>
      <x:c r="EL323" s="23" t="n">
        <x:v>425.599365234375</x:v>
      </x:c>
      <x:c r="EM323" s="23" t="n">
        <x:v>1258.2945963541665</x:v>
      </x:c>
      <x:c r="EN323" s="23" t="n">
        <x:v>718.7982612565908</x:v>
      </x:c>
      <x:c r="EO323" s="23" t="n">
        <x:v>426.6646321614583</x:v>
      </x:c>
      <x:c r="EP323" s="23" t="n">
        <x:f>SUM(B323:EO323)</x:f>
        <x:v>45825.67494662674</x:v>
      </x:c>
      <x:c r="EQ323" s="23" t="n">
        <x:f>SUMPRODUCT(B323:EO323,{0.3225,0.3573,0.3916,0.3513,0.3452,0.3803,0.3568,0.334,0.3244,0.2973,0.3881,0.4983,0.3824,0.2982,0.3501,0.3868,0.3638,0.3448,0.4094,0.4006,0.3317,0.3708,0.393,0.3707,0.4038,0.4172,0.3882,0.3826,0.4249,0.4532,0.3874,0.3622,0.3883,0.3817,0.5759,0.8678,0.8798,0.8006,0.7816,0.7924,0.8066,0.8437,0.9288,0.9466,0.8634,0.7863,0.9015,1.0978,1.0728,1.0132,1.0123,0.9844,1,1.0523,1.0453,1.0004,0.9484,0.9153,0.9841,1.1055,1.1275,1.0746,1.0479,1.0793,0.8268,0.4408,0.4426,0.5089,0.4502,0.412,0.4685,0.5165,0.4034,0.3866,0.4843,0.4826,0.6003,0.8079,0.828,0.8225,0.8466,0.808,0.8956,1.0851,1.1454,1.1601,1.1942,1.1819,0.9506,0.6516,0.6373,0.6783,0.653,0.6639,0.6819,0.6919,0.7171,0.738,0.7613,0.8049,0.7869,0.7378,0.775,0.814,0.7889,0.7463,0.8871,1.1215,1.1504,1.1418,1.1706,1.1528,1.2154,1.3384,1.3625,1.3717,1.394,1.3607,1.2955,1.2741,1.3452,1.348,1.3142,1.3819,1.1653,0.7741,0.7457,0.8245,0.8442,0.8596,0.6506,0.3254,0.2621,0.3226,0.3499,0.3265,0.3331,0.3684,0.3547,0.326,0.3172,0.3322,0.3615,0.3917})</x:f>
        <x:v>20457.45032790857</x:v>
      </x:c>
    </x:row>
    <x:row r="324" ht="14" customHeight="1">
      <x:c r="A324" s="3">
        <x:v>46011</x:v>
      </x:c>
      <x:c r="B324" s="23" t="n">
        <x:v>1263.1061197916665</x:v>
      </x:c>
      <x:c r="C324" s="23" t="n">
        <x:v>1267.3794759114583</x:v>
      </x:c>
      <x:c r="D324" s="23" t="n">
        <x:v>446.65275065104163</x:v>
      </x:c>
      <x:c r="E324" s="23" t="n">
        <x:v>446.586669921875</x:v>
      </x:c>
      <x:c r="F324" s="23" t="n">
        <x:v>445.036865234375</x:v>
      </x:c>
      <x:c r="G324" s="23" t="n">
        <x:v>446.9390462239583</x:v>
      </x:c>
      <x:c r="H324" s="23" t="n">
        <x:v>446.3035888671875</x:v>
      </x:c>
      <x:c r="I324" s="23" t="n">
        <x:v>446.9251302083333</x:v>
      </x:c>
      <x:c r="J324" s="23" t="n">
        <x:v>1282.797607421875</x:v>
      </x:c>
      <x:c r="K324" s="23" t="n">
        <x:v>1288.246378580729</x:v>
      </x:c>
      <x:c r="L324" s="23" t="n">
        <x:v>1305.207275390625</x:v>
      </x:c>
      <x:c r="M324" s="23" t="n">
        <x:v>488.59619140625</x:v>
      </x:c>
      <x:c r="N324" s="23" t="n">
        <x:v>496.031982421875</x:v>
      </x:c>
      <x:c r="O324" s="23" t="n">
        <x:v>475.2288411458333</x:v>
      </x:c>
      <x:c r="P324" s="23" t="n">
        <x:v>470.905029296875</x:v>
      </x:c>
      <x:c r="Q324" s="23" t="n">
        <x:v>1313.2518717447915</x:v>
      </x:c>
      <x:c r="R324" s="23" t="n">
        <x:v>474.248291015625</x:v>
      </x:c>
      <x:c r="S324" s="23" t="n">
        <x:v>498.48331705729163</x:v>
      </x:c>
      <x:c r="T324" s="23" t="n">
        <x:v>497.6226399739583</x:v>
      </x:c>
      <x:c r="U324" s="23" t="n">
        <x:v>756.1169883860614</x:v>
      </x:c>
      <x:c r="V324" s="23" t="n">
        <x:v>492.1051025390625</x:v>
      </x:c>
      <x:c r="W324" s="23" t="n">
        <x:v>484.83740234375</x:v>
      </x:c>
      <x:c r="X324" s="23" t="n">
        <x:v>504.8858642578125</x:v>
      </x:c>
      <x:c r="Y324" s="23" t="n">
        <x:v>513.1194254557291</x:v>
      </x:c>
      <x:c r="Z324" s="23" t="n">
        <x:v>513.0718587239583</x:v>
      </x:c>
      <x:c r="AA324" s="23" t="n">
        <x:v>512.6859537760416</x:v>
      </x:c>
      <x:c r="AB324" s="23" t="n">
        <x:v>516.8333333333333</x:v>
      </x:c>
      <x:c r="AC324" s="23" t="n">
        <x:v>516.4471435546875</x:v>
      </x:c>
      <x:c r="AD324" s="23" t="n">
        <x:v>519.5051676432291</x:v>
      </x:c>
      <x:c r="AE324" s="23" t="n">
        <x:v>0</x:v>
      </x:c>
      <x:c r="AF324" s="23" t="n">
        <x:v>524.8791910807291</x:v>
      </x:c>
      <x:c r="AG324" s="23" t="n">
        <x:v>523.8876139322916</x:v>
      </x:c>
      <x:c r="AH324" s="23" t="n">
        <x:v>511.97021484375</x:v>
      </x:c>
      <x:c r="AI324" s="23" t="n">
        <x:v>1353.1683349609375</x:v>
      </x:c>
      <x:c r="AJ324" s="23" t="n">
        <x:v>529.0064290364583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0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0</x:v>
      </x:c>
      <x:c r="BP324" s="23" t="n">
        <x:v>584.6261858682967</x:v>
      </x:c>
      <x:c r="BQ324" s="23" t="n">
        <x:v>0</x:v>
      </x:c>
      <x:c r="BR324" s="23" t="n">
        <x:v>536.1623349402375</x:v>
      </x:c>
      <x:c r="BS324" s="23" t="n">
        <x:v>539.2376380705361</x:v>
      </x:c>
      <x:c r="BT324" s="23" t="n">
        <x:v>534.0964977579615</x:v>
      </x:c>
      <x:c r="BU324" s="23" t="n">
        <x:v>516.7395637313998</x:v>
      </x:c>
      <x:c r="BV324" s="23" t="n">
        <x:v>508.06110807493616</x:v>
      </x:c>
      <x:c r="BW324" s="23" t="n">
        <x:v>402.0946202743765</x:v>
      </x:c>
      <x:c r="BX324" s="23" t="n">
        <x:v>0</x:v>
      </x:c>
      <x:c r="BY324" s="23" t="n">
        <x:v>546.9231132988068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65.32078987404785</x:v>
      </x:c>
      <x:c r="CN324" s="23" t="n">
        <x:v>141.50449265950402</x:v>
      </x:c>
      <x:c r="CO324" s="23" t="n">
        <x:v>160.13405575470006</x:v>
      </x:c>
      <x:c r="CP324" s="23" t="n">
        <x:v>191.66605892150113</x:v>
      </x:c>
      <x:c r="CQ324" s="23" t="n">
        <x:v>234.14133089661405</x:v>
      </x:c>
      <x:c r="CR324" s="23" t="n">
        <x:v>278.38862791078446</x:v>
      </x:c>
      <x:c r="CS324" s="23" t="n">
        <x:v>316.96188448094927</x:v>
      </x:c>
      <x:c r="CT324" s="23" t="n">
        <x:v>377.5088549075231</x:v>
      </x:c>
      <x:c r="CU324" s="23" t="n">
        <x:v>426.9116549466248</x:v>
      </x:c>
      <x:c r="CV324" s="23" t="n">
        <x:v>461.94998834274156</x:v>
      </x:c>
      <x:c r="CW324" s="23" t="n">
        <x:v>180.10447826841929</x:v>
      </x:c>
      <x:c r="CX324" s="23" t="n">
        <x:v>509.6974534377058</x:v>
      </x:c>
      <x:c r="CY324" s="23" t="n">
        <x:v>447.58892882443075</x:v>
      </x:c>
      <x:c r="CZ324" s="23" t="n">
        <x:v>452.1070556640625</x:v>
      </x:c>
      <x:c r="DA324" s="23" t="n">
        <x:v>452.7233639975227</x:v>
      </x:c>
      <x:c r="DB324" s="23" t="n">
        <x:v>450.907958984375</x:v>
      </x:c>
      <x:c r="DC324" s="23" t="n">
        <x:v>448.4881591796875</x:v>
      </x:c>
      <x:c r="DD324" s="23" t="n">
        <x:v>449.0489501953125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456.2635498046875</x:v>
      </x:c>
      <x:c r="DX324" s="23" t="n">
        <x:v>463.7623291015625</x:v>
      </x:c>
      <x:c r="DY324" s="23" t="n">
        <x:v>463.8262939453125</x:v>
      </x:c>
      <x:c r="DZ324" s="23" t="n">
        <x:v>458.35575358072913</x:v>
      </x:c>
      <x:c r="EA324" s="23" t="n">
        <x:v>463.84919999999994</x:v>
      </x:c>
      <x:c r="EB324" s="23" t="n">
        <x:v>450.5303955078125</x:v>
      </x:c>
      <x:c r="EC324" s="23" t="n">
        <x:v>401.4940185546875</x:v>
      </x:c>
      <x:c r="ED324" s="23" t="n">
        <x:v>1228.7615966796875</x:v>
      </x:c>
      <x:c r="EE324" s="23" t="n">
        <x:v>1237.7677408854165</x:v>
      </x:c>
      <x:c r="EF324" s="23" t="n">
        <x:v>1233.771036783854</x:v>
      </x:c>
      <x:c r="EG324" s="23" t="n">
        <x:v>1234.6664225260415</x:v>
      </x:c>
      <x:c r="EH324" s="23" t="n">
        <x:v>1237.91748046875</x:v>
      </x:c>
      <x:c r="EI324" s="23" t="n">
        <x:v>561.023399703415</x:v>
      </x:c>
      <x:c r="EJ324" s="23" t="n">
        <x:v>416.1123860677083</x:v>
      </x:c>
      <x:c r="EK324" s="23" t="n">
        <x:v>418.82596842447913</x:v>
      </x:c>
      <x:c r="EL324" s="23" t="n">
        <x:v>422.23291015625</x:v>
      </x:c>
      <x:c r="EM324" s="23" t="n">
        <x:v>1259.4303792317708</x:v>
      </x:c>
      <x:c r="EN324" s="23" t="n">
        <x:v>1297.3358968098958</x:v>
      </x:c>
      <x:c r="EO324" s="23" t="n">
        <x:v>0</x:v>
      </x:c>
      <x:c r="EP324" s="23" t="n">
        <x:f>SUM(B324:EO324)</x:f>
        <x:v>46491.091003628564</x:v>
      </x:c>
      <x:c r="EQ324" s="23" t="n">
        <x:f>SUMPRODUCT(B324:EO324,{0.4043,0.3686,0.3194,0.3326,0.3727,0.3844,0.3444,0.3232,0.3512,0.391,0.3913,0.358,0.3439,0.3493,0.361,0.3692,0.3803,0.4064,0.4439,0.4258,0.3851,0.4172,0.4111,0.3671,0.3974,0.409,0.3937,0.4357,0.441,0.4007,0.4102,0.4589,0.4555,0.3583,0.5095,0.8178,0.8373,0.8124,0.8591,0.8397,0.8263,0.8522,0.8659,0.8525,0.7967,0.7248,0.861,1.1219,1.1705,1.0795,1.0051,1.0342,1.0733,1.0577,1.012,1.0141,1.0149,0.9152,0.9618,1.1247,1.1106,1.0264,1.0233,1.0906,0.8362,0.4252,0.4342,0.5002,0.4544,0.4865,0.4831,0.4124,0.3823,0.407,0.4242,0.3918,0.5358,0.7799,0.806,0.8024,0.8393,0.8092,0.875,1.0214,1.0578,1.0817,1.1561,1.1959,0.9792,0.6555,0.6174,0.6232,0.5689,0.603,0.6821,0.7269,0.7018,0.6834,0.7215,0.7901,0.7813,0.7362,0.7975,0.8446,0.7928,0.7064,0.8186,1.0609,1.1284,1.1348,1.1568,1.1537,1.1907,1.2728,1.3306,1.3506,1.3598,1.3841,1.3483,1.2963,1.3478,1.3574,1.3297,1.3716,1.1544,0.7812,0.7245,0.7717,0.7991,0.8613,0.6818,0.3614,0.3072,0.3098,0.2632,0.2847,0.331,0.3522,0.3425,0.326,0.3172,0.3201,0.3649,0.4221})</x:f>
        <x:v>20615.017974571358</x:v>
      </x:c>
    </x:row>
    <x:row r="325" ht="14" customHeight="1">
      <x:c r="A325" s="3">
        <x:v>46012</x:v>
      </x:c>
      <x:c r="B325" s="23" t="n">
        <x:v>1420.3748372395833</x:v>
      </x:c>
      <x:c r="C325" s="23" t="n">
        <x:v>1410.8648681640625</x:v>
      </x:c>
      <x:c r="D325" s="23" t="n">
        <x:v>586.3328857421875</x:v>
      </x:c>
      <x:c r="E325" s="23" t="n">
        <x:v>602.1549072265625</x:v>
      </x:c>
      <x:c r="F325" s="23" t="n">
        <x:v>614.923828125</x:v>
      </x:c>
      <x:c r="G325" s="23" t="n">
        <x:v>605.1410319010416</x:v>
      </x:c>
      <x:c r="H325" s="23" t="n">
        <x:v>600.0089518229166</x:v>
      </x:c>
      <x:c r="I325" s="23" t="n">
        <x:v>602.4485270182291</x:v>
      </x:c>
      <x:c r="J325" s="23" t="n">
        <x:v>1450.4932861328125</x:v>
      </x:c>
      <x:c r="K325" s="23" t="n">
        <x:v>608.9005940755208</x:v>
      </x:c>
      <x:c r="L325" s="23" t="n">
        <x:v>1448.2533772786458</x:v>
      </x:c>
      <x:c r="M325" s="23" t="n">
        <x:v>1462.7342936197915</x:v>
      </x:c>
      <x:c r="N325" s="23" t="n">
        <x:v>621.4430745442708</x:v>
      </x:c>
      <x:c r="O325" s="23" t="n">
        <x:v>629.7177327473958</x:v>
      </x:c>
      <x:c r="P325" s="23" t="n">
        <x:v>640.2347412109375</x:v>
      </x:c>
      <x:c r="Q325" s="23" t="n">
        <x:v>653.2298583984375</x:v>
      </x:c>
      <x:c r="R325" s="23" t="n">
        <x:v>654.8715006510416</x:v>
      </x:c>
      <x:c r="S325" s="23" t="n">
        <x:v>1481.1341145833333</x:v>
      </x:c>
      <x:c r="T325" s="23" t="n">
        <x:v>650.0561930338541</x:v>
      </x:c>
      <x:c r="U325" s="23" t="n">
        <x:v>648.6664225260416</x:v>
      </x:c>
      <x:c r="V325" s="23" t="n">
        <x:v>649.6200764973958</x:v>
      </x:c>
      <x:c r="W325" s="23" t="n">
        <x:v>1075.62966932388</x:v>
      </x:c>
      <x:c r="X325" s="23" t="n">
        <x:v>643.2875162760416</x:v>
      </x:c>
      <x:c r="Y325" s="23" t="n">
        <x:v>667.6082763671875</x:v>
      </x:c>
      <x:c r="Z325" s="23" t="n">
        <x:v>659.0619710286458</x:v>
      </x:c>
      <x:c r="AA325" s="23" t="n">
        <x:v>673.4621175130208</x:v>
      </x:c>
      <x:c r="AB325" s="23" t="n">
        <x:v>701.1118977864583</x:v>
      </x:c>
      <x:c r="AC325" s="23" t="n">
        <x:v>711.0469563802083</x:v>
      </x:c>
      <x:c r="AD325" s="23" t="n">
        <x:v>691.9149576822916</x:v>
      </x:c>
      <x:c r="AE325" s="23" t="n">
        <x:v>0</x:v>
      </x:c>
      <x:c r="AF325" s="23" t="n">
        <x:v>697.0003662109373</x:v>
      </x:c>
      <x:c r="AG325" s="23" t="n">
        <x:v>702.938232421875</x:v>
      </x:c>
      <x:c r="AH325" s="23" t="n">
        <x:v>662.4796549479166</x:v>
      </x:c>
      <x:c r="AI325" s="23" t="n">
        <x:v>1508.2392578125</x:v>
      </x:c>
      <x:c r="AJ325" s="23" t="n">
        <x:v>764.2308756510416</x:v>
      </x:c>
      <x:c r="AK325" s="23" t="n">
        <x:v>869.6836751302083</x:v>
      </x:c>
      <x:c r="AL325" s="23" t="n">
        <x:v>871.059326171875</x:v>
      </x:c>
      <x:c r="AM325" s="23" t="n">
        <x:v>871.3899739583333</x:v>
      </x:c>
      <x:c r="AN325" s="23" t="n">
        <x:v>875.4891764322916</x:v>
      </x:c>
      <x:c r="AO325" s="23" t="n">
        <x:v>871.275721842364</x:v>
      </x:c>
      <x:c r="AP325" s="23" t="n">
        <x:v>869.13720703125</x:v>
      </x:c>
      <x:c r="AQ325" s="23" t="n">
        <x:v>871.0366018896714</x:v>
      </x:c>
      <x:c r="AR325" s="23" t="n">
        <x:v>844.2401860571429</x:v>
      </x:c>
      <x:c r="AS325" s="23" t="n">
        <x:v>811.7262246089863</x:v>
      </x:c>
      <x:c r="AT325" s="23" t="n">
        <x:v>771.7882575954011</x:v>
      </x:c>
      <x:c r="AU325" s="23" t="n">
        <x:v>702.0037260053252</x:v>
      </x:c>
      <x:c r="AV325" s="23" t="n">
        <x:v>786.2383129673374</x:v>
      </x:c>
      <x:c r="AW325" s="23" t="n">
        <x:v>151.12885712078165</x:v>
      </x:c>
      <x:c r="AX325" s="23" t="n">
        <x:v>128.23588503631981</x:v>
      </x:c>
      <x:c r="AY325" s="23" t="n">
        <x:v>54.06651870495837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26.08207617703374</x:v>
      </x:c>
      <x:c r="BE325" s="23" t="n">
        <x:v>581.9813133292882</x:v>
      </x:c>
      <x:c r="BF325" s="23" t="n">
        <x:v>0</x:v>
      </x:c>
      <x:c r="BG325" s="23" t="n">
        <x:v>475.5146257556858</x:v>
      </x:c>
      <x:c r="BH325" s="23" t="n">
        <x:v>0</x:v>
      </x:c>
      <x:c r="BI325" s="23" t="n">
        <x:v>0</x:v>
      </x:c>
      <x:c r="BJ325" s="23" t="n">
        <x:v>0</x:v>
      </x:c>
      <x:c r="BK325" s="23" t="n">
        <x:v>0</x:v>
      </x:c>
      <x:c r="BL325" s="23" t="n">
        <x:v>0</x:v>
      </x:c>
      <x:c r="BM325" s="23" t="n">
        <x:v>0</x:v>
      </x:c>
      <x:c r="BN325" s="23" t="n">
        <x:v>0</x:v>
      </x:c>
      <x:c r="BO325" s="23" t="n">
        <x:v>1058.8859880402892</x:v>
      </x:c>
      <x:c r="BP325" s="23" t="n">
        <x:v>1031.317899071998</x:v>
      </x:c>
      <x:c r="BQ325" s="23" t="n">
        <x:v>1008.7987212720291</x:v>
      </x:c>
      <x:c r="BR325" s="23" t="n">
        <x:v>1002.521937232812</x:v>
      </x:c>
      <x:c r="BS325" s="23" t="n">
        <x:v>997.3516027294318</x:v>
      </x:c>
      <x:c r="BT325" s="23" t="n">
        <x:v>968.7711176228854</x:v>
      </x:c>
      <x:c r="BU325" s="23" t="n">
        <x:v>926.2706182650907</x:v>
      </x:c>
      <x:c r="BV325" s="23" t="n">
        <x:v>910.6678006501127</x:v>
      </x:c>
      <x:c r="BW325" s="23" t="n">
        <x:v>920.4618958182357</x:v>
      </x:c>
      <x:c r="BX325" s="23" t="n">
        <x:v>936.7722470812297</x:v>
      </x:c>
      <x:c r="BY325" s="23" t="n">
        <x:v>927.7008101696043</x:v>
      </x:c>
      <x:c r="BZ325" s="23" t="n">
        <x:v>947.3160270001827</x:v>
      </x:c>
      <x:c r="CA325" s="23" t="n">
        <x:v>150.62276111317198</x:v>
      </x:c>
      <x:c r="CB325" s="23" t="n">
        <x:v>186.04290119233792</x:v>
      </x:c>
      <x:c r="CC325" s="23" t="n">
        <x:v>217.6868451772249</x:v>
      </x:c>
      <x:c r="CD325" s="23" t="n">
        <x:v>246.95248151227284</x:v>
      </x:c>
      <x:c r="CE325" s="23" t="n">
        <x:v>259.1112529783595</x:v>
      </x:c>
      <x:c r="CF325" s="23" t="n">
        <x:v>0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1357.7626747385298</x:v>
      </x:c>
      <x:c r="CN325" s="23" t="n">
        <x:v>1402.424716884198</x:v>
      </x:c>
      <x:c r="CO325" s="23" t="n">
        <x:v>1442.1907186082274</x:v>
      </x:c>
      <x:c r="CP325" s="23" t="n">
        <x:v>654.4738918433475</x:v>
      </x:c>
      <x:c r="CQ325" s="23" t="n">
        <x:v>700.4949043214825</x:v>
      </x:c>
      <x:c r="CR325" s="23" t="n">
        <x:v>1126.1924754445463</x:v>
      </x:c>
      <x:c r="CS325" s="23" t="n">
        <x:v>1595.5463623309129</x:v>
      </x:c>
      <x:c r="CT325" s="23" t="n">
        <x:v>809.3940150560841</x:v>
      </x:c>
      <x:c r="CU325" s="23" t="n">
        <x:v>855.4900970210088</x:v>
      </x:c>
      <x:c r="CV325" s="23" t="n">
        <x:v>908.155689979226</x:v>
      </x:c>
      <x:c r="CW325" s="23" t="n">
        <x:v>961.7449297677285</x:v>
      </x:c>
      <x:c r="CX325" s="23" t="n">
        <x:v>996.8322618836628</x:v>
      </x:c>
      <x:c r="CY325" s="23" t="n">
        <x:v>1013.709109376453</x:v>
      </x:c>
      <x:c r="CZ325" s="23" t="n">
        <x:v>1029.4054361979165</x:v>
      </x:c>
      <x:c r="DA325" s="23" t="n">
        <x:v>1032.2856553918627</x:v>
      </x:c>
      <x:c r="DB325" s="23" t="n">
        <x:v>1040.3470052083333</x:v>
      </x:c>
      <x:c r="DC325" s="23" t="n">
        <x:v>1046.90234375</x:v>
      </x:c>
      <x:c r="DD325" s="23" t="n">
        <x:v>908.36083984375</x:v>
      </x:c>
      <x:c r="DE325" s="23" t="n">
        <x:v>719.91552734375</x:v>
      </x:c>
      <x:c r="DF325" s="23" t="n">
        <x:v>719.0547688802083</x:v>
      </x:c>
      <x:c r="DG325" s="23" t="n">
        <x:v>733.1434733072916</x:v>
      </x:c>
      <x:c r="DH325" s="23" t="n">
        <x:v>713.1673177083333</x:v>
      </x:c>
      <x:c r="DI325" s="23" t="n">
        <x:v>718.7123209635416</x:v>
      </x:c>
      <x:c r="DJ325" s="23" t="n">
        <x:v>729.012939453125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109.41635742187532</x:v>
      </x:c>
      <x:c r="DW325" s="23" t="n">
        <x:v>728.8565504838607</x:v>
      </x:c>
      <x:c r="DX325" s="23" t="n">
        <x:v>719.6676064573687</x:v>
      </x:c>
      <x:c r="DY325" s="23" t="n">
        <x:v>713.6861165364583</x:v>
      </x:c>
      <x:c r="DZ325" s="23" t="n">
        <x:v>726.0401204427083</x:v>
      </x:c>
      <x:c r="EA325" s="23" t="n">
        <x:v>736.9804093749999</x:v>
      </x:c>
      <x:c r="EB325" s="23" t="n">
        <x:v>676.4208577473958</x:v>
      </x:c>
      <x:c r="EC325" s="23" t="n">
        <x:v>562.0144856770833</x:v>
      </x:c>
      <x:c r="ED325" s="23" t="n">
        <x:v>555.2573649088541</x:v>
      </x:c>
      <x:c r="EE325" s="23" t="n">
        <x:v>574.5697021484375</x:v>
      </x:c>
      <x:c r="EF325" s="23" t="n">
        <x:v>1400.1283772786458</x:v>
      </x:c>
      <x:c r="EG325" s="23" t="n">
        <x:v>1384.060791015625</x:v>
      </x:c>
      <x:c r="EH325" s="23" t="n">
        <x:v>835.5833181423615</x:v>
      </x:c>
      <x:c r="EI325" s="23" t="n">
        <x:v>566.1094970703125</x:v>
      </x:c>
      <x:c r="EJ325" s="23" t="n">
        <x:v>1418.881876627604</x:v>
      </x:c>
      <x:c r="EK325" s="23" t="n">
        <x:v>1418.204833984375</x:v>
      </x:c>
      <x:c r="EL325" s="23" t="n">
        <x:v>584.7440185546875</x:v>
      </x:c>
      <x:c r="EM325" s="23" t="n">
        <x:v>571.2479654947916</x:v>
      </x:c>
      <x:c r="EN325" s="23" t="n">
        <x:v>1417.1407470703125</x:v>
      </x:c>
      <x:c r="EO325" s="23" t="n">
        <x:v>1422.9152018229165</x:v>
      </x:c>
      <x:c r="EP325" s="23" t="n">
        <x:f>SUM(B325:EO325)</x:f>
        <x:v>92665.59309824678</x:v>
      </x:c>
      <x:c r="EQ325" s="23" t="n">
        <x:f>SUMPRODUCT(B325:EO325,{0.4264,0.4293,0.4388,0.4138,0.41,0.4471,0.4797,0.4466,0.3961,0.4368,0.475,0.4651,0.455,0.4629,0.4713,0.4513,0.4352,0.4577,0.5147,0.5083,0.4686,0.5119,0.5023,0.4324,0.4412,0.4805,0.5015,0.5024,0.4798,0.4753,0.535,0.5436,0.468,0.4338,0.6915,1.0594,1.081,1.0359,1.0597,1.0176,1.0168,1.0595,1.0282,0.9987,0.9724,0.9109,1.0903,1.4063,1.4458,1.3908,1.3742,1.345,1.3284,1.3231,1.2929,1.2522,1.2211,1.2184,1.2822,1.3753,1.4027,1.3591,1.3321,1.3769,1.1651,0.8057,0.7611,0.7807,0.7378,0.7527,0.7117,0.6418,0.6936,0.7105,0.6294,0.5829,0.7799,1.0833,1.1248,1.0564,1.0304,1.0675,1.1926,1.3352,1.3689,1.3382,1.3596,1.4656,1.2648,0.8874,0.882,0.9712,0.9596,0.9392,0.9693,1.0104,0.98,0.9673,1.0182,1.0861,1.1066,1.0879,1.0972,1.1283,1.1382,1.103,1.1407,1.2479,1.2957,1.2826,1.238,1.2107,1.3293,1.5214,1.5659,1.5266,1.4847,1.4671,1.5039,1.5483,1.5137,1.4654,1.488,1.5616,1.3465,0.9601,0.8829,0.9151,0.9345,0.9815,0.7546,0.4001,0.4032,0.4747,0.4323,0.3905,0.4205,0.4738,0.4471,0.4314,0.4502,0.4334,0.406,0.4032})</x:f>
        <x:v>69020.16232460321</x:v>
      </x:c>
    </x:row>
    <x:row r="326" ht="14" customHeight="1">
      <x:c r="A326" s="3">
        <x:v>46013</x:v>
      </x:c>
      <x:c r="B326" s="23" t="n">
        <x:v>1411.3794759114583</x:v>
      </x:c>
      <x:c r="C326" s="23" t="n">
        <x:v>1414.2353515625</x:v>
      </x:c>
      <x:c r="D326" s="23" t="n">
        <x:v>590.2140706380208</x:v>
      </x:c>
      <x:c r="E326" s="23" t="n">
        <x:v>592.9261474609375</x:v>
      </x:c>
      <x:c r="F326" s="23" t="n">
        <x:v>594.9683430989583</x:v>
      </x:c>
      <x:c r="G326" s="23" t="n">
        <x:v>608.2820638020833</x:v>
      </x:c>
      <x:c r="H326" s="23" t="n">
        <x:v>600.6451822916666</x:v>
      </x:c>
      <x:c r="I326" s="23" t="n">
        <x:v>1435.2177327473958</x:v>
      </x:c>
      <x:c r="J326" s="23" t="n">
        <x:v>1442.44580078125</x:v>
      </x:c>
      <x:c r="K326" s="23" t="n">
        <x:v>605.1913248697916</x:v>
      </x:c>
      <x:c r="L326" s="23" t="n">
        <x:v>606.5193684895833</x:v>
      </x:c>
      <x:c r="M326" s="23" t="n">
        <x:v>629.2548014322916</x:v>
      </x:c>
      <x:c r="N326" s="23" t="n">
        <x:v>987.4909381438094</x:v>
      </x:c>
      <x:c r="O326" s="23" t="n">
        <x:v>625.2254231770833</x:v>
      </x:c>
      <x:c r="P326" s="23" t="n">
        <x:v>617.8033854166666</x:v>
      </x:c>
      <x:c r="Q326" s="23" t="n">
        <x:v>637.6321614583333</x:v>
      </x:c>
      <x:c r="R326" s="23" t="n">
        <x:v>647.0099283854166</x:v>
      </x:c>
      <x:c r="S326" s="23" t="n">
        <x:v>1474.0114339192708</x:v>
      </x:c>
      <x:c r="T326" s="23" t="n">
        <x:v>640.482421875</x:v>
      </x:c>
      <x:c r="U326" s="23" t="n">
        <x:v>653.6734212239583</x:v>
      </x:c>
      <x:c r="V326" s="23" t="n">
        <x:v>646.693359375</x:v>
      </x:c>
      <x:c r="W326" s="23" t="n">
        <x:v>701.8075358072916</x:v>
      </x:c>
      <x:c r="X326" s="23" t="n">
        <x:v>1526.537109375</x:v>
      </x:c>
      <x:c r="Y326" s="23" t="n">
        <x:v>671.658447265625</x:v>
      </x:c>
      <x:c r="Z326" s="23" t="n">
        <x:v>673.510986328125</x:v>
      </x:c>
      <x:c r="AA326" s="23" t="n">
        <x:v>673.8773600260416</x:v>
      </x:c>
      <x:c r="AB326" s="23" t="n">
        <x:v>648.2986653645833</x:v>
      </x:c>
      <x:c r="AC326" s="23" t="n">
        <x:v>675.3647867838541</x:v>
      </x:c>
      <x:c r="AD326" s="23" t="n">
        <x:v>686.671875</x:v>
      </x:c>
      <x:c r="AE326" s="23" t="n">
        <x:v>678.56689453125</x:v>
      </x:c>
      <x:c r="AF326" s="23" t="n">
        <x:v>689.9989420572916</x:v>
      </x:c>
      <x:c r="AG326" s="23" t="n">
        <x:v>703.0205891927083</x:v>
      </x:c>
      <x:c r="AH326" s="23" t="n">
        <x:v>691.6929524739583</x:v>
      </x:c>
      <x:c r="AI326" s="23" t="n">
        <x:v>676.2759195963541</x:v>
      </x:c>
      <x:c r="AJ326" s="23" t="n">
        <x:v>764.3681640625</x:v>
      </x:c>
      <x:c r="AK326" s="23" t="n">
        <x:v>887.9217936197916</x:v>
      </x:c>
      <x:c r="AL326" s="23" t="n">
        <x:v>893.0281575520833</x:v>
      </x:c>
      <x:c r="AM326" s="23" t="n">
        <x:v>891.633544921875</x:v>
      </x:c>
      <x:c r="AN326" s="23" t="n">
        <x:v>917.5185546875</x:v>
      </x:c>
      <x:c r="AO326" s="23" t="n">
        <x:v>886.8408688307761</x:v>
      </x:c>
      <x:c r="AP326" s="23" t="n">
        <x:v>873.7119954427083</x:v>
      </x:c>
      <x:c r="AQ326" s="23" t="n">
        <x:v>873.5101295184552</x:v>
      </x:c>
      <x:c r="AR326" s="23" t="n">
        <x:v>840.0421128189324</x:v>
      </x:c>
      <x:c r="AS326" s="23" t="n">
        <x:v>809.634750238046</x:v>
      </x:c>
      <x:c r="AT326" s="23" t="n">
        <x:v>755.3183336343305</x:v>
      </x:c>
      <x:c r="AU326" s="23" t="n">
        <x:v>696.7208069845638</x:v>
      </x:c>
      <x:c r="AV326" s="23" t="n">
        <x:v>778.7784000884476</x:v>
      </x:c>
      <x:c r="AW326" s="23" t="n">
        <x:v>141.48625658156075</x:v>
      </x:c>
      <x:c r="AX326" s="23" t="n">
        <x:v>118.72638155279961</x:v>
      </x:c>
      <x:c r="AY326" s="23" t="n">
        <x:v>46.79428370107371</x:v>
      </x:c>
      <x:c r="AZ326" s="23" t="n">
        <x:v>10.82332359362681</x:v>
      </x:c>
      <x:c r="BA326" s="23" t="n">
        <x:v>0</x:v>
      </x:c>
      <x:c r="BB326" s="23" t="n">
        <x:v>0</x:v>
      </x:c>
      <x:c r="BC326" s="23" t="n">
        <x:v>0</x:v>
      </x:c>
      <x:c r="BD326" s="23" t="n">
        <x:v>481.7710247827224</x:v>
      </x:c>
      <x:c r="BE326" s="23" t="n">
        <x:v>0</x:v>
      </x:c>
      <x:c r="BF326" s="23" t="n">
        <x:v>0</x:v>
      </x:c>
      <x:c r="BG326" s="23" t="n">
        <x:v>477.74686929154433</x:v>
      </x:c>
      <x:c r="BH326" s="23" t="n">
        <x:v>0</x:v>
      </x:c>
      <x:c r="BI326" s="23" t="n">
        <x:v>0</x:v>
      </x:c>
      <x:c r="BJ326" s="23" t="n">
        <x:v>0</x:v>
      </x:c>
      <x:c r="BK326" s="23" t="n">
        <x:v>0</x:v>
      </x:c>
      <x:c r="BL326" s="23" t="n">
        <x:v>0</x:v>
      </x:c>
      <x:c r="BM326" s="23" t="n">
        <x:v>0</x:v>
      </x:c>
      <x:c r="BN326" s="23" t="n">
        <x:v>0</x:v>
      </x:c>
      <x:c r="BO326" s="23" t="n">
        <x:v>1087.688865160907</x:v>
      </x:c>
      <x:c r="BP326" s="23" t="n">
        <x:v>1067.6413930235742</x:v>
      </x:c>
      <x:c r="BQ326" s="23" t="n">
        <x:v>1051.3239307489648</x:v>
      </x:c>
      <x:c r="BR326" s="23" t="n">
        <x:v>1035.357826753086</x:v>
      </x:c>
      <x:c r="BS326" s="23" t="n">
        <x:v>1009.4572703248887</x:v>
      </x:c>
      <x:c r="BT326" s="23" t="n">
        <x:v>971.9909279415133</x:v>
      </x:c>
      <x:c r="BU326" s="23" t="n">
        <x:v>938.6644672356448</x:v>
      </x:c>
      <x:c r="BV326" s="23" t="n">
        <x:v>922.1031174648912</x:v>
      </x:c>
      <x:c r="BW326" s="23" t="n">
        <x:v>919.9525718373667</x:v>
      </x:c>
      <x:c r="BX326" s="23" t="n">
        <x:v>936.616627772322</x:v>
      </x:c>
      <x:c r="BY326" s="23" t="n">
        <x:v>956.995044362017</x:v>
      </x:c>
      <x:c r="BZ326" s="23" t="n">
        <x:v>979.0980654747593</x:v>
      </x:c>
      <x:c r="CA326" s="23" t="n">
        <x:v>180.6460523822616</x:v>
      </x:c>
      <x:c r="CB326" s="23" t="n">
        <x:v>202.75007415832033</x:v>
      </x:c>
      <x:c r="CC326" s="23" t="n">
        <x:v>208.4413414386187</x:v>
      </x:c>
      <x:c r="CD326" s="23" t="n">
        <x:v>222.56800929343615</x:v>
      </x:c>
      <x:c r="CE326" s="23" t="n">
        <x:v>241.02293281417738</x:v>
      </x:c>
      <x:c r="CF326" s="23" t="n">
        <x:v>0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1360.2510727103281</x:v>
      </x:c>
      <x:c r="CN326" s="23" t="n">
        <x:v>1407.6378246237005</x:v>
      </x:c>
      <x:c r="CO326" s="23" t="n">
        <x:v>1447.6878766287</x:v>
      </x:c>
      <x:c r="CP326" s="23" t="n">
        <x:v>665.0407618596264</x:v>
      </x:c>
      <x:c r="CQ326" s="23" t="n">
        <x:v>689.8293344423938</x:v>
      </x:c>
      <x:c r="CR326" s="23" t="n">
        <x:v>1559.562087748035</x:v>
      </x:c>
      <x:c r="CS326" s="23" t="n">
        <x:v>776.5016164978684</x:v>
      </x:c>
      <x:c r="CT326" s="23" t="n">
        <x:v>817.4438988998238</x:v>
      </x:c>
      <x:c r="CU326" s="23" t="n">
        <x:v>863.9110884417674</x:v>
      </x:c>
      <x:c r="CV326" s="23" t="n">
        <x:v>1278.063550394135</x:v>
      </x:c>
      <x:c r="CW326" s="23" t="n">
        <x:v>955.6819450341551</x:v>
      </x:c>
      <x:c r="CX326" s="23" t="n">
        <x:v>986.1936107321113</x:v>
      </x:c>
      <x:c r="CY326" s="23" t="n">
        <x:v>1009.8630747728967</x:v>
      </x:c>
      <x:c r="CZ326" s="23" t="n">
        <x:v>1021.8533528645833</x:v>
      </x:c>
      <x:c r="DA326" s="23" t="n">
        <x:v>1017.2616686659878</x:v>
      </x:c>
      <x:c r="DB326" s="23" t="n">
        <x:v>1032.8173014322915</x:v>
      </x:c>
      <x:c r="DC326" s="23" t="n">
        <x:v>1043.260986328125</x:v>
      </x:c>
      <x:c r="DD326" s="23" t="n">
        <x:v>909.4781901041666</x:v>
      </x:c>
      <x:c r="DE326" s="23" t="n">
        <x:v>702.0086263020833</x:v>
      </x:c>
      <x:c r="DF326" s="23" t="n">
        <x:v>694.7979329427083</x:v>
      </x:c>
      <x:c r="DG326" s="23" t="n">
        <x:v>724.6009928385416</x:v>
      </x:c>
      <x:c r="DH326" s="23" t="n">
        <x:v>715.24462890625</x:v>
      </x:c>
      <x:c r="DI326" s="23" t="n">
        <x:v>719.9795735677083</x:v>
      </x:c>
      <x:c r="DJ326" s="23" t="n">
        <x:v>727.2718912760416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66.7590540364562</x:v>
      </x:c>
      <x:c r="DW326" s="23" t="n">
        <x:v>713.4267578125</x:v>
      </x:c>
      <x:c r="DX326" s="23" t="n">
        <x:v>719.0860925363296</x:v>
      </x:c>
      <x:c r="DY326" s="23" t="n">
        <x:v>704.141357421875</x:v>
      </x:c>
      <x:c r="DZ326" s="23" t="n">
        <x:v>718.5122884114583</x:v>
      </x:c>
      <x:c r="EA326" s="23" t="n">
        <x:v>730.6875</x:v>
      </x:c>
      <x:c r="EB326" s="23" t="n">
        <x:v>669.7881997135415</x:v>
      </x:c>
      <x:c r="EC326" s="23" t="n">
        <x:v>1384.7770182291665</x:v>
      </x:c>
      <x:c r="ED326" s="23" t="n">
        <x:v>1376.0325927734375</x:v>
      </x:c>
      <x:c r="EE326" s="23" t="n">
        <x:v>1395.9804280598958</x:v>
      </x:c>
      <x:c r="EF326" s="23" t="n">
        <x:v>1392.9853515625</x:v>
      </x:c>
      <x:c r="EG326" s="23" t="n">
        <x:v>1393.0311279296875</x:v>
      </x:c>
      <x:c r="EH326" s="23" t="n">
        <x:v>1394.4591064453125</x:v>
      </x:c>
      <x:c r="EI326" s="23" t="n">
        <x:v>565.4030354817708</x:v>
      </x:c>
      <x:c r="EJ326" s="23" t="n">
        <x:v>568.2972819010416</x:v>
      </x:c>
      <x:c r="EK326" s="23" t="n">
        <x:v>863.4667996680491</x:v>
      </x:c>
      <x:c r="EL326" s="23" t="n">
        <x:v>573.4032796223958</x:v>
      </x:c>
      <x:c r="EM326" s="23" t="n">
        <x:v>584.64306640625</x:v>
      </x:c>
      <x:c r="EN326" s="23" t="n">
        <x:v>585.1946614583333</x:v>
      </x:c>
      <x:c r="EO326" s="23" t="n">
        <x:v>574.5034586588541</x:v>
      </x:c>
      <x:c r="EP326" s="23" t="n">
        <x:f>SUM(B326:EO326)</x:f>
        <x:v>92338.09981609552</x:v>
      </x:c>
      <x:c r="EQ326" s="23" t="n">
        <x:f>SUMPRODUCT(B326:EO326,{0.4307,0.4384,0.4257,0.4346,0.4258,0.4197,0.4809,0.5333,0.5332,0.5091,0.5021,0.4996,0.4644,0.4786,0.5312,0.5176,0.4541,0.408,0.4367,0.4809,0.5029,0.5131,0.51,0.5083,0.5269,0.5278,0.5048,0.4925,0.5013,0.5078,0.4853,0.4957,0.5027,0.4529,0.6836,1.0671,1.0979,1.0081,1.0026,1.0502,1.0527,1.0166,1.0301,1.0337,0.9831,0.9346,1.1155,1.4025,1.4258,1.388,1.402,1.3739,1.3342,1.3023,1.2619,1.236,1.2265,1.2238,1.2896,1.3748,1.3568,1.3286,1.3573,1.3734,1.1066,0.7213,0.6815,0.7274,0.7057,0.7139,0.6882,0.6429,0.6752,0.7284,0.73,0.6851,0.8026,1.0278,1.0847,1.0655,1.053,1.0512,1.1597,1.3296,1.3987,1.4394,1.5053,1.5251,1.2648,0.8954,0.8647,0.9535,0.9871,1.001,1.0096,1.0103,0.9988,0.9976,1.033,1.1028,1.1122,1.0909,1.155,1.1802,1.132,1.1115,1.1542,1.2311,1.2786,1.282,1.2627,1.2699,1.3664,1.4941,1.5226,1.5246,1.5553,1.5876,1.5482,1.4974,1.5581,1.5364,1.4711,1.5491,1.3281,0.9179,0.9066,0.9646,0.9438,0.9933,0.7975,0.4493,0.3971,0.4076,0.3709,0.4177,0.4477,0.4213,0.4086,0.4268,0.4507,0.4436,0.4347,0.4409})</x:f>
        <x:v>69612.41148431711</x:v>
      </x:c>
    </x:row>
    <x:row r="327" ht="14" customHeight="1">
      <x:c r="A327" s="3">
        <x:v>46014</x:v>
      </x:c>
      <x:c r="B327" s="23" t="n">
        <x:v>1423.5753987630208</x:v>
      </x:c>
      <x:c r="C327" s="23" t="n">
        <x:v>1433.0951334635415</x:v>
      </x:c>
      <x:c r="D327" s="23" t="n">
        <x:v>605.8270670572916</x:v>
      </x:c>
      <x:c r="E327" s="23" t="n">
        <x:v>598.4913736979166</x:v>
      </x:c>
      <x:c r="F327" s="23" t="n">
        <x:v>1433.9269612630208</x:v>
      </x:c>
      <x:c r="G327" s="23" t="n">
        <x:v>607.0915120442708</x:v>
      </x:c>
      <x:c r="H327" s="23" t="n">
        <x:v>605.0966389973958</x:v>
      </x:c>
      <x:c r="I327" s="23" t="n">
        <x:v>608.470703125</x:v>
      </x:c>
      <x:c r="J327" s="23" t="n">
        <x:v>1450.0184326171875</x:v>
      </x:c>
      <x:c r="K327" s="23" t="n">
        <x:v>1451.3603108723958</x:v>
      </x:c>
      <x:c r="L327" s="23" t="n">
        <x:v>611.07080078125</x:v>
      </x:c>
      <x:c r="M327" s="23" t="n">
        <x:v>621.269775390625</x:v>
      </x:c>
      <x:c r="N327" s="23" t="n">
        <x:v>637.9981282552083</x:v>
      </x:c>
      <x:c r="O327" s="23" t="n">
        <x:v>639.3902587890625</x:v>
      </x:c>
      <x:c r="P327" s="23" t="n">
        <x:v>623.580078125</x:v>
      </x:c>
      <x:c r="Q327" s="23" t="n">
        <x:v>636.2812093098958</x:v>
      </x:c>
      <x:c r="R327" s="23" t="n">
        <x:v>1050.174929766269</x:v>
      </x:c>
      <x:c r="S327" s="23" t="n">
        <x:v>1477.45166015625</x:v>
      </x:c>
      <x:c r="T327" s="23" t="n">
        <x:v>656.14697265625</x:v>
      </x:c>
      <x:c r="U327" s="23" t="n">
        <x:v>674.2168782552083</x:v>
      </x:c>
      <x:c r="V327" s="23" t="n">
        <x:v>678.330810546875</x:v>
      </x:c>
      <x:c r="W327" s="23" t="n">
        <x:v>662.0570068359375</x:v>
      </x:c>
      <x:c r="X327" s="23" t="n">
        <x:v>652.4512125651041</x:v>
      </x:c>
      <x:c r="Y327" s="23" t="n">
        <x:v>672.3069661458333</x:v>
      </x:c>
      <x:c r="Z327" s="23" t="n">
        <x:v>673.5929768880208</x:v>
      </x:c>
      <x:c r="AA327" s="23" t="n">
        <x:v>677.1604817708333</x:v>
      </x:c>
      <x:c r="AB327" s="23" t="n">
        <x:v>679.3516031901041</x:v>
      </x:c>
      <x:c r="AC327" s="23" t="n">
        <x:v>697.1844889322916</x:v>
      </x:c>
      <x:c r="AD327" s="23" t="n">
        <x:v>700.2643229166666</x:v>
      </x:c>
      <x:c r="AE327" s="23" t="n">
        <x:v>685.9312337239583</x:v>
      </x:c>
      <x:c r="AF327" s="23" t="n">
        <x:v>691.3642578125</x:v>
      </x:c>
      <x:c r="AG327" s="23" t="n">
        <x:v>713.0100911458333</x:v>
      </x:c>
      <x:c r="AH327" s="23" t="n">
        <x:v>711.3382975260416</x:v>
      </x:c>
      <x:c r="AI327" s="23" t="n">
        <x:v>660.7453206380208</x:v>
      </x:c>
      <x:c r="AJ327" s="23" t="n">
        <x:v>739.6998697916666</x:v>
      </x:c>
      <x:c r="AK327" s="23" t="n">
        <x:v>894.3787434895833</x:v>
      </x:c>
      <x:c r="AL327" s="23" t="n">
        <x:v>897.9970703125</x:v>
      </x:c>
      <x:c r="AM327" s="23" t="n">
        <x:v>888.548828125</x:v>
      </x:c>
      <x:c r="AN327" s="23" t="n">
        <x:v>896.4573567708333</x:v>
      </x:c>
      <x:c r="AO327" s="23" t="n">
        <x:v>871.93721430776</x:v>
      </x:c>
      <x:c r="AP327" s="23" t="n">
        <x:v>875.6192220052083</x:v>
      </x:c>
      <x:c r="AQ327" s="23" t="n">
        <x:v>868.4068120464495</x:v>
      </x:c>
      <x:c r="AR327" s="23" t="n">
        <x:v>852.5031471766412</x:v>
      </x:c>
      <x:c r="AS327" s="23" t="n">
        <x:v>826.0452771401343</x:v>
      </x:c>
      <x:c r="AT327" s="23" t="n">
        <x:v>781.1605386582933</x:v>
      </x:c>
      <x:c r="AU327" s="23" t="n">
        <x:v>732.628365772695</x:v>
      </x:c>
      <x:c r="AV327" s="23" t="n">
        <x:v>780.5850605440532</x:v>
      </x:c>
      <x:c r="AW327" s="23" t="n">
        <x:v>146.19158237271236</x:v>
      </x:c>
      <x:c r="AX327" s="23" t="n">
        <x:v>125.18625955608468</x:v>
      </x:c>
      <x:c r="AY327" s="23" t="n">
        <x:v>38.343466329512765</x:v>
      </x:c>
      <x:c r="AZ327" s="23" t="n">
        <x:v>3.491423869624062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437.4889530906583</x:v>
      </x:c>
      <x:c r="BG327" s="23" t="n">
        <x:v>466.6167499171812</x:v>
      </x:c>
      <x:c r="BH327" s="23" t="n">
        <x:v>0</x:v>
      </x:c>
      <x:c r="BI327" s="23" t="n">
        <x:v>0</x:v>
      </x:c>
      <x:c r="BJ327" s="23" t="n">
        <x:v>0</x:v>
      </x:c>
      <x:c r="BK327" s="23" t="n">
        <x:v>0</x:v>
      </x:c>
      <x:c r="BL327" s="23" t="n">
        <x:v>0</x:v>
      </x:c>
      <x:c r="BM327" s="23" t="n">
        <x:v>0</x:v>
      </x:c>
      <x:c r="BN327" s="23" t="n">
        <x:v>0</x:v>
      </x:c>
      <x:c r="BO327" s="23" t="n">
        <x:v>1073.372088933992</x:v>
      </x:c>
      <x:c r="BP327" s="23" t="n">
        <x:v>1056.1267913794677</x:v>
      </x:c>
      <x:c r="BQ327" s="23" t="n">
        <x:v>1044.0988537751537</x:v>
      </x:c>
      <x:c r="BR327" s="23" t="n">
        <x:v>1018.8973568218892</x:v>
      </x:c>
      <x:c r="BS327" s="23" t="n">
        <x:v>1010.0704695966142</x:v>
      </x:c>
      <x:c r="BT327" s="23" t="n">
        <x:v>973.3857646015227</x:v>
      </x:c>
      <x:c r="BU327" s="23" t="n">
        <x:v>925.2273626665261</x:v>
      </x:c>
      <x:c r="BV327" s="23" t="n">
        <x:v>917.0734638487677</x:v>
      </x:c>
      <x:c r="BW327" s="23" t="n">
        <x:v>923.4909165467764</x:v>
      </x:c>
      <x:c r="BX327" s="23" t="n">
        <x:v>930.5081155514836</x:v>
      </x:c>
      <x:c r="BY327" s="23" t="n">
        <x:v>940.5795552967953</x:v>
      </x:c>
      <x:c r="BZ327" s="23" t="n">
        <x:v>976.068071926605</x:v>
      </x:c>
      <x:c r="CA327" s="23" t="n">
        <x:v>165.67344578750667</x:v>
      </x:c>
      <x:c r="CB327" s="23" t="n">
        <x:v>208.2142486077708</x:v>
      </x:c>
      <x:c r="CC327" s="23" t="n">
        <x:v>226.77107043396092</x:v>
      </x:c>
      <x:c r="CD327" s="23" t="n">
        <x:v>228.70763428604306</x:v>
      </x:c>
      <x:c r="CE327" s="23" t="n">
        <x:v>244.4116032260196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1352.960309010843</x:v>
      </x:c>
      <x:c r="CN327" s="23" t="n">
        <x:v>1401.495821709564</x:v>
      </x:c>
      <x:c r="CO327" s="23" t="n">
        <x:v>609.9458615958911</x:v>
      </x:c>
      <x:c r="CP327" s="23" t="n">
        <x:v>1101.243807560625</x:v>
      </x:c>
      <x:c r="CQ327" s="23" t="n">
        <x:v>1521.5628238032946</x:v>
      </x:c>
      <x:c r="CR327" s="23" t="n">
        <x:v>1563.8810572993264</x:v>
      </x:c>
      <x:c r="CS327" s="23" t="n">
        <x:v>769.969358453589</x:v>
      </x:c>
      <x:c r="CT327" s="23" t="n">
        <x:v>814.8008163650875</x:v>
      </x:c>
      <x:c r="CU327" s="23" t="n">
        <x:v>858.5990747123985</x:v>
      </x:c>
      <x:c r="CV327" s="23" t="n">
        <x:v>904.287019451123</x:v>
      </x:c>
      <x:c r="CW327" s="23" t="n">
        <x:v>958.1746213561792</x:v>
      </x:c>
      <x:c r="CX327" s="23" t="n">
        <x:v>987.750213130693</x:v>
      </x:c>
      <x:c r="CY327" s="23" t="n">
        <x:v>1011.831614144334</x:v>
      </x:c>
      <x:c r="CZ327" s="23" t="n">
        <x:v>1027.2393391927083</x:v>
      </x:c>
      <x:c r="DA327" s="23" t="n">
        <x:v>1036.0059372032247</x:v>
      </x:c>
      <x:c r="DB327" s="23" t="n">
        <x:v>1031.92724609375</x:v>
      </x:c>
      <x:c r="DC327" s="23" t="n">
        <x:v>1042.1315104166665</x:v>
      </x:c>
      <x:c r="DD327" s="23" t="n">
        <x:v>922.6946614583333</x:v>
      </x:c>
      <x:c r="DE327" s="23" t="n">
        <x:v>725.7581380208333</x:v>
      </x:c>
      <x:c r="DF327" s="23" t="n">
        <x:v>722.6549479166666</x:v>
      </x:c>
      <x:c r="DG327" s="23" t="n">
        <x:v>730.1161295572916</x:v>
      </x:c>
      <x:c r="DH327" s="23" t="n">
        <x:v>724.156494140625</x:v>
      </x:c>
      <x:c r="DI327" s="23" t="n">
        <x:v>725.0435384114583</x:v>
      </x:c>
      <x:c r="DJ327" s="23" t="n">
        <x:v>725.1006673177083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119.50600911458355</x:v>
      </x:c>
      <x:c r="DW327" s="23" t="n">
        <x:v>726.6346028645833</x:v>
      </x:c>
      <x:c r="DX327" s="23" t="n">
        <x:v>736.3330197643392</x:v>
      </x:c>
      <x:c r="DY327" s="23" t="n">
        <x:v>730.4783528645833</x:v>
      </x:c>
      <x:c r="DZ327" s="23" t="n">
        <x:v>727.52978515625</x:v>
      </x:c>
      <x:c r="EA327" s="23" t="n">
        <x:v>735.5775553385416</x:v>
      </x:c>
      <x:c r="EB327" s="23" t="n">
        <x:v>677.396324140625</x:v>
      </x:c>
      <x:c r="EC327" s="23" t="n">
        <x:v>556.6263427734375</x:v>
      </x:c>
      <x:c r="ED327" s="23" t="n">
        <x:v>1388.6260579427083</x:v>
      </x:c>
      <x:c r="EE327" s="23" t="n">
        <x:v>1389.9977620442708</x:v>
      </x:c>
      <x:c r="EF327" s="23" t="n">
        <x:v>1376.364501953125</x:v>
      </x:c>
      <x:c r="EG327" s="23" t="n">
        <x:v>1395.389933268229</x:v>
      </x:c>
      <x:c r="EH327" s="23" t="n">
        <x:v>1395.9755859375</x:v>
      </x:c>
      <x:c r="EI327" s="23" t="n">
        <x:v>1379.724161783854</x:v>
      </x:c>
      <x:c r="EJ327" s="23" t="n">
        <x:v>865.5003164785885</x:v>
      </x:c>
      <x:c r="EK327" s="23" t="n">
        <x:v>576.4237060546875</x:v>
      </x:c>
      <x:c r="EL327" s="23" t="n">
        <x:v>565.887451171875</x:v>
      </x:c>
      <x:c r="EM327" s="23" t="n">
        <x:v>582.3285319010416</x:v>
      </x:c>
      <x:c r="EN327" s="23" t="n">
        <x:v>589.8404134114583</x:v>
      </x:c>
      <x:c r="EO327" s="23" t="n">
        <x:v>584.5626627604166</x:v>
      </x:c>
      <x:c r="EP327" s="23" t="n">
        <x:f>SUM(B327:EO327)</x:f>
        <x:v>92755.62013363447</x:v>
      </x:c>
      <x:c r="EQ327" s="23" t="n">
        <x:f>SUMPRODUCT(B327:EO327,{0.4493,0.4425,0.4229,0.4112,0.4191,0.4372,0.4429,0.4374,0.4371,0.4575,0.4758,0.4811,0.4881,0.5213,0.5409,0.4839,0.4566,0.494,0.5242,0.5063,0.475,0.5023,0.5431,0.5273,0.4366,0.4271,0.5116,0.5477,0.5225,0.4864,0.4966,0.521,0.4956,0.4309,0.6505,1.0242,1.0691,1.0133,1.024,1.0388,1.0511,1.042,0.9908,0.9793,0.9674,0.8817,1.0807,1.4399,1.4433,1.3622,1.3597,1.322,1.2758,1.2483,1.2325,1.2327,1.2081,1.1313,1.2114,1.3983,1.418,1.3696,1.3833,1.4373,1.1905,0.7833,0.726,0.7786,0.756,0.7159,0.6877,0.6731,0.6635,0.6802,0.6873,0.6528,0.8045,1.0651,1.1076,1.0776,1.0669,1.0466,1.2006,1.4215,1.39,1.3128,1.3696,1.4882,1.264,0.8549,0.8378,0.9055,0.8817,0.9079,0.9611,0.9999,1.0182,1.0419,1.0653,1.0654,1.1026,1.148,1.1119,1.0981,1.116,1.0861,1.1435,1.2652,1.281,1.2763,1.2905,1.2872,1.3718,1.5044,1.5217,1.4905,1.4958,1.5447,1.5074,1.4379,1.5114,1.5329,1.5054,1.5836,1.3858,0.9936,0.9085,0.9198,0.9313,1.0204,0.7911,0.4,0.4313,0.5018,0.419,0.3848,0.4212,0.4573,0.4198,0.3944,0.4139,0.43,0.4436,0.4566})</x:f>
        <x:v>69291.43768475082</x:v>
      </x:c>
    </x:row>
    <x:row r="328" ht="14" customHeight="1">
      <x:c r="A328" s="3">
        <x:v>46015</x:v>
      </x:c>
      <x:c r="B328" s="23" t="n">
        <x:v>1424.2791341145833</x:v>
      </x:c>
      <x:c r="C328" s="23" t="n">
        <x:v>1429.2117513020833</x:v>
      </x:c>
      <x:c r="D328" s="23" t="n">
        <x:v>596.7991536458333</x:v>
      </x:c>
      <x:c r="E328" s="23" t="n">
        <x:v>599.4542643229166</x:v>
      </x:c>
      <x:c r="F328" s="23" t="n">
        <x:v>1434.74658203125</x:v>
      </x:c>
      <x:c r="G328" s="23" t="n">
        <x:v>1425.6490071614583</x:v>
      </x:c>
      <x:c r="H328" s="23" t="n">
        <x:v>604.2252197265625</x:v>
      </x:c>
      <x:c r="I328" s="23" t="n">
        <x:v>613.8201497395833</x:v>
      </x:c>
      <x:c r="J328" s="23" t="n">
        <x:v>616.501708984375</x:v>
      </x:c>
      <x:c r="K328" s="23" t="n">
        <x:v>610.4602457682291</x:v>
      </x:c>
      <x:c r="L328" s="23" t="n">
        <x:v>615.9942220052083</x:v>
      </x:c>
      <x:c r="M328" s="23" t="n">
        <x:v>640.6023763020833</x:v>
      </x:c>
      <x:c r="N328" s="23" t="n">
        <x:v>644.8301595052083</x:v>
      </x:c>
      <x:c r="O328" s="23" t="n">
        <x:v>633.6903889973958</x:v>
      </x:c>
      <x:c r="P328" s="23" t="n">
        <x:v>619.1747639973958</x:v>
      </x:c>
      <x:c r="Q328" s="23" t="n">
        <x:v>1459.6065266927083</x:v>
      </x:c>
      <x:c r="R328" s="23" t="n">
        <x:v>1462.0175374348958</x:v>
      </x:c>
      <x:c r="S328" s="23" t="n">
        <x:v>645.3565266927083</x:v>
      </x:c>
      <x:c r="T328" s="23" t="n">
        <x:v>669.5967610677083</x:v>
      </x:c>
      <x:c r="U328" s="23" t="n">
        <x:v>672.8889973958333</x:v>
      </x:c>
      <x:c r="V328" s="23" t="n">
        <x:v>657.5696207682291</x:v>
      </x:c>
      <x:c r="W328" s="23" t="n">
        <x:v>661.3798014322916</x:v>
      </x:c>
      <x:c r="X328" s="23" t="n">
        <x:v>671.6219482421875</x:v>
      </x:c>
      <x:c r="Y328" s="23" t="n">
        <x:v>666.7667236328125</x:v>
      </x:c>
      <x:c r="Z328" s="23" t="n">
        <x:v>654.6808268229166</x:v>
      </x:c>
      <x:c r="AA328" s="23" t="n">
        <x:v>658.4012451171875</x:v>
      </x:c>
      <x:c r="AB328" s="23" t="n">
        <x:v>685.81201171875</x:v>
      </x:c>
      <x:c r="AC328" s="23" t="n">
        <x:v>687.1354166666666</x:v>
      </x:c>
      <x:c r="AD328" s="23" t="n">
        <x:v>689.41748046875</x:v>
      </x:c>
      <x:c r="AE328" s="23" t="n">
        <x:v>382.0990155234358</x:v>
      </x:c>
      <x:c r="AF328" s="23" t="n">
        <x:v>695.3046061197916</x:v>
      </x:c>
      <x:c r="AG328" s="23" t="n">
        <x:v>687.9803873697916</x:v>
      </x:c>
      <x:c r="AH328" s="23" t="n">
        <x:v>676.0469156901041</x:v>
      </x:c>
      <x:c r="AI328" s="23" t="n">
        <x:v>1496.7233479817708</x:v>
      </x:c>
      <x:c r="AJ328" s="23" t="n">
        <x:v>758.2161458333333</x:v>
      </x:c>
      <x:c r="AK328" s="23" t="n">
        <x:v>881.91259765625</x:v>
      </x:c>
      <x:c r="AL328" s="23" t="n">
        <x:v>900.8513997395833</x:v>
      </x:c>
      <x:c r="AM328" s="23" t="n">
        <x:v>878.8675130208333</x:v>
      </x:c>
      <x:c r="AN328" s="23" t="n">
        <x:v>879.4759114583333</x:v>
      </x:c>
      <x:c r="AO328" s="23" t="n">
        <x:v>878.9189038628338</x:v>
      </x:c>
      <x:c r="AP328" s="23" t="n">
        <x:v>886.082763671875</x:v>
      </x:c>
      <x:c r="AQ328" s="23" t="n">
        <x:v>874.0872544590604</x:v>
      </x:c>
      <x:c r="AR328" s="23" t="n">
        <x:v>847.2402192939404</x:v>
      </x:c>
      <x:c r="AS328" s="23" t="n">
        <x:v>812.0244439713035</x:v>
      </x:c>
      <x:c r="AT328" s="23" t="n">
        <x:v>750.5077863032993</x:v>
      </x:c>
      <x:c r="AU328" s="23" t="n">
        <x:v>697.5014829250606</x:v>
      </x:c>
      <x:c r="AV328" s="23" t="n">
        <x:v>768.5787800578375</x:v>
      </x:c>
      <x:c r="AW328" s="23" t="n">
        <x:v>141.553421597651</x:v>
      </x:c>
      <x:c r="AX328" s="23" t="n">
        <x:v>119.56044518990014</x:v>
      </x:c>
      <x:c r="AY328" s="23" t="n">
        <x:v>43.89816957973956</x:v>
      </x:c>
      <x:c r="AZ328" s="23" t="n">
        <x:v>2.396766458426403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363.5803127511609</x:v>
      </x:c>
      <x:c r="BF328" s="23" t="n">
        <x:v>0</x:v>
      </x:c>
      <x:c r="BG328" s="23" t="n">
        <x:v>457.659206390498</x:v>
      </x:c>
      <x:c r="BH328" s="23" t="n">
        <x:v>0</x:v>
      </x:c>
      <x:c r="BI328" s="23" t="n">
        <x:v>0</x:v>
      </x:c>
      <x:c r="BJ328" s="23" t="n">
        <x:v>0</x:v>
      </x:c>
      <x:c r="BK328" s="23" t="n">
        <x:v>0</x:v>
      </x:c>
      <x:c r="BL328" s="23" t="n">
        <x:v>0</x:v>
      </x:c>
      <x:c r="BM328" s="23" t="n">
        <x:v>0</x:v>
      </x:c>
      <x:c r="BN328" s="23" t="n">
        <x:v>0</x:v>
      </x:c>
      <x:c r="BO328" s="23" t="n">
        <x:v>1071.136703579295</x:v>
      </x:c>
      <x:c r="BP328" s="23" t="n">
        <x:v>1053.9508030620068</x:v>
      </x:c>
      <x:c r="BQ328" s="23" t="n">
        <x:v>1033.6294353251265</x:v>
      </x:c>
      <x:c r="BR328" s="23" t="n">
        <x:v>1020.0349245213813</x:v>
      </x:c>
      <x:c r="BS328" s="23" t="n">
        <x:v>987.7405565979294</x:v>
      </x:c>
      <x:c r="BT328" s="23" t="n">
        <x:v>940.543898814466</x:v>
      </x:c>
      <x:c r="BU328" s="23" t="n">
        <x:v>909.4132365493093</x:v>
      </x:c>
      <x:c r="BV328" s="23" t="n">
        <x:v>911.7367908429208</x:v>
      </x:c>
      <x:c r="BW328" s="23" t="n">
        <x:v>918.9949547612429</x:v>
      </x:c>
      <x:c r="BX328" s="23" t="n">
        <x:v>930.7415079374096</x:v>
      </x:c>
      <x:c r="BY328" s="23" t="n">
        <x:v>943.2092567263577</x:v>
      </x:c>
      <x:c r="BZ328" s="23" t="n">
        <x:v>963.0581051507318</x:v>
      </x:c>
      <x:c r="CA328" s="23" t="n">
        <x:v>164.02651909556425</x:v>
      </x:c>
      <x:c r="CB328" s="23" t="n">
        <x:v>192.6220308336824</x:v>
      </x:c>
      <x:c r="CC328" s="23" t="n">
        <x:v>206.0678198982802</x:v>
      </x:c>
      <x:c r="CD328" s="23" t="n">
        <x:v>213.40431677319808</x:v>
      </x:c>
      <x:c r="CE328" s="23" t="n">
        <x:v>237.46722146470165</x:v>
      </x:c>
      <x:c r="CF328" s="23" t="n">
        <x:v>0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1349.243768458315</x:v>
      </x:c>
      <x:c r="CN328" s="23" t="n">
        <x:v>1392.1677289596403</x:v>
      </x:c>
      <x:c r="CO328" s="23" t="n">
        <x:v>1440.6157565636854</x:v>
      </x:c>
      <x:c r="CP328" s="23" t="n">
        <x:v>1486.0179145381453</x:v>
      </x:c>
      <x:c r="CQ328" s="23" t="n">
        <x:v>1167.2546586894946</x:v>
      </x:c>
      <x:c r="CR328" s="23" t="n">
        <x:v>722.1543463818231</x:v>
      </x:c>
      <x:c r="CS328" s="23" t="n">
        <x:v>769.0683152568979</x:v>
      </x:c>
      <x:c r="CT328" s="23" t="n">
        <x:v>815.8697149257157</x:v>
      </x:c>
      <x:c r="CU328" s="23" t="n">
        <x:v>864.403393828424</x:v>
      </x:c>
      <x:c r="CV328" s="23" t="n">
        <x:v>912.8176206017313</x:v>
      </x:c>
      <x:c r="CW328" s="23" t="n">
        <x:v>965.668122197317</x:v>
      </x:c>
      <x:c r="CX328" s="23" t="n">
        <x:v>997.0052390732453</x:v>
      </x:c>
      <x:c r="CY328" s="23" t="n">
        <x:v>1011.0476048217447</x:v>
      </x:c>
      <x:c r="CZ328" s="23" t="n">
        <x:v>1018.3649088541666</x:v>
      </x:c>
      <x:c r="DA328" s="23" t="n">
        <x:v>1007.6010531596369</x:v>
      </x:c>
      <x:c r="DB328" s="23" t="n">
        <x:v>1032.0840657552083</x:v>
      </x:c>
      <x:c r="DC328" s="23" t="n">
        <x:v>1058.3960774739583</x:v>
      </x:c>
      <x:c r="DD328" s="23" t="n">
        <x:v>944.3125813802083</x:v>
      </x:c>
      <x:c r="DE328" s="23" t="n">
        <x:v>717.4930013020833</x:v>
      </x:c>
      <x:c r="DF328" s="23" t="n">
        <x:v>702.4103190104166</x:v>
      </x:c>
      <x:c r="DG328" s="23" t="n">
        <x:v>727.5559895833333</x:v>
      </x:c>
      <x:c r="DH328" s="23" t="n">
        <x:v>725.6021321614583</x:v>
      </x:c>
      <x:c r="DI328" s="23" t="n">
        <x:v>722.45458984375</x:v>
      </x:c>
      <x:c r="DJ328" s="23" t="n">
        <x:v>720.2632649739583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29.093856119790416</x:v>
      </x:c>
      <x:c r="DW328" s="23" t="n">
        <x:v>724.0142415364583</x:v>
      </x:c>
      <x:c r="DX328" s="23" t="n">
        <x:v>734.1395117991257</x:v>
      </x:c>
      <x:c r="DY328" s="23" t="n">
        <x:v>742.30859375</x:v>
      </x:c>
      <x:c r="DZ328" s="23" t="n">
        <x:v>736.329833984375</x:v>
      </x:c>
      <x:c r="EA328" s="23" t="n">
        <x:v>755.0581868489583</x:v>
      </x:c>
      <x:c r="EB328" s="23" t="n">
        <x:v>680.0701789192706</x:v>
      </x:c>
      <x:c r="EC328" s="23" t="n">
        <x:v>1391.47509765625</x:v>
      </x:c>
      <x:c r="ED328" s="23" t="n">
        <x:v>1381.456583658854</x:v>
      </x:c>
      <x:c r="EE328" s="23" t="n">
        <x:v>564.5309651692708</x:v>
      </x:c>
      <x:c r="EF328" s="23" t="n">
        <x:v>1397.2023518880208</x:v>
      </x:c>
      <x:c r="EG328" s="23" t="n">
        <x:v>1399.3743896484375</x:v>
      </x:c>
      <x:c r="EH328" s="23" t="n">
        <x:v>1399.0788167317708</x:v>
      </x:c>
      <x:c r="EI328" s="23" t="n">
        <x:v>569.5572509765625</x:v>
      </x:c>
      <x:c r="EJ328" s="23" t="n">
        <x:v>874.9908329153814</x:v>
      </x:c>
      <x:c r="EK328" s="23" t="n">
        <x:v>1408.1754964192708</x:v>
      </x:c>
      <x:c r="EL328" s="23" t="n">
        <x:v>576.6238606770833</x:v>
      </x:c>
      <x:c r="EM328" s="23" t="n">
        <x:v>584.848388671875</x:v>
      </x:c>
      <x:c r="EN328" s="23" t="n">
        <x:v>586.8884684244791</x:v>
      </x:c>
      <x:c r="EO328" s="23" t="n">
        <x:v>589.3385416666666</x:v>
      </x:c>
      <x:c r="EP328" s="23" t="n">
        <x:f>SUM(B328:EO328)</x:f>
        <x:v>92424.96404585344</x:v>
      </x:c>
      <x:c r="EQ328" s="23" t="n">
        <x:f>SUMPRODUCT(B328:EO328,{0.4636,0.4744,0.4647,0.4063,0.4011,0.4441,0.4343,0.4461,0.4662,0.404,0.384,0.4488,0.5113,0.5171,0.4953,0.5106,0.4783,0.424,0.4632,0.4823,0.4608,0.4871,0.4826,0.4464,0.4656,0.4957,0.4961,0.4738,0.4711,0.493,0.5114,0.5448,0.5333,0.4426,0.673,1.073,1.0615,0.9681,1.0054,1.0497,1.0437,1.0052,0.9919,1.0017,0.9751,0.9081,1.1585,1.541,1.4756,1.3246,1.2984,1.2595,1.2547,1.2813,1.2621,1.2215,1.185,1.1743,1.2909,1.4393,1.4003,1.3204,1.3413,1.4167,1.1704,0.7415,0.666,0.695,0.6665,0.6716,0.6571,0.6264,0.6483,0.6724,0.6526,0.6243,0.7936,1.0666,1.1251,1.1128,1.1257,1.1242,1.1907,1.3097,1.3649,1.358,1.3737,1.4483,1.2375,0.8723,0.8583,0.9268,0.9224,0.9645,1.0202,1.047,1.0419,1.037,1.0628,1.1202,1.1327,1.1067,1.1206,1.1365,1.1223,1.0981,1.1426,1.2379,1.2828,1.2857,1.2686,1.2613,1.3767,1.5382,1.5385,1.4838,1.4694,1.4874,1.4859,1.4839,1.5367,1.5284,1.4961,1.547,1.3083,0.9167,0.9153,0.9648,0.9362,1.0055,0.8382,0.4804,0.3591,0.3791,0.4001,0.392,0.4007,0.4303,0.438,0.4302,0.4166,0.4045,0.4283,0.456})</x:f>
        <x:v>68465.49061358093</x:v>
      </x:c>
    </x:row>
    <x:row r="329" ht="14" customHeight="1">
      <x:c r="A329" s="3">
        <x:v>46016</x:v>
      </x:c>
      <x:c r="B329" s="23" t="n">
        <x:v>1427.920694986979</x:v>
      </x:c>
      <x:c r="C329" s="23" t="n">
        <x:v>1429.803466796875</x:v>
      </x:c>
      <x:c r="D329" s="23" t="n">
        <x:v>595.454345703125</x:v>
      </x:c>
      <x:c r="E329" s="23" t="n">
        <x:v>595.0141194661458</x:v>
      </x:c>
      <x:c r="F329" s="23" t="n">
        <x:v>1430.0354817708333</x:v>
      </x:c>
      <x:c r="G329" s="23" t="n">
        <x:v>1432.672892252604</x:v>
      </x:c>
      <x:c r="H329" s="23" t="n">
        <x:v>1428.389200846354</x:v>
      </x:c>
      <x:c r="I329" s="23" t="n">
        <x:v>949.0064299196225</x:v>
      </x:c>
      <x:c r="J329" s="23" t="n">
        <x:v>603.3177083333333</x:v>
      </x:c>
      <x:c r="K329" s="23" t="n">
        <x:v>1443.1415608723958</x:v>
      </x:c>
      <x:c r="L329" s="23" t="n">
        <x:v>632.89404296875</x:v>
      </x:c>
      <x:c r="M329" s="23" t="n">
        <x:v>643.91796875</x:v>
      </x:c>
      <x:c r="N329" s="23" t="n">
        <x:v>639.5438639322916</x:v>
      </x:c>
      <x:c r="O329" s="23" t="n">
        <x:v>624.4376220703125</x:v>
      </x:c>
      <x:c r="P329" s="23" t="n">
        <x:v>624.0241292317708</x:v>
      </x:c>
      <x:c r="Q329" s="23" t="n">
        <x:v>618.9247639973958</x:v>
      </x:c>
      <x:c r="R329" s="23" t="n">
        <x:v>649.4759114583333</x:v>
      </x:c>
      <x:c r="S329" s="23" t="n">
        <x:v>669.7683512369791</x:v>
      </x:c>
      <x:c r="T329" s="23" t="n">
        <x:v>662.1172281901041</x:v>
      </x:c>
      <x:c r="U329" s="23" t="n">
        <x:v>656.677734375</x:v>
      </x:c>
      <x:c r="V329" s="23" t="n">
        <x:v>654.0655924479166</x:v>
      </x:c>
      <x:c r="W329" s="23" t="n">
        <x:v>653.6179606119791</x:v>
      </x:c>
      <x:c r="X329" s="23" t="n">
        <x:v>673.3649495442708</x:v>
      </x:c>
      <x:c r="Y329" s="23" t="n">
        <x:v>700.592529296875</x:v>
      </x:c>
      <x:c r="Z329" s="23" t="n">
        <x:v>673.0445963541666</x:v>
      </x:c>
      <x:c r="AA329" s="23" t="n">
        <x:v>675.7666015625</x:v>
      </x:c>
      <x:c r="AB329" s="23" t="n">
        <x:v>701.4246419270833</x:v>
      </x:c>
      <x:c r="AC329" s="23" t="n">
        <x:v>685.9503580729166</x:v>
      </x:c>
      <x:c r="AD329" s="23" t="n">
        <x:v>661.9547932942708</x:v>
      </x:c>
      <x:c r="AE329" s="23" t="n">
        <x:v>665.9307861328125</x:v>
      </x:c>
      <x:c r="AF329" s="23" t="n">
        <x:v>681.0928548177083</x:v>
      </x:c>
      <x:c r="AG329" s="23" t="n">
        <x:v>703.4124348958333</x:v>
      </x:c>
      <x:c r="AH329" s="23" t="n">
        <x:v>690.012451171875</x:v>
      </x:c>
      <x:c r="AI329" s="23" t="n">
        <x:v>706.1949055989583</x:v>
      </x:c>
      <x:c r="AJ329" s="23" t="n">
        <x:v>761.001708984375</x:v>
      </x:c>
      <x:c r="AK329" s="23" t="n">
        <x:v>877.7813313802083</x:v>
      </x:c>
      <x:c r="AL329" s="23" t="n">
        <x:v>891.3284505208333</x:v>
      </x:c>
      <x:c r="AM329" s="23" t="n">
        <x:v>876.6622721354166</x:v>
      </x:c>
      <x:c r="AN329" s="23" t="n">
        <x:v>881.658203125</x:v>
      </x:c>
      <x:c r="AO329" s="23" t="n">
        <x:v>883.5410883936147</x:v>
      </x:c>
      <x:c r="AP329" s="23" t="n">
        <x:v>896.32275390625</x:v>
      </x:c>
      <x:c r="AQ329" s="23" t="n">
        <x:v>893.4889322916666</x:v>
      </x:c>
      <x:c r="AR329" s="23" t="n">
        <x:v>856.167777815311</x:v>
      </x:c>
      <x:c r="AS329" s="23" t="n">
        <x:v>830.103780360199</x:v>
      </x:c>
      <x:c r="AT329" s="23" t="n">
        <x:v>786.7932427945691</x:v>
      </x:c>
      <x:c r="AU329" s="23" t="n">
        <x:v>708.3845046477137</x:v>
      </x:c>
      <x:c r="AV329" s="23" t="n">
        <x:v>761.4160776402587</x:v>
      </x:c>
      <x:c r="AW329" s="23" t="n">
        <x:v>145.5288428341796</x:v>
      </x:c>
      <x:c r="AX329" s="23" t="n">
        <x:v>114.64796197784031</x:v>
      </x:c>
      <x:c r="AY329" s="23" t="n">
        <x:v>37.92739832543581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380.84600690872924</x:v>
      </x:c>
      <x:c r="BF329" s="23" t="n">
        <x:v>0</x:v>
      </x:c>
      <x:c r="BG329" s="23" t="n">
        <x:v>453.6225542860446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0</x:v>
      </x:c>
      <x:c r="BM329" s="23" t="n">
        <x:v>0</x:v>
      </x:c>
      <x:c r="BN329" s="23" t="n">
        <x:v>0</x:v>
      </x:c>
      <x:c r="BO329" s="23" t="n">
        <x:v>1050.579300850068</x:v>
      </x:c>
      <x:c r="BP329" s="23" t="n">
        <x:v>1029.979500810408</x:v>
      </x:c>
      <x:c r="BQ329" s="23" t="n">
        <x:v>1010.3187133052763</x:v>
      </x:c>
      <x:c r="BR329" s="23" t="n">
        <x:v>979.6106806750886</x:v>
      </x:c>
      <x:c r="BS329" s="23" t="n">
        <x:v>947.3078045115353</x:v>
      </x:c>
      <x:c r="BT329" s="23" t="n">
        <x:v>916.9102467706737</x:v>
      </x:c>
      <x:c r="BU329" s="23" t="n">
        <x:v>897.8824863756873</x:v>
      </x:c>
      <x:c r="BV329" s="23" t="n">
        <x:v>903.8172594603407</x:v>
      </x:c>
      <x:c r="BW329" s="23" t="n">
        <x:v>916.8594037929735</x:v>
      </x:c>
      <x:c r="BX329" s="23" t="n">
        <x:v>933.3352908999507</x:v>
      </x:c>
      <x:c r="BY329" s="23" t="n">
        <x:v>951.1508312424564</x:v>
      </x:c>
      <x:c r="BZ329" s="23" t="n">
        <x:v>974.931363152971</x:v>
      </x:c>
      <x:c r="CA329" s="23" t="n">
        <x:v>181.02560258006451</x:v>
      </x:c>
      <x:c r="CB329" s="23" t="n">
        <x:v>221.82315097896554</x:v>
      </x:c>
      <x:c r="CC329" s="23" t="n">
        <x:v>240.54802548270894</x:v>
      </x:c>
      <x:c r="CD329" s="23" t="n">
        <x:v>240.46917213815018</x:v>
      </x:c>
      <x:c r="CE329" s="23" t="n">
        <x:v>260.3461451982254</x:v>
      </x:c>
      <x:c r="CF329" s="23" t="n">
        <x:v>284.8394779377066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1366.4492581684183</x:v>
      </x:c>
      <x:c r="CN329" s="23" t="n">
        <x:v>1403.8525733556276</x:v>
      </x:c>
      <x:c r="CO329" s="23" t="n">
        <x:v>1437.739059268496</x:v>
      </x:c>
      <x:c r="CP329" s="23" t="n">
        <x:v>831.4653269503589</x:v>
      </x:c>
      <x:c r="CQ329" s="23" t="n">
        <x:v>1526.5116331405047</x:v>
      </x:c>
      <x:c r="CR329" s="23" t="n">
        <x:v>729.3982746991808</x:v>
      </x:c>
      <x:c r="CS329" s="23" t="n">
        <x:v>769.9848842128673</x:v>
      </x:c>
      <x:c r="CT329" s="23" t="n">
        <x:v>822.233560313578</x:v>
      </x:c>
      <x:c r="CU329" s="23" t="n">
        <x:v>863.3889383790693</x:v>
      </x:c>
      <x:c r="CV329" s="23" t="n">
        <x:v>910.6404131296738</x:v>
      </x:c>
      <x:c r="CW329" s="23" t="n">
        <x:v>956.0366408610873</x:v>
      </x:c>
      <x:c r="CX329" s="23" t="n">
        <x:v>996.7211882052409</x:v>
      </x:c>
      <x:c r="CY329" s="23" t="n">
        <x:v>1035.2679036458333</x:v>
      </x:c>
      <x:c r="CZ329" s="23" t="n">
        <x:v>1034.71142578125</x:v>
      </x:c>
      <x:c r="DA329" s="23" t="n">
        <x:v>1025.7527092408227</x:v>
      </x:c>
      <x:c r="DB329" s="23" t="n">
        <x:v>1022.7892252604166</x:v>
      </x:c>
      <x:c r="DC329" s="23" t="n">
        <x:v>1045.998291015625</x:v>
      </x:c>
      <x:c r="DD329" s="23" t="n">
        <x:v>917.8042805989583</x:v>
      </x:c>
      <x:c r="DE329" s="23" t="n">
        <x:v>723.60498046875</x:v>
      </x:c>
      <x:c r="DF329" s="23" t="n">
        <x:v>718.8924967447916</x:v>
      </x:c>
      <x:c r="DG329" s="23" t="n">
        <x:v>724.9886881510416</x:v>
      </x:c>
      <x:c r="DH329" s="23" t="n">
        <x:v>715.056640625</x:v>
      </x:c>
      <x:c r="DI329" s="23" t="n">
        <x:v>720.0347493489583</x:v>
      </x:c>
      <x:c r="DJ329" s="23" t="n">
        <x:v>723.2361653645833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55.98486425781107</x:v>
      </x:c>
      <x:c r="DW329" s="23" t="n">
        <x:v>726.679931640625</x:v>
      </x:c>
      <x:c r="DX329" s="23" t="n">
        <x:v>741.4987654320989</x:v>
      </x:c>
      <x:c r="DY329" s="23" t="n">
        <x:v>725.9493815104166</x:v>
      </x:c>
      <x:c r="DZ329" s="23" t="n">
        <x:v>726.658203125</x:v>
      </x:c>
      <x:c r="EA329" s="23" t="n">
        <x:v>739.6101888020833</x:v>
      </x:c>
      <x:c r="EB329" s="23" t="n">
        <x:v>671.0543504687498</x:v>
      </x:c>
      <x:c r="EC329" s="23" t="n">
        <x:v>1395.445353190104</x:v>
      </x:c>
      <x:c r="ED329" s="23" t="n">
        <x:v>858.3267297252766</x:v>
      </x:c>
      <x:c r="EE329" s="23" t="n">
        <x:v>570.6492106119791</x:v>
      </x:c>
      <x:c r="EF329" s="23" t="n">
        <x:v>566.5634358723958</x:v>
      </x:c>
      <x:c r="EG329" s="23" t="n">
        <x:v>1388.6146647135415</x:v>
      </x:c>
      <x:c r="EH329" s="23" t="n">
        <x:v>563.9073893229166</x:v>
      </x:c>
      <x:c r="EI329" s="23" t="n">
        <x:v>580.791259765625</x:v>
      </x:c>
      <x:c r="EJ329" s="23" t="n">
        <x:v>567.4634195963541</x:v>
      </x:c>
      <x:c r="EK329" s="23" t="n">
        <x:v>1394.171427408854</x:v>
      </x:c>
      <x:c r="EL329" s="23" t="n">
        <x:v>567.0705973307291</x:v>
      </x:c>
      <x:c r="EM329" s="23" t="n">
        <x:v>1413.5586751302083</x:v>
      </x:c>
      <x:c r="EN329" s="23" t="n">
        <x:v>1355.3773600260415</x:v>
      </x:c>
      <x:c r="EO329" s="23" t="n">
        <x:v>1275.9225667317708</x:v>
      </x:c>
      <x:c r="EP329" s="23" t="n">
        <x:f>SUM(B329:EO329)</x:f>
        <x:v>92169.77739897203</x:v>
      </x:c>
      <x:c r="EQ329" s="23" t="n">
        <x:f>SUMPRODUCT(B329:EO329,{0.4223,0.4125,0.4362,0.4213,0.4229,0.4533,0.4669,0.4861,0.4877,0.4237,0.3972,0.4425,0.49,0.4837,0.4558,0.4833,0.4952,0.4695,0.46,0.474,0.4922,0.4928,0.4971,0.5195,0.5417,0.4918,0.4245,0.4749,0.5433,0.549,0.5027,0.4618,0.4381,0.4385,0.6613,1.0146,1.1569,1.1031,1.0115,1.0289,1.0622,1.0402,0.991,0.9994,1.0126,0.9391,1.1136,1.4216,1.3908,1.3313,1.377,1.3482,1.319,1.3135,1.2665,1.2232,1.1962,1.1718,1.2657,1.4117,1.4042,1.3355,1.335,1.3997,1.1777,0.7862,0.7223,0.7885,0.7919,0.7409,0.7108,0.728,0.7513,0.7251,0.6465,0.5999,0.7822,1.0795,1.1512,1.0986,1.0425,1.0248,1.1446,1.3199,1.3473,1.3208,1.3554,1.4321,1.238,0.8843,0.8228,0.8888,0.9369,0.9852,0.9923,0.9726,0.9935,1.0422,1.0836,1.0953,1.1089,1.1227,1.1089,1.1199,1.1329,1.0903,1.1647,1.3148,1.3139,1.2755,1.2636,1.242,1.3194,1.4613,1.5024,1.4768,1.4649,1.5121,1.5464,1.5368,1.5153,1.4898,1.522,1.6252,1.403,0.9749,0.8883,0.9356,0.9565,0.9662,0.7279,0.3915,0.3827,0.4346,0.4075,0.423,0.4285,0.3992,0.3822,0.4118,0.4623,0.459,0.3601,0.2502})</x:f>
        <x:v>68710.2009784172</x:v>
      </x:c>
    </x:row>
    <x:row r="330" ht="14" customHeight="1">
      <x:c r="A330" s="3">
        <x:v>46017</x:v>
      </x:c>
      <x:c r="B330" s="23" t="n">
        <x:v>1265.6751708984375</x:v>
      </x:c>
      <x:c r="C330" s="23" t="n">
        <x:v>1269.119181315104</x:v>
      </x:c>
      <x:c r="D330" s="23" t="n">
        <x:v>431.7427978515625</x:v>
      </x:c>
      <x:c r="E330" s="23" t="n">
        <x:v>436.14310709635413</x:v>
      </x:c>
      <x:c r="F330" s="23" t="n">
        <x:v>1272.9853108723958</x:v>
      </x:c>
      <x:c r="G330" s="23" t="n">
        <x:v>441.8133544921875</x:v>
      </x:c>
      <x:c r="H330" s="23" t="n">
        <x:v>450.52933756510413</x:v>
      </x:c>
      <x:c r="I330" s="23" t="n">
        <x:v>453.1051839192708</x:v>
      </x:c>
      <x:c r="J330" s="23" t="n">
        <x:v>454.2874755859375</x:v>
      </x:c>
      <x:c r="K330" s="23" t="n">
        <x:v>1281.3519287109375</x:v>
      </x:c>
      <x:c r="L330" s="23" t="n">
        <x:v>456.00944010416663</x:v>
      </x:c>
      <x:c r="M330" s="23" t="n">
        <x:v>0</x:v>
      </x:c>
      <x:c r="N330" s="23" t="n">
        <x:v>484.2299397786458</x:v>
      </x:c>
      <x:c r="O330" s="23" t="n">
        <x:v>1293.3476155598958</x:v>
      </x:c>
      <x:c r="P330" s="23" t="n">
        <x:v>1309.66748046875</x:v>
      </x:c>
      <x:c r="Q330" s="23" t="n">
        <x:v>494.9703369140625</x:v>
      </x:c>
      <x:c r="R330" s="23" t="n">
        <x:v>484.9544270833333</x:v>
      </x:c>
      <x:c r="S330" s="23" t="n">
        <x:v>559.9221204015553</x:v>
      </x:c>
      <x:c r="T330" s="23" t="n">
        <x:v>492.60648600260413</x:v>
      </x:c>
      <x:c r="U330" s="23" t="n">
        <x:v>494.83622233072913</x:v>
      </x:c>
      <x:c r="V330" s="23" t="n">
        <x:v>492.6958821614583</x:v>
      </x:c>
      <x:c r="W330" s="23" t="n">
        <x:v>1318.773966471354</x:v>
      </x:c>
      <x:c r="X330" s="23" t="n">
        <x:v>488.3319905598958</x:v>
      </x:c>
      <x:c r="Y330" s="23" t="n">
        <x:v>492.50150553385413</x:v>
      </x:c>
      <x:c r="Z330" s="23" t="n">
        <x:v>506.4947509765625</x:v>
      </x:c>
      <x:c r="AA330" s="23" t="n">
        <x:v>507.0885823567708</x:v>
      </x:c>
      <x:c r="AB330" s="23" t="n">
        <x:v>497.4151204427083</x:v>
      </x:c>
      <x:c r="AC330" s="23" t="n">
        <x:v>522.0424397786458</x:v>
      </x:c>
      <x:c r="AD330" s="23" t="n">
        <x:v>520.7137858072916</x:v>
      </x:c>
      <x:c r="AE330" s="23" t="n">
        <x:v>521.0162760416666</x:v>
      </x:c>
      <x:c r="AF330" s="23" t="n">
        <x:v>536.6822916666666</x:v>
      </x:c>
      <x:c r="AG330" s="23" t="n">
        <x:v>526.9609375</x:v>
      </x:c>
      <x:c r="AH330" s="23" t="n">
        <x:v>492.97013346354163</x:v>
      </x:c>
      <x:c r="AI330" s="23" t="n">
        <x:v>497.31009928385413</x:v>
      </x:c>
      <x:c r="AJ330" s="23" t="n">
        <x:v>523.70703125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0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455.0741645198785</x:v>
      </x:c>
      <x:c r="BP330" s="23" t="n">
        <x:v>601.0086780968843</x:v>
      </x:c>
      <x:c r="BQ330" s="23" t="n">
        <x:v>0</x:v>
      </x:c>
      <x:c r="BR330" s="23" t="n">
        <x:v>508.82677125640885</x:v>
      </x:c>
      <x:c r="BS330" s="23" t="n">
        <x:v>498.685413543633</x:v>
      </x:c>
      <x:c r="BT330" s="23" t="n">
        <x:v>525.3322854149807</x:v>
      </x:c>
      <x:c r="BU330" s="23" t="n">
        <x:v>0</x:v>
      </x:c>
      <x:c r="BV330" s="23" t="n">
        <x:v>0</x:v>
      </x:c>
      <x:c r="BW330" s="23" t="n">
        <x:v>500.3246185207484</x:v>
      </x:c>
      <x:c r="BX330" s="23" t="n">
        <x:v>0</x:v>
      </x:c>
      <x:c r="BY330" s="23" t="n">
        <x:v>538.3008601383841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74.38956868259811</x:v>
      </x:c>
      <x:c r="CN330" s="23" t="n">
        <x:v>133.18388934947734</x:v>
      </x:c>
      <x:c r="CO330" s="23" t="n">
        <x:v>152.31128187060622</x:v>
      </x:c>
      <x:c r="CP330" s="23" t="n">
        <x:v>196.3186964997956</x:v>
      </x:c>
      <x:c r="CQ330" s="23" t="n">
        <x:v>246.1324804170327</x:v>
      </x:c>
      <x:c r="CR330" s="23" t="n">
        <x:v>282.56021985415464</x:v>
      </x:c>
      <x:c r="CS330" s="23" t="n">
        <x:v>314.78155495498015</x:v>
      </x:c>
      <x:c r="CT330" s="23" t="n">
        <x:v>353.70947766646316</x:v>
      </x:c>
      <x:c r="CU330" s="23" t="n">
        <x:v>405.9287777501671</x:v>
      </x:c>
      <x:c r="CV330" s="23" t="n">
        <x:v>465.3725815395627</x:v>
      </x:c>
      <x:c r="CW330" s="23" t="n">
        <x:v>515.0429238929239</x:v>
      </x:c>
      <x:c r="CX330" s="23" t="n">
        <x:v>506.6267364774163</x:v>
      </x:c>
      <x:c r="CY330" s="23" t="n">
        <x:v>458.38993326822913</x:v>
      </x:c>
      <x:c r="CZ330" s="23" t="n">
        <x:v>459.9640706380208</x:v>
      </x:c>
      <x:c r="DA330" s="23" t="n">
        <x:v>457.4821223345815</x:v>
      </x:c>
      <x:c r="DB330" s="23" t="n">
        <x:v>454.3709309895833</x:v>
      </x:c>
      <x:c r="DC330" s="23" t="n">
        <x:v>453.73380533854163</x:v>
      </x:c>
      <x:c r="DD330" s="23" t="n">
        <x:v>107.4214688281238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457.26090494791663</x:v>
      </x:c>
      <x:c r="DX330" s="23" t="n">
        <x:v>457.14762369791663</x:v>
      </x:c>
      <x:c r="DY330" s="23" t="n">
        <x:v>460.172119140625</x:v>
      </x:c>
      <x:c r="DZ330" s="23" t="n">
        <x:v>460.1343587239583</x:v>
      </x:c>
      <x:c r="EA330" s="23" t="n">
        <x:v>457.435791015625</x:v>
      </x:c>
      <x:c r="EB330" s="23" t="n">
        <x:v>438.0776574609373</x:v>
      </x:c>
      <x:c r="EC330" s="23" t="n">
        <x:v>694.0047935112849</x:v>
      </x:c>
      <x:c r="ED330" s="23" t="n">
        <x:v>1222.459757486979</x:v>
      </x:c>
      <x:c r="EE330" s="23" t="n">
        <x:v>401.5736897786458</x:v>
      </x:c>
      <x:c r="EF330" s="23" t="n">
        <x:v>1229.9623616536458</x:v>
      </x:c>
      <x:c r="EG330" s="23" t="n">
        <x:v>1231.0780843098958</x:v>
      </x:c>
      <x:c r="EH330" s="23" t="n">
        <x:v>406.9901123046875</x:v>
      </x:c>
      <x:c r="EI330" s="23" t="n">
        <x:v>420.3720296223958</x:v>
      </x:c>
      <x:c r="EJ330" s="23" t="n">
        <x:v>409.26835123697913</x:v>
      </x:c>
      <x:c r="EK330" s="23" t="n">
        <x:v>1241.200724283854</x:v>
      </x:c>
      <x:c r="EL330" s="23" t="n">
        <x:v>1254.8767903645833</x:v>
      </x:c>
      <x:c r="EM330" s="23" t="n">
        <x:v>1266.3334554036458</x:v>
      </x:c>
      <x:c r="EN330" s="23" t="n">
        <x:v>428.19921875</x:v>
      </x:c>
      <x:c r="EO330" s="23" t="n">
        <x:v>426.70060221354163</x:v>
      </x:c>
      <x:c r="EP330" s="23" t="n">
        <x:f>SUM(B330:EO330)</x:f>
        <x:v>45300.52344799563</x:v>
      </x:c>
      <x:c r="EQ330" s="23" t="n">
        <x:f>SUMPRODUCT(B330:EO330,{0.278,0.3767,0.4273,0.365,0.3247,0.3518,0.3695,0.3718,0.3809,0.409,0.3977,0.3669,0.3972,0.4309,0.4269,0.3963,0.3517,0.3459,0.4267,0.468,0.4291,0.3892,0.3872,0.4139,0.4251,0.3862,0.3414,0.3727,0.4123,0.4003,0.3467,0.3515,0.3926,0.3817,0.525,0.7597,0.7978,0.8181,0.8788,0.8533,0.8338,0.8634,0.8867,0.8772,0.8251,0.7674,0.8829,1.0797,1.0748,1.0391,1.0475,1.0077,1.0054,1.0493,1.0473,0.9949,0.9151,0.8549,0.9353,1.0894,1.1101,1.0522,1.0487,1.1234,0.8537,0.3852,0.3194,0.3774,0.3928,0.4766,0.4951,0.4397,0.4461,0.4675,0.4598,0.4549,0.5829,0.7904,0.8784,0.8902,0.869,0.8317,0.933,1.1089,1.1283,1.0992,1.1487,1.2418,1.0004,0.5793,0.5456,0.6514,0.6952,0.7247,0.7594,0.7696,0.7199,0.702,0.7543,0.8224,0.8264,0.8022,0.8493,0.8454,0.7677,0.7463,0.8861,1.0859,1.1245,1.0871,1.0635,1.078,1.1819,1.315,1.3494,1.3585,1.3661,1.332,1.3557,1.41,1.3658,1.3347,1.3907,1.4434,1.1666,0.7502,0.7326,0.769,0.742,0.837,0.6618,0.3153,0.3221,0.3673,0.3094,0.3324,0.3634,0.3559,0.3477,0.3366,0.3203,0.3063,0.2975,0.2929})</x:f>
        <x:v>20299.286314197772</x:v>
      </x:c>
    </x:row>
    <x:row r="331" ht="14" customHeight="1">
      <x:c r="A331" s="3">
        <x:v>46018</x:v>
      </x:c>
      <x:c r="B331" s="23" t="n">
        <x:v>443.6271565755208</x:v>
      </x:c>
      <x:c r="C331" s="23" t="n">
        <x:v>1280.559122721354</x:v>
      </x:c>
      <x:c r="D331" s="23" t="n">
        <x:v>1276.0516357421875</x:v>
      </x:c>
      <x:c r="E331" s="23" t="n">
        <x:v>445.66357421875</x:v>
      </x:c>
      <x:c r="F331" s="23" t="n">
        <x:v>441.88602701822913</x:v>
      </x:c>
      <x:c r="G331" s="23" t="n">
        <x:v>439.9263916015625</x:v>
      </x:c>
      <x:c r="H331" s="23" t="n">
        <x:v>448.2598876953125</x:v>
      </x:c>
      <x:c r="I331" s="23" t="n">
        <x:v>456.2168782552083</x:v>
      </x:c>
      <x:c r="J331" s="23" t="n">
        <x:v>1289.6201171875</x:v>
      </x:c>
      <x:c r="K331" s="23" t="n">
        <x:v>486.88916015625</x:v>
      </x:c>
      <x:c r="L331" s="23" t="n">
        <x:v>494.9112548828125</x:v>
      </x:c>
      <x:c r="M331" s="23" t="n">
        <x:v>1304.4603678385415</x:v>
      </x:c>
      <x:c r="N331" s="23" t="n">
        <x:v>495.7904052734375</x:v>
      </x:c>
      <x:c r="O331" s="23" t="n">
        <x:v>503.80765787760413</x:v>
      </x:c>
      <x:c r="P331" s="23" t="n">
        <x:v>841.9074712483922</x:v>
      </x:c>
      <x:c r="Q331" s="23" t="n">
        <x:v>1314.9259440104165</x:v>
      </x:c>
      <x:c r="R331" s="23" t="n">
        <x:v>462.0126953125</x:v>
      </x:c>
      <x:c r="S331" s="23" t="n">
        <x:v>464.6852620442708</x:v>
      </x:c>
      <x:c r="T331" s="23" t="n">
        <x:v>475.3079833984375</x:v>
      </x:c>
      <x:c r="U331" s="23" t="n">
        <x:v>495.9954833984375</x:v>
      </x:c>
      <x:c r="V331" s="23" t="n">
        <x:v>492.11722819010413</x:v>
      </x:c>
      <x:c r="W331" s="23" t="n">
        <x:v>487.619140625</x:v>
      </x:c>
      <x:c r="X331" s="23" t="n">
        <x:v>502.546142578125</x:v>
      </x:c>
      <x:c r="Y331" s="23" t="n">
        <x:v>520.8418375651041</x:v>
      </x:c>
      <x:c r="Z331" s="23" t="n">
        <x:v>519.1630859375</x:v>
      </x:c>
      <x:c r="AA331" s="23" t="n">
        <x:v>520.3035074869791</x:v>
      </x:c>
      <x:c r="AB331" s="23" t="n">
        <x:v>527.6599527994791</x:v>
      </x:c>
      <x:c r="AC331" s="23" t="n">
        <x:v>521.0010986328125</x:v>
      </x:c>
      <x:c r="AD331" s="23" t="n">
        <x:v>513.52587890625</x:v>
      </x:c>
      <x:c r="AE331" s="23" t="n">
        <x:v>510.879150390625</x:v>
      </x:c>
      <x:c r="AF331" s="23" t="n">
        <x:v>524.7931722005208</x:v>
      </x:c>
      <x:c r="AG331" s="23" t="n">
        <x:v>529.1354573567708</x:v>
      </x:c>
      <x:c r="AH331" s="23" t="n">
        <x:v>524.86181640625</x:v>
      </x:c>
      <x:c r="AI331" s="23" t="n">
        <x:v>1363.2421468098958</x:v>
      </x:c>
      <x:c r="AJ331" s="23" t="n">
        <x:v>530.58349609375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0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0</x:v>
      </x:c>
      <x:c r="BP331" s="23" t="n">
        <x:v>562.2804949796998</x:v>
      </x:c>
      <x:c r="BQ331" s="23" t="n">
        <x:v>0</x:v>
      </x:c>
      <x:c r="BR331" s="23" t="n">
        <x:v>529.90755307513</x:v>
      </x:c>
      <x:c r="BS331" s="23" t="n">
        <x:v>294.682600177695</x:v>
      </x:c>
      <x:c r="BT331" s="23" t="n">
        <x:v>521.624909351453</x:v>
      </x:c>
      <x:c r="BU331" s="23" t="n">
        <x:v>536.8272960144304</x:v>
      </x:c>
      <x:c r="BV331" s="23" t="n">
        <x:v>540.8079046520288</x:v>
      </x:c>
      <x:c r="BW331" s="23" t="n">
        <x:v>549.2502498183263</x:v>
      </x:c>
      <x:c r="BX331" s="23" t="n">
        <x:v>0</x:v>
      </x:c>
      <x:c r="BY331" s="23" t="n">
        <x:v>562.699613979749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82.87180767978239</x:v>
      </x:c>
      <x:c r="CN331" s="23" t="n">
        <x:v>192.40133963184104</x:v>
      </x:c>
      <x:c r="CO331" s="23" t="n">
        <x:v>157.50984526070556</x:v>
      </x:c>
      <x:c r="CP331" s="23" t="n">
        <x:v>192.20284062279507</x:v>
      </x:c>
      <x:c r="CQ331" s="23" t="n">
        <x:v>238.7598096184563</x:v>
      </x:c>
      <x:c r="CR331" s="23" t="n">
        <x:v>280.51306965906286</x:v>
      </x:c>
      <x:c r="CS331" s="23" t="n">
        <x:v>324.85007072288505</x:v>
      </x:c>
      <x:c r="CT331" s="23" t="n">
        <x:v>375.44649557991374</x:v>
      </x:c>
      <x:c r="CU331" s="23" t="n">
        <x:v>421.0722421731967</x:v>
      </x:c>
      <x:c r="CV331" s="23" t="n">
        <x:v>460.94358802129227</x:v>
      </x:c>
      <x:c r="CW331" s="23" t="n">
        <x:v>509.6182910419969</x:v>
      </x:c>
      <x:c r="CX331" s="23" t="n">
        <x:v>504.93144566594134</x:v>
      </x:c>
      <x:c r="CY331" s="23" t="n">
        <x:v>454.6223958333333</x:v>
      </x:c>
      <x:c r="CZ331" s="23" t="n">
        <x:v>449.7903645833333</x:v>
      </x:c>
      <x:c r="DA331" s="23" t="n">
        <x:v>10.026023794550156</x:v>
      </x:c>
      <x:c r="DB331" s="23" t="n">
        <x:v>450.78763834635413</x:v>
      </x:c>
      <x:c r="DC331" s="23" t="n">
        <x:v>450.59672037760413</x:v>
      </x:c>
      <x:c r="DD331" s="23" t="n">
        <x:v>451.9013671875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461.8351643880208</x:v>
      </x:c>
      <x:c r="DX331" s="23" t="n">
        <x:v>454.73124186197913</x:v>
      </x:c>
      <x:c r="DY331" s="23" t="n">
        <x:v>455.60526529947913</x:v>
      </x:c>
      <x:c r="DZ331" s="23" t="n">
        <x:v>462.40283203125</x:v>
      </x:c>
      <x:c r="EA331" s="23" t="n">
        <x:v>461.42650794270844</x:v>
      </x:c>
      <x:c r="EB331" s="23" t="n">
        <x:v>451.75370279947913</x:v>
      </x:c>
      <x:c r="EC331" s="23" t="n">
        <x:v>399.14640299479163</x:v>
      </x:c>
      <x:c r="ED331" s="23" t="n">
        <x:v>1232.251749674479</x:v>
      </x:c>
      <x:c r="EE331" s="23" t="n">
        <x:v>1235.7814127604165</x:v>
      </x:c>
      <x:c r="EF331" s="23" t="n">
        <x:v>1233.140625</x:v>
      </x:c>
      <x:c r="EG331" s="23" t="n">
        <x:v>1238.6905924479165</x:v>
      </x:c>
      <x:c r="EH331" s="23" t="n">
        <x:v>412.787109375</x:v>
      </x:c>
      <x:c r="EI331" s="23" t="n">
        <x:v>427.0009358723958</x:v>
      </x:c>
      <x:c r="EJ331" s="23" t="n">
        <x:v>411.3380940755208</x:v>
      </x:c>
      <x:c r="EK331" s="23" t="n">
        <x:v>1240.7247314453125</x:v>
      </x:c>
      <x:c r="EL331" s="23" t="n">
        <x:v>419.26444498697913</x:v>
      </x:c>
      <x:c r="EM331" s="23" t="n">
        <x:v>1260.0740559895833</x:v>
      </x:c>
      <x:c r="EN331" s="23" t="n">
        <x:v>736.0219922879689</x:v>
      </x:c>
      <x:c r="EO331" s="23" t="n">
        <x:v>559.6448974609375</x:v>
      </x:c>
      <x:c r="EP331" s="23" t="n">
        <x:f>SUM(B331:EO331)</x:f>
        <x:v>46111.325324979145</x:v>
      </x:c>
      <x:c r="EQ331" s="23" t="n">
        <x:f>SUMPRODUCT(B331:EO331,{0.2902,0.2946,0.3285,0.3975,0.3861,0.3316,0.3785,0.3764,0.301,0.2861,0.2926,0.2965,0.3213,0.3394,0.3477,0.3735,0.4118,0.4209,0.3662,0.3503,0.3964,0.4287,0.4321,0.4187,0.4068,0.3949,0.3738,0.3422,0.3415,0.3862,0.4424,0.4389,0.3706,0.3353,0.5258,0.8135,0.852,0.7933,0.7832,0.8171,0.831,0.8316,0.8744,0.8753,0.7886,0.6887,0.817,1.0789,1.1201,1.0512,0.9987,0.978,0.9781,0.9723,0.9457,0.9637,0.9867,0.9274,0.9933,1.1534,1.1555,1.1115,1.1318,1.1614,0.8937,0.4908,0.4522,0.5164,0.4872,0.4286,0.3992,0.4165,0.4563,0.476,0.4631,0.4652,0.6206,0.8246,0.8198,0.791,0.8096,0.7873,0.8949,1.0955,1.1502,1.1117,1.1216,1.2182,1.0035,0.6127,0.6031,0.6645,0.6404,0.6904,0.7326,0.7298,0.7431,0.7921,0.8415,0.8353,0.808,0.7988,0.8173,0.8285,0.7871,0.7151,0.8821,1.1686,1.1616,1.0694,1.055,1.0921,1.2167,1.3518,1.3574,1.3585,1.3904,1.3723,1.3802,1.404,1.3533,1.3233,1.3713,1.4076,1.1248,0.7306,0.7619,0.8185,0.7768,0.862,0.656,0.2681,0.2719,0.3384,0.2901,0.2883,0.3089,0.3147,0.3109,0.3202,0.3347,0.332,0.3679,0.4321})</x:f>
        <x:v>20101.10049227331</x:v>
      </x:c>
    </x:row>
    <x:row r="332" ht="14" customHeight="1">
      <x:c r="A332" s="3">
        <x:v>46019</x:v>
      </x:c>
      <x:c r="B332" s="23" t="n">
        <x:v>1424.00634765625</x:v>
      </x:c>
      <x:c r="C332" s="23" t="n">
        <x:v>1411.6141764322915</x:v>
      </x:c>
      <x:c r="D332" s="23" t="n">
        <x:v>584.0254720052083</x:v>
      </x:c>
      <x:c r="E332" s="23" t="n">
        <x:v>1418.3605550130208</x:v>
      </x:c>
      <x:c r="F332" s="23" t="n">
        <x:v>1412.7286376953125</x:v>
      </x:c>
      <x:c r="G332" s="23" t="n">
        <x:v>579.9717203776041</x:v>
      </x:c>
      <x:c r="H332" s="23" t="n">
        <x:v>603.1722412109375</x:v>
      </x:c>
      <x:c r="I332" s="23" t="n">
        <x:v>615.6053466796875</x:v>
      </x:c>
      <x:c r="J332" s="23" t="n">
        <x:v>1443.405069986979</x:v>
      </x:c>
      <x:c r="K332" s="23" t="n">
        <x:v>614.9486897786458</x:v>
      </x:c>
      <x:c r="L332" s="23" t="n">
        <x:v>607.486572265625</x:v>
      </x:c>
      <x:c r="M332" s="23" t="n">
        <x:v>607.1566975911458</x:v>
      </x:c>
      <x:c r="N332" s="23" t="n">
        <x:v>627.7580159505208</x:v>
      </x:c>
      <x:c r="O332" s="23" t="n">
        <x:v>637.2269287109375</x:v>
      </x:c>
      <x:c r="P332" s="23" t="n">
        <x:v>626.9087727864583</x:v>
      </x:c>
      <x:c r="Q332" s="23" t="n">
        <x:v>638.730224609375</x:v>
      </x:c>
      <x:c r="R332" s="23" t="n">
        <x:v>944.7606036562838</x:v>
      </x:c>
      <x:c r="S332" s="23" t="n">
        <x:v>1464.4512532552083</x:v>
      </x:c>
      <x:c r="T332" s="23" t="n">
        <x:v>651.5281575520833</x:v>
      </x:c>
      <x:c r="U332" s="23" t="n">
        <x:v>672.0308837890625</x:v>
      </x:c>
      <x:c r="V332" s="23" t="n">
        <x:v>637.834228515625</x:v>
      </x:c>
      <x:c r="W332" s="23" t="n">
        <x:v>678.3644205729166</x:v>
      </x:c>
      <x:c r="X332" s="23" t="n">
        <x:v>689.145751953125</x:v>
      </x:c>
      <x:c r="Y332" s="23" t="n">
        <x:v>681.4729817708333</x:v>
      </x:c>
      <x:c r="Z332" s="23" t="n">
        <x:v>663.5920003255208</x:v>
      </x:c>
      <x:c r="AA332" s="23" t="n">
        <x:v>676.0565185546875</x:v>
      </x:c>
      <x:c r="AB332" s="23" t="n">
        <x:v>676.471923828125</x:v>
      </x:c>
      <x:c r="AC332" s="23" t="n">
        <x:v>691.457763671875</x:v>
      </x:c>
      <x:c r="AD332" s="23" t="n">
        <x:v>696.5227864583333</x:v>
      </x:c>
      <x:c r="AE332" s="23" t="n">
        <x:v>0</x:v>
      </x:c>
      <x:c r="AF332" s="23" t="n">
        <x:v>698.0086263020833</x:v>
      </x:c>
      <x:c r="AG332" s="23" t="n">
        <x:v>700.8783365885416</x:v>
      </x:c>
      <x:c r="AH332" s="23" t="n">
        <x:v>678.0113525390625</x:v>
      </x:c>
      <x:c r="AI332" s="23" t="n">
        <x:v>1505.3882649739583</x:v>
      </x:c>
      <x:c r="AJ332" s="23" t="n">
        <x:v>771.39990234375</x:v>
      </x:c>
      <x:c r="AK332" s="23" t="n">
        <x:v>889.638916015625</x:v>
      </x:c>
      <x:c r="AL332" s="23" t="n">
        <x:v>897.7826334635416</x:v>
      </x:c>
      <x:c r="AM332" s="23" t="n">
        <x:v>885.481689453125</x:v>
      </x:c>
      <x:c r="AN332" s="23" t="n">
        <x:v>868.21240234375</x:v>
      </x:c>
      <x:c r="AO332" s="23" t="n">
        <x:v>870.9439772361022</x:v>
      </x:c>
      <x:c r="AP332" s="23" t="n">
        <x:v>879.4095865885416</x:v>
      </x:c>
      <x:c r="AQ332" s="23" t="n">
        <x:v>891.18994140625</x:v>
      </x:c>
      <x:c r="AR332" s="23" t="n">
        <x:v>849.2809510468005</x:v>
      </x:c>
      <x:c r="AS332" s="23" t="n">
        <x:v>804.9047620927915</x:v>
      </x:c>
      <x:c r="AT332" s="23" t="n">
        <x:v>748.3606130803688</x:v>
      </x:c>
      <x:c r="AU332" s="23" t="n">
        <x:v>694.6979512762601</x:v>
      </x:c>
      <x:c r="AV332" s="23" t="n">
        <x:v>764.0552597997187</x:v>
      </x:c>
      <x:c r="AW332" s="23" t="n">
        <x:v>145.54934383789606</x:v>
      </x:c>
      <x:c r="AX332" s="23" t="n">
        <x:v>87.44057693759896</x:v>
      </x:c>
      <x:c r="AY332" s="23" t="n">
        <x:v>16.067111869211203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47.809941573190294</x:v>
      </x:c>
      <x:c r="BF332" s="23" t="n">
        <x:v>518.0018143765067</x:v>
      </x:c>
      <x:c r="BG332" s="23" t="n">
        <x:v>465.43860885469894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0</x:v>
      </x:c>
      <x:c r="BM332" s="23" t="n">
        <x:v>0</x:v>
      </x:c>
      <x:c r="BN332" s="23" t="n">
        <x:v>0</x:v>
      </x:c>
      <x:c r="BO332" s="23" t="n">
        <x:v>1041.8163198667303</x:v>
      </x:c>
      <x:c r="BP332" s="23" t="n">
        <x:v>1016.7210102670043</x:v>
      </x:c>
      <x:c r="BQ332" s="23" t="n">
        <x:v>1013.8513654105882</x:v>
      </x:c>
      <x:c r="BR332" s="23" t="n">
        <x:v>998.9374746320461</x:v>
      </x:c>
      <x:c r="BS332" s="23" t="n">
        <x:v>974.0960367697322</x:v>
      </x:c>
      <x:c r="BT332" s="23" t="n">
        <x:v>949.5867200675102</x:v>
      </x:c>
      <x:c r="BU332" s="23" t="n">
        <x:v>935.705964124004</x:v>
      </x:c>
      <x:c r="BV332" s="23" t="n">
        <x:v>947.631984786269</x:v>
      </x:c>
      <x:c r="BW332" s="23" t="n">
        <x:v>953.6203544740938</x:v>
      </x:c>
      <x:c r="BX332" s="23" t="n">
        <x:v>952.1397198722989</x:v>
      </x:c>
      <x:c r="BY332" s="23" t="n">
        <x:v>947.8282873047352</x:v>
      </x:c>
      <x:c r="BZ332" s="23" t="n">
        <x:v>986.1307637991413</x:v>
      </x:c>
      <x:c r="CA332" s="23" t="n">
        <x:v>210.54076232011766</x:v>
      </x:c>
      <x:c r="CB332" s="23" t="n">
        <x:v>236.02191522208886</x:v>
      </x:c>
      <x:c r="CC332" s="23" t="n">
        <x:v>243.43451939534316</x:v>
      </x:c>
      <x:c r="CD332" s="23" t="n">
        <x:v>240.40910386460564</x:v>
      </x:c>
      <x:c r="CE332" s="23" t="n">
        <x:v>263.49243550110054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1358.6830855275507</x:v>
      </x:c>
      <x:c r="CN332" s="23" t="n">
        <x:v>1398.6860004028194</x:v>
      </x:c>
      <x:c r="CO332" s="23" t="n">
        <x:v>1439.9828140612112</x:v>
      </x:c>
      <x:c r="CP332" s="23" t="n">
        <x:v>1483.6851121589439</x:v>
      </x:c>
      <x:c r="CQ332" s="23" t="n">
        <x:v>1107.0290222463316</x:v>
      </x:c>
      <x:c r="CR332" s="23" t="n">
        <x:v>725.8902942071434</x:v>
      </x:c>
      <x:c r="CS332" s="23" t="n">
        <x:v>773.7653491069484</x:v>
      </x:c>
      <x:c r="CT332" s="23" t="n">
        <x:v>812.5530675739207</x:v>
      </x:c>
      <x:c r="CU332" s="23" t="n">
        <x:v>853.9802362389033</x:v>
      </x:c>
      <x:c r="CV332" s="23" t="n">
        <x:v>901.1622447750253</x:v>
      </x:c>
      <x:c r="CW332" s="23" t="n">
        <x:v>946.7479746440363</x:v>
      </x:c>
      <x:c r="CX332" s="23" t="n">
        <x:v>984.7752135104856</x:v>
      </x:c>
      <x:c r="CY332" s="23" t="n">
        <x:v>1023.028564453125</x:v>
      </x:c>
      <x:c r="CZ332" s="23" t="n">
        <x:v>1029.2504069010415</x:v>
      </x:c>
      <x:c r="DA332" s="23" t="n">
        <x:v>1027.2744003773198</x:v>
      </x:c>
      <x:c r="DB332" s="23" t="n">
        <x:v>1029.3019205729165</x:v>
      </x:c>
      <x:c r="DC332" s="23" t="n">
        <x:v>1041.7503255208333</x:v>
      </x:c>
      <x:c r="DD332" s="23" t="n">
        <x:v>912.103759765625</x:v>
      </x:c>
      <x:c r="DE332" s="23" t="n">
        <x:v>718.8230794270833</x:v>
      </x:c>
      <x:c r="DF332" s="23" t="n">
        <x:v>720.058349609375</x:v>
      </x:c>
      <x:c r="DG332" s="23" t="n">
        <x:v>737.318359375</x:v>
      </x:c>
      <x:c r="DH332" s="23" t="n">
        <x:v>716.828369140625</x:v>
      </x:c>
      <x:c r="DI332" s="23" t="n">
        <x:v>715.6148274739583</x:v>
      </x:c>
      <x:c r="DJ332" s="23" t="n">
        <x:v>730.4601236979166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78.98006184895817</x:v>
      </x:c>
      <x:c r="DW332" s="23" t="n">
        <x:v>706.5580240885416</x:v>
      </x:c>
      <x:c r="DX332" s="23" t="n">
        <x:v>716.0193684895833</x:v>
      </x:c>
      <x:c r="DY332" s="23" t="n">
        <x:v>720.20849609375</x:v>
      </x:c>
      <x:c r="DZ332" s="23" t="n">
        <x:v>724.263427734375</x:v>
      </x:c>
      <x:c r="EA332" s="23" t="n">
        <x:v>733.1262149739584</x:v>
      </x:c>
      <x:c r="EB332" s="23" t="n">
        <x:v>669.2520345052083</x:v>
      </x:c>
      <x:c r="EC332" s="23" t="n">
        <x:v>1397.431640625</x:v>
      </x:c>
      <x:c r="ED332" s="23" t="n">
        <x:v>540.3920491536458</x:v>
      </x:c>
      <x:c r="EE332" s="23" t="n">
        <x:v>559.0391031901041</x:v>
      </x:c>
      <x:c r="EF332" s="23" t="n">
        <x:v>552.826416015625</x:v>
      </x:c>
      <x:c r="EG332" s="23" t="n">
        <x:v>1381.6424967447915</x:v>
      </x:c>
      <x:c r="EH332" s="23" t="n">
        <x:v>1388.433390299479</x:v>
      </x:c>
      <x:c r="EI332" s="23" t="n">
        <x:v>568.046142578125</x:v>
      </x:c>
      <x:c r="EJ332" s="23" t="n">
        <x:v>1412.8941650390625</x:v>
      </x:c>
      <x:c r="EK332" s="23" t="n">
        <x:v>1404.873819986979</x:v>
      </x:c>
      <x:c r="EL332" s="23" t="n">
        <x:v>564.0470784505208</x:v>
      </x:c>
      <x:c r="EM332" s="23" t="n">
        <x:v>872.9777621447398</x:v>
      </x:c>
      <x:c r="EN332" s="23" t="n">
        <x:v>1418.6515706380208</x:v>
      </x:c>
      <x:c r="EO332" s="23" t="n">
        <x:v>585.7611490885416</x:v>
      </x:c>
      <x:c r="EP332" s="23" t="n">
        <x:f>SUM(B332:EO332)</x:f>
        <x:v>92450.88935678764</x:v>
      </x:c>
      <x:c r="EQ332" s="23" t="n">
        <x:f>SUMPRODUCT(B332:EO332,{0.4497,0.4319,0.4189,0.4375,0.4372,0.423,0.4465,0.4502,0.4345,0.4554,0.4493,0.4189,0.4382,0.4797,0.4905,0.4506,0.459,0.5117,0.5091,0.4975,0.5028,0.5017,0.5076,0.5239,0.5311,0.4994,0.4613,0.4806,0.492,0.4586,0.4218,0.4814,0.5321,0.421,0.6462,1.0782,1.0584,0.9664,1.0292,1.0784,1.0491,0.9905,0.9997,1.0322,1.0127,0.9498,1.1456,1.4817,1.5094,1.4229,1.371,1.3109,1.2797,1.2942,1.3198,1.2941,1.2158,1.1626,1.2479,1.4092,1.4456,1.3462,1.2754,1.3678,1.1665,0.7515,0.6869,0.7365,0.7248,0.7216,0.7097,0.6822,0.6633,0.6632,0.6518,0.6201,0.7743,1.0289,1.0736,1.0753,1.1048,1.0794,1.1677,1.3356,1.3594,1.3277,1.3418,1.3739,1.171,0.8558,0.8303,0.9004,0.9237,0.9493,0.9695,0.9698,0.9644,1.0353,1.1274,1.0953,1.0464,1.0654,1.1314,1.1576,1.1262,1.1047,1.1573,1.2434,1.2643,1.2939,1.3104,1.2363,1.3159,1.5023,1.4918,1.4383,1.4697,1.5442,1.5287,1.4697,1.5327,1.5651,1.5431,1.5538,1.3082,0.9346,0.898,0.9691,0.9944,1.0029,0.7549,0.3992,0.3669,0.3961,0.3477,0.3512,0.403,0.4343,0.3914,0.3918,0.4485,0.4552,0.4166,0.3839})</x:f>
        <x:v>68311.58666732414</x:v>
      </x:c>
    </x:row>
    <x:row r="333" ht="14" customHeight="1">
      <x:c r="A333" s="3">
        <x:v>46020</x:v>
      </x:c>
      <x:c r="B333" s="23" t="n">
        <x:v>1426.2962239583333</x:v>
      </x:c>
      <x:c r="C333" s="23" t="n">
        <x:v>1427.1991780598958</x:v>
      </x:c>
      <x:c r="D333" s="23" t="n">
        <x:v>1427.77392578125</x:v>
      </x:c>
      <x:c r="E333" s="23" t="n">
        <x:v>599.4733072916666</x:v>
      </x:c>
      <x:c r="F333" s="23" t="n">
        <x:v>1434.9405517578125</x:v>
      </x:c>
      <x:c r="G333" s="23" t="n">
        <x:v>1439.2488606770833</x:v>
      </x:c>
      <x:c r="H333" s="23" t="n">
        <x:v>610.5994466145833</x:v>
      </x:c>
      <x:c r="I333" s="23" t="n">
        <x:v>613.1465250651041</x:v>
      </x:c>
      <x:c r="J333" s="23" t="n">
        <x:v>606.7177734375</x:v>
      </x:c>
      <x:c r="K333" s="23" t="n">
        <x:v>610.2170817057291</x:v>
      </x:c>
      <x:c r="L333" s="23" t="n">
        <x:v>617.565673828125</x:v>
      </x:c>
      <x:c r="M333" s="23" t="n">
        <x:v>625.49853515625</x:v>
      </x:c>
      <x:c r="N333" s="23" t="n">
        <x:v>617.5823160807291</x:v>
      </x:c>
      <x:c r="O333" s="23" t="n">
        <x:v>623.7220052083333</x:v>
      </x:c>
      <x:c r="P333" s="23" t="n">
        <x:v>649.1047770182291</x:v>
      </x:c>
      <x:c r="Q333" s="23" t="n">
        <x:v>658.0532633463541</x:v>
      </x:c>
      <x:c r="R333" s="23" t="n">
        <x:v>909.8069298659336</x:v>
      </x:c>
      <x:c r="S333" s="23" t="n">
        <x:v>1455.293497721354</x:v>
      </x:c>
      <x:c r="T333" s="23" t="n">
        <x:v>651.6035563151041</x:v>
      </x:c>
      <x:c r="U333" s="23" t="n">
        <x:v>672.4634602864583</x:v>
      </x:c>
      <x:c r="V333" s="23" t="n">
        <x:v>681.870849609375</x:v>
      </x:c>
      <x:c r="W333" s="23" t="n">
        <x:v>685.5347493489583</x:v>
      </x:c>
      <x:c r="X333" s="23" t="n">
        <x:v>684.8798014322916</x:v>
      </x:c>
      <x:c r="Y333" s="23" t="n">
        <x:v>687.9678548177083</x:v>
      </x:c>
      <x:c r="Z333" s="23" t="n">
        <x:v>684.3397623697916</x:v>
      </x:c>
      <x:c r="AA333" s="23" t="n">
        <x:v>658.6185302734375</x:v>
      </x:c>
      <x:c r="AB333" s="23" t="n">
        <x:v>646.7069498697916</x:v>
      </x:c>
      <x:c r="AC333" s="23" t="n">
        <x:v>687.6321614583333</x:v>
      </x:c>
      <x:c r="AD333" s="23" t="n">
        <x:v>700.4017740885416</x:v>
      </x:c>
      <x:c r="AE333" s="23" t="n">
        <x:v>687.3006998697916</x:v>
      </x:c>
      <x:c r="AF333" s="23" t="n">
        <x:v>688.350341796875</x:v>
      </x:c>
      <x:c r="AG333" s="23" t="n">
        <x:v>692.7003580729166</x:v>
      </x:c>
      <x:c r="AH333" s="23" t="n">
        <x:v>688.5629069010416</x:v>
      </x:c>
      <x:c r="AI333" s="23" t="n">
        <x:v>646.0203857421875</x:v>
      </x:c>
      <x:c r="AJ333" s="23" t="n">
        <x:v>723.1389973958333</x:v>
      </x:c>
      <x:c r="AK333" s="23" t="n">
        <x:v>874.265625</x:v>
      </x:c>
      <x:c r="AL333" s="23" t="n">
        <x:v>872.9884440104166</x:v>
      </x:c>
      <x:c r="AM333" s="23" t="n">
        <x:v>871.5128580729166</x:v>
      </x:c>
      <x:c r="AN333" s="23" t="n">
        <x:v>876.6796061197916</x:v>
      </x:c>
      <x:c r="AO333" s="23" t="n">
        <x:v>876.1714889543612</x:v>
      </x:c>
      <x:c r="AP333" s="23" t="n">
        <x:v>884.3413899739583</x:v>
      </x:c>
      <x:c r="AQ333" s="23" t="n">
        <x:v>879.1592610677083</x:v>
      </x:c>
      <x:c r="AR333" s="23" t="n">
        <x:v>848.2685583412009</x:v>
      </x:c>
      <x:c r="AS333" s="23" t="n">
        <x:v>821.7585566002103</x:v>
      </x:c>
      <x:c r="AT333" s="23" t="n">
        <x:v>771.0356784235847</x:v>
      </x:c>
      <x:c r="AU333" s="23" t="n">
        <x:v>719.1854584356809</x:v>
      </x:c>
      <x:c r="AV333" s="23" t="n">
        <x:v>781.5941297607666</x:v>
      </x:c>
      <x:c r="AW333" s="23" t="n">
        <x:v>139.95578888322248</x:v>
      </x:c>
      <x:c r="AX333" s="23" t="n">
        <x:v>100.11844144731049</x:v>
      </x:c>
      <x:c r="AY333" s="23" t="n">
        <x:v>28.525550661576894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243.42135647059052</x:v>
      </x:c>
      <x:c r="BG333" s="23" t="n">
        <x:v>448.3803165575514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0</x:v>
      </x:c>
      <x:c r="BO333" s="23" t="n">
        <x:v>1014.8730035176916</x:v>
      </x:c>
      <x:c r="BP333" s="23" t="n">
        <x:v>1005.1176448088199</x:v>
      </x:c>
      <x:c r="BQ333" s="23" t="n">
        <x:v>1000.4454622307583</x:v>
      </x:c>
      <x:c r="BR333" s="23" t="n">
        <x:v>996.8077348451952</x:v>
      </x:c>
      <x:c r="BS333" s="23" t="n">
        <x:v>984.790491794931</x:v>
      </x:c>
      <x:c r="BT333" s="23" t="n">
        <x:v>968.3598637719848</x:v>
      </x:c>
      <x:c r="BU333" s="23" t="n">
        <x:v>926.0612891015917</x:v>
      </x:c>
      <x:c r="BV333" s="23" t="n">
        <x:v>915.8439799921562</x:v>
      </x:c>
      <x:c r="BW333" s="23" t="n">
        <x:v>917.6920945054995</x:v>
      </x:c>
      <x:c r="BX333" s="23" t="n">
        <x:v>933.3727649697572</x:v>
      </x:c>
      <x:c r="BY333" s="23" t="n">
        <x:v>959.4877305190699</x:v>
      </x:c>
      <x:c r="BZ333" s="23" t="n">
        <x:v>978.4989611820853</x:v>
      </x:c>
      <x:c r="CA333" s="23" t="n">
        <x:v>171.15680590963316</x:v>
      </x:c>
      <x:c r="CB333" s="23" t="n">
        <x:v>205.22250675332148</x:v>
      </x:c>
      <x:c r="CC333" s="23" t="n">
        <x:v>223.5749357971158</x:v>
      </x:c>
      <x:c r="CD333" s="23" t="n">
        <x:v>224.55056919921117</x:v>
      </x:c>
      <x:c r="CE333" s="23" t="n">
        <x:v>243.61025936526795</x:v>
      </x:c>
      <x:c r="CF333" s="23" t="n">
        <x:v>272.10603432044957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1319.4768931719127</x:v>
      </x:c>
      <x:c r="CN333" s="23" t="n">
        <x:v>1373.8593550120058</x:v>
      </x:c>
      <x:c r="CO333" s="23" t="n">
        <x:v>1421.3681902964845</x:v>
      </x:c>
      <x:c r="CP333" s="23" t="n">
        <x:v>633.1180133175154</x:v>
      </x:c>
      <x:c r="CQ333" s="23" t="n">
        <x:v>679.4193515264717</x:v>
      </x:c>
      <x:c r="CR333" s="23" t="n">
        <x:v>1513.0559050658958</x:v>
      </x:c>
      <x:c r="CS333" s="23" t="n">
        <x:v>770.9665756239089</x:v>
      </x:c>
      <x:c r="CT333" s="23" t="n">
        <x:v>817.9569423694766</x:v>
      </x:c>
      <x:c r="CU333" s="23" t="n">
        <x:v>854.8772694715253</x:v>
      </x:c>
      <x:c r="CV333" s="23" t="n">
        <x:v>896.8128352148269</x:v>
      </x:c>
      <x:c r="CW333" s="23" t="n">
        <x:v>951.9325083044732</x:v>
      </x:c>
      <x:c r="CX333" s="23" t="n">
        <x:v>984.665565634819</x:v>
      </x:c>
      <x:c r="CY333" s="23" t="n">
        <x:v>1017.5215657552083</x:v>
      </x:c>
      <x:c r="CZ333" s="23" t="n">
        <x:v>1022.2508951822916</x:v>
      </x:c>
      <x:c r="DA333" s="23" t="n">
        <x:v>1024.5869767456486</x:v>
      </x:c>
      <x:c r="DB333" s="23" t="n">
        <x:v>1025.4314778645833</x:v>
      </x:c>
      <x:c r="DC333" s="23" t="n">
        <x:v>1046.2554524739583</x:v>
      </x:c>
      <x:c r="DD333" s="23" t="n">
        <x:v>951.784912109375</x:v>
      </x:c>
      <x:c r="DE333" s="23" t="n">
        <x:v>722.1075846354166</x:v>
      </x:c>
      <x:c r="DF333" s="23" t="n">
        <x:v>718.2772623697916</x:v>
      </x:c>
      <x:c r="DG333" s="23" t="n">
        <x:v>730.30615234375</x:v>
      </x:c>
      <x:c r="DH333" s="23" t="n">
        <x:v>719.9112141927083</x:v>
      </x:c>
      <x:c r="DI333" s="23" t="n">
        <x:v>724.841796875</x:v>
      </x:c>
      <x:c r="DJ333" s="23" t="n">
        <x:v>721.8755696614583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43.248037109374835</x:v>
      </x:c>
      <x:c r="DW333" s="23" t="n">
        <x:v>725.2798665364583</x:v>
      </x:c>
      <x:c r="DX333" s="23" t="n">
        <x:v>745.8862645238555</x:v>
      </x:c>
      <x:c r="DY333" s="23" t="n">
        <x:v>727.451416015625</x:v>
      </x:c>
      <x:c r="DZ333" s="23" t="n">
        <x:v>730.61572265625</x:v>
      </x:c>
      <x:c r="EA333" s="23" t="n">
        <x:v>733.815185546875</x:v>
      </x:c>
      <x:c r="EB333" s="23" t="n">
        <x:v>661.8188277083332</x:v>
      </x:c>
      <x:c r="EC333" s="23" t="n">
        <x:v>553.376953125</x:v>
      </x:c>
      <x:c r="ED333" s="23" t="n">
        <x:v>1372.278849283854</x:v>
      </x:c>
      <x:c r="EE333" s="23" t="n">
        <x:v>550.3059488932291</x:v>
      </x:c>
      <x:c r="EF333" s="23" t="n">
        <x:v>1382.2003580729165</x:v>
      </x:c>
      <x:c r="EG333" s="23" t="n">
        <x:v>1390.1661783854165</x:v>
      </x:c>
      <x:c r="EH333" s="23" t="n">
        <x:v>1399.107666015625</x:v>
      </x:c>
      <x:c r="EI333" s="23" t="n">
        <x:v>565.9005940755208</x:v>
      </x:c>
      <x:c r="EJ333" s="23" t="n">
        <x:v>1397.334716796875</x:v>
      </x:c>
      <x:c r="EK333" s="23" t="n">
        <x:v>1397.4489339192708</x:v>
      </x:c>
      <x:c r="EL333" s="23" t="n">
        <x:v>572.877685546875</x:v>
      </x:c>
      <x:c r="EM333" s="23" t="n">
        <x:v>590.2344563802083</x:v>
      </x:c>
      <x:c r="EN333" s="23" t="n">
        <x:v>583.3157552083333</x:v>
      </x:c>
      <x:c r="EO333" s="23" t="n">
        <x:v>880.0721356336808</x:v>
      </x:c>
      <x:c r="EP333" s="23" t="n">
        <x:f>SUM(B333:EO333)</x:f>
        <x:v>91544.66347024018</x:v>
      </x:c>
      <x:c r="EQ333" s="23" t="n">
        <x:f>SUMPRODUCT(B333:EO333,{0.3987,0.4023,0.3902,0.4169,0.4546,0.4721,0.464,0.4511,0.4529,0.4749,0.4968,0.495,0.4654,0.4687,0.4941,0.4746,0.4629,0.4836,0.5036,0.4941,0.4646,0.4551,0.4842,0.5212,0.5145,0.4993,0.4948,0.4877,0.4883,0.5015,0.5177,0.5155,0.4863,0.4751,0.6643,0.9497,1.0182,1.0009,1.0193,1.0587,1.0584,1.0192,0.9946,0.963,0.9058,0.8706,1.065,1.3594,1.39,1.3544,1.3661,1.3354,1.2748,1.2391,1.2625,1.2462,1.1932,1.2102,1.2771,1.3373,1.3458,1.3189,1.3237,1.3739,1.1509,0.7584,0.6549,0.6999,0.7386,0.7496,0.6862,0.6145,0.6628,0.727,0.7147,0.6575,0.7823,1.021,1.08,1.1268,1.1705,1.0646,1.1289,1.3389,1.3474,1.3568,1.4662,1.5131,1.2905,0.9552,0.8918,0.9147,0.8827,0.8531,0.9071,0.997,0.9997,1.0163,1.0842,1.1319,1.1374,1.1176,1.1064,1.1046,1.0978,1.0874,1.1586,1.256,1.2384,1.2603,1.3244,1.2914,1.3502,1.4986,1.5276,1.5031,1.4935,1.4983,1.5127,1.5207,1.5046,1.4831,1.4996,1.5396,1.3173,0.9552,0.8936,0.9475,0.979,0.9985,0.7923,0.4623,0.3684,0.4098,0.448,0.447,0.4539,0.46,0.4148,0.3959,0.4121,0.3987,0.3995,0.4211})</x:f>
        <x:v>67764.95588074217</x:v>
      </x:c>
    </x:row>
    <x:row r="334" ht="14" customHeight="1">
      <x:c r="A334" s="3">
        <x:v>46021</x:v>
      </x:c>
      <x:c r="B334" s="23" t="n">
        <x:v>1420.9184163411458</x:v>
      </x:c>
      <x:c r="C334" s="23" t="n">
        <x:v>1429.5882975260415</x:v>
      </x:c>
      <x:c r="D334" s="23" t="n">
        <x:v>598.7849934895833</x:v>
      </x:c>
      <x:c r="E334" s="23" t="n">
        <x:v>1429.695353190104</x:v>
      </x:c>
      <x:c r="F334" s="23" t="n">
        <x:v>1425.843994140625</x:v>
      </x:c>
      <x:c r="G334" s="23" t="n">
        <x:v>594.7226155598958</x:v>
      </x:c>
      <x:c r="H334" s="23" t="n">
        <x:v>602.9127197265625</x:v>
      </x:c>
      <x:c r="I334" s="23" t="n">
        <x:v>1049.3425080624665</x:v>
      </x:c>
      <x:c r="J334" s="23" t="n">
        <x:v>607.8141276041666</x:v>
      </x:c>
      <x:c r="K334" s="23" t="n">
        <x:v>1438.208740234375</x:v>
      </x:c>
      <x:c r="L334" s="23" t="n">
        <x:v>620.0526123046875</x:v>
      </x:c>
      <x:c r="M334" s="23" t="n">
        <x:v>633.8063151041666</x:v>
      </x:c>
      <x:c r="N334" s="23" t="n">
        <x:v>642.7913818359375</x:v>
      </x:c>
      <x:c r="O334" s="23" t="n">
        <x:v>635.7112630208333</x:v>
      </x:c>
      <x:c r="P334" s="23" t="n">
        <x:v>630.5359293619791</x:v>
      </x:c>
      <x:c r="Q334" s="23" t="n">
        <x:v>646.7819417317708</x:v>
      </x:c>
      <x:c r="R334" s="23" t="n">
        <x:v>651.6943766276041</x:v>
      </x:c>
      <x:c r="S334" s="23" t="n">
        <x:v>656.1898193359375</x:v>
      </x:c>
      <x:c r="T334" s="23" t="n">
        <x:v>668.9746907552083</x:v>
      </x:c>
      <x:c r="U334" s="23" t="n">
        <x:v>677.5727945963541</x:v>
      </x:c>
      <x:c r="V334" s="23" t="n">
        <x:v>680.9495442708333</x:v>
      </x:c>
      <x:c r="W334" s="23" t="n">
        <x:v>662.0756022135416</x:v>
      </x:c>
      <x:c r="X334" s="23" t="n">
        <x:v>664.1794840494791</x:v>
      </x:c>
      <x:c r="Y334" s="23" t="n">
        <x:v>678.8658040364583</x:v>
      </x:c>
      <x:c r="Z334" s="23" t="n">
        <x:v>637.4587809244791</x:v>
      </x:c>
      <x:c r="AA334" s="23" t="n">
        <x:v>649.4724527994791</x:v>
      </x:c>
      <x:c r="AB334" s="23" t="n">
        <x:v>696.4131673177083</x:v>
      </x:c>
      <x:c r="AC334" s="23" t="n">
        <x:v>695.1092122395833</x:v>
      </x:c>
      <x:c r="AD334" s="23" t="n">
        <x:v>702.2593587239583</x:v>
      </x:c>
      <x:c r="AE334" s="23" t="n">
        <x:v>686.6714680989583</x:v>
      </x:c>
      <x:c r="AF334" s="23" t="n">
        <x:v>678.6785481770833</x:v>
      </x:c>
      <x:c r="AG334" s="23" t="n">
        <x:v>678.1681722005208</x:v>
      </x:c>
      <x:c r="AH334" s="23" t="n">
        <x:v>662.8586018880208</x:v>
      </x:c>
      <x:c r="AI334" s="23" t="n">
        <x:v>1472.3935139973958</x:v>
      </x:c>
      <x:c r="AJ334" s="23" t="n">
        <x:v>721.001953125</x:v>
      </x:c>
      <x:c r="AK334" s="23" t="n">
        <x:v>853.0463053385416</x:v>
      </x:c>
      <x:c r="AL334" s="23" t="n">
        <x:v>881.0237630208333</x:v>
      </x:c>
      <x:c r="AM334" s="23" t="n">
        <x:v>875.2559407552083</x:v>
      </x:c>
      <x:c r="AN334" s="23" t="n">
        <x:v>881.1000162760416</x:v>
      </x:c>
      <x:c r="AO334" s="23" t="n">
        <x:v>877.5785771772707</x:v>
      </x:c>
      <x:c r="AP334" s="23" t="n">
        <x:v>883.109375</x:v>
      </x:c>
      <x:c r="AQ334" s="23" t="n">
        <x:v>884.5365397135416</x:v>
      </x:c>
      <x:c r="AR334" s="23" t="n">
        <x:v>849.1680214310036</x:v>
      </x:c>
      <x:c r="AS334" s="23" t="n">
        <x:v>815.946278943406</x:v>
      </x:c>
      <x:c r="AT334" s="23" t="n">
        <x:v>767.5930552430236</x:v>
      </x:c>
      <x:c r="AU334" s="23" t="n">
        <x:v>692.452446140876</x:v>
      </x:c>
      <x:c r="AV334" s="23" t="n">
        <x:v>765.5284425379415</x:v>
      </x:c>
      <x:c r="AW334" s="23" t="n">
        <x:v>129.11495087476806</x:v>
      </x:c>
      <x:c r="AX334" s="23" t="n">
        <x:v>98.67631403087701</x:v>
      </x:c>
      <x:c r="AY334" s="23" t="n">
        <x:v>18.343899995665044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132.99899831444978</x:v>
      </x:c>
      <x:c r="BG334" s="23" t="n">
        <x:v>438.99373781153474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0</x:v>
      </x:c>
      <x:c r="BO334" s="23" t="n">
        <x:v>1027.9964925705344</x:v>
      </x:c>
      <x:c r="BP334" s="23" t="n">
        <x:v>999.8628599252075</x:v>
      </x:c>
      <x:c r="BQ334" s="23" t="n">
        <x:v>991.450666840025</x:v>
      </x:c>
      <x:c r="BR334" s="23" t="n">
        <x:v>979.6751171927901</x:v>
      </x:c>
      <x:c r="BS334" s="23" t="n">
        <x:v>972.629616194532</x:v>
      </x:c>
      <x:c r="BT334" s="23" t="n">
        <x:v>956.3098624798206</x:v>
      </x:c>
      <x:c r="BU334" s="23" t="n">
        <x:v>922.9223038567948</x:v>
      </x:c>
      <x:c r="BV334" s="23" t="n">
        <x:v>919.1625196884676</x:v>
      </x:c>
      <x:c r="BW334" s="23" t="n">
        <x:v>928.9735789369516</x:v>
      </x:c>
      <x:c r="BX334" s="23" t="n">
        <x:v>959.1048581357538</x:v>
      </x:c>
      <x:c r="BY334" s="23" t="n">
        <x:v>981.0075414664755</x:v>
      </x:c>
      <x:c r="BZ334" s="23" t="n">
        <x:v>985.2690188966232</x:v>
      </x:c>
      <x:c r="CA334" s="23" t="n">
        <x:v>177.60848382600912</x:v>
      </x:c>
      <x:c r="CB334" s="23" t="n">
        <x:v>210.69709038668466</x:v>
      </x:c>
      <x:c r="CC334" s="23" t="n">
        <x:v>227.45395068324063</x:v>
      </x:c>
      <x:c r="CD334" s="23" t="n">
        <x:v>238.93392927865776</x:v>
      </x:c>
      <x:c r="CE334" s="23" t="n">
        <x:v>245.15648963851405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1331.620390785281</x:v>
      </x:c>
      <x:c r="CN334" s="23" t="n">
        <x:v>1377.454113318154</x:v>
      </x:c>
      <x:c r="CO334" s="23" t="n">
        <x:v>986.6176305575606</x:v>
      </x:c>
      <x:c r="CP334" s="23" t="n">
        <x:v>1456.1462404823951</x:v>
      </x:c>
      <x:c r="CQ334" s="23" t="n">
        <x:v>1506.4561209268832</x:v>
      </x:c>
      <x:c r="CR334" s="23" t="n">
        <x:v>721.798444470078</x:v>
      </x:c>
      <x:c r="CS334" s="23" t="n">
        <x:v>765.6924885855557</x:v>
      </x:c>
      <x:c r="CT334" s="23" t="n">
        <x:v>815.1412166344004</x:v>
      </x:c>
      <x:c r="CU334" s="23" t="n">
        <x:v>865.6955062465549</x:v>
      </x:c>
      <x:c r="CV334" s="23" t="n">
        <x:v>917.7795161249365</x:v>
      </x:c>
      <x:c r="CW334" s="23" t="n">
        <x:v>953.1346270005866</x:v>
      </x:c>
      <x:c r="CX334" s="23" t="n">
        <x:v>983.3842013329219</x:v>
      </x:c>
      <x:c r="CY334" s="23" t="n">
        <x:v>1028.9786783854165</x:v>
      </x:c>
      <x:c r="CZ334" s="23" t="n">
        <x:v>1023.9921875</x:v>
      </x:c>
      <x:c r="DA334" s="23" t="n">
        <x:v>1016.3767890881996</x:v>
      </x:c>
      <x:c r="DB334" s="23" t="n">
        <x:v>1022.0872395833333</x:v>
      </x:c>
      <x:c r="DC334" s="23" t="n">
        <x:v>1044.756103515625</x:v>
      </x:c>
      <x:c r="DD334" s="23" t="n">
        <x:v>930.041259765625</x:v>
      </x:c>
      <x:c r="DE334" s="23" t="n">
        <x:v>726.0096028645833</x:v>
      </x:c>
      <x:c r="DF334" s="23" t="n">
        <x:v>711.5224609375</x:v>
      </x:c>
      <x:c r="DG334" s="23" t="n">
        <x:v>728.06298828125</x:v>
      </x:c>
      <x:c r="DH334" s="23" t="n">
        <x:v>724.92041015625</x:v>
      </x:c>
      <x:c r="DI334" s="23" t="n">
        <x:v>722.4869791666666</x:v>
      </x:c>
      <x:c r="DJ334" s="23" t="n">
        <x:v>719.1658528645833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88.8832096354159</x:v>
      </x:c>
      <x:c r="DW334" s="23" t="n">
        <x:v>725.3933919270833</x:v>
      </x:c>
      <x:c r="DX334" s="23" t="n">
        <x:v>744.9896173884388</x:v>
      </x:c>
      <x:c r="DY334" s="23" t="n">
        <x:v>727.72314453125</x:v>
      </x:c>
      <x:c r="DZ334" s="23" t="n">
        <x:v>731.3557942708333</x:v>
      </x:c>
      <x:c r="EA334" s="23" t="n">
        <x:v>746.9032389322916</x:v>
      </x:c>
      <x:c r="EB334" s="23" t="n">
        <x:v>680.5668338932289</x:v>
      </x:c>
      <x:c r="EC334" s="23" t="n">
        <x:v>1385.8811848958333</x:v>
      </x:c>
      <x:c r="ED334" s="23" t="n">
        <x:v>546.5345052083333</x:v>
      </x:c>
      <x:c r="EE334" s="23" t="n">
        <x:v>561.533447265625</x:v>
      </x:c>
      <x:c r="EF334" s="23" t="n">
        <x:v>1387.8206380208333</x:v>
      </x:c>
      <x:c r="EG334" s="23" t="n">
        <x:v>1397.2262369791665</x:v>
      </x:c>
      <x:c r="EH334" s="23" t="n">
        <x:v>1400.793741861979</x:v>
      </x:c>
      <x:c r="EI334" s="23" t="n">
        <x:v>561.81787109375</x:v>
      </x:c>
      <x:c r="EJ334" s="23" t="n">
        <x:v>1405.6539713541665</x:v>
      </x:c>
      <x:c r="EK334" s="23" t="n">
        <x:v>1405.4149169921875</x:v>
      </x:c>
      <x:c r="EL334" s="23" t="n">
        <x:v>575.5255940755208</x:v>
      </x:c>
      <x:c r="EM334" s="23" t="n">
        <x:v>880.9025799696183</x:v>
      </x:c>
      <x:c r="EN334" s="23" t="n">
        <x:v>584.2894287109375</x:v>
      </x:c>
      <x:c r="EO334" s="23" t="n">
        <x:v>588.5137125651041</x:v>
      </x:c>
      <x:c r="EP334" s="23" t="n">
        <x:f>SUM(B334:EO334)</x:f>
        <x:v>91804.22370535992</x:v>
      </x:c>
      <x:c r="EQ334" s="23" t="n">
        <x:f>SUMPRODUCT(B334:EO334,{0.425,0.4505,0.4839,0.4612,0.4094,0.3875,0.4304,0.4458,0.4332,0.4756,0.5009,0.4813,0.4619,0.442,0.4406,0.486,0.5147,0.5001,0.4726,0.4511,0.4271,0.3975,0.4681,0.5689,0.5126,0.451,0.4768,0.5299,0.5299,0.4953,0.5082,0.4994,0.4432,0.4311,0.6764,1.0114,1.0314,1.0105,1.0554,1.0015,0.9597,0.9805,0.9986,1.0159,0.991,0.912,1.1103,1.4566,1.463,1.3818,1.3714,1.3343,1.2895,1.2797,1.3122,1.2949,1.2118,1.155,1.2343,1.3794,1.3988,1.3475,1.346,1.4093,1.1546,0.738,0.7239,0.7726,0.713,0.7093,0.6689,0.5988,0.6218,0.6508,0.6233,0.5983,0.7844,1.0351,0.9888,0.9711,1.0546,1.0082,1.0872,1.2959,1.3518,1.3342,1.3686,1.4445,1.226,0.8625,0.8681,0.9639,0.9497,0.9107,0.9355,0.9981,1.0026,1.0172,1.0539,1.0516,1.0489,1.0763,1.1216,1.1354,1.108,1.0878,1.1585,1.279,1.3155,1.2943,1.2629,1.2586,1.3537,1.486,1.507,1.492,1.4952,1.4969,1.4949,1.5003,1.5189,1.5113,1.5147,1.5554,1.2929,0.8932,0.8985,0.9737,0.9678,1.0231,0.8354,0.4765,0.3684,0.3717,0.3775,0.4239,0.4363,0.4046,0.3938,0.3936,0.398,0.4128,0.3986,0.4023})</x:f>
        <x:v>67265.42180231234</x:v>
      </x:c>
    </x:row>
    <x:row r="335" ht="14" customHeight="1">
      <x:c r="A335" s="3">
        <x:v>46022</x:v>
      </x:c>
      <x:c r="B335" s="23" t="n">
        <x:v>598.9721272786458</x:v>
      </x:c>
      <x:c r="C335" s="23" t="n">
        <x:v>1433.2935791015625</x:v>
      </x:c>
      <x:c r="D335" s="23" t="n">
        <x:v>1432.1437174479165</x:v>
      </x:c>
      <x:c r="E335" s="23" t="n">
        <x:v>1426.5873616536458</x:v>
      </x:c>
      <x:c r="F335" s="23" t="n">
        <x:v>1425.7119140625</x:v>
      </x:c>
      <x:c r="G335" s="23" t="n">
        <x:v>596.5395914713541</x:v>
      </x:c>
      <x:c r="H335" s="23" t="n">
        <x:v>605.9472249348958</x:v>
      </x:c>
      <x:c r="I335" s="23" t="n">
        <x:v>606.8580322265625</x:v>
      </x:c>
      <x:c r="J335" s="23" t="n">
        <x:v>603.986083984375</x:v>
      </x:c>
      <x:c r="K335" s="23" t="n">
        <x:v>604.2357177734375</x:v>
      </x:c>
      <x:c r="L335" s="23" t="n">
        <x:v>615.2715657552083</x:v>
      </x:c>
      <x:c r="M335" s="23" t="n">
        <x:v>1460.1650390625</x:v>
      </x:c>
      <x:c r="N335" s="23" t="n">
        <x:v>626.2660319010416</x:v>
      </x:c>
      <x:c r="O335" s="23" t="n">
        <x:v>630.3657633463541</x:v>
      </x:c>
      <x:c r="P335" s="23" t="n">
        <x:v>626.6859130859375</x:v>
      </x:c>
      <x:c r="Q335" s="23" t="n">
        <x:v>633.4246419270833</x:v>
      </x:c>
      <x:c r="R335" s="23" t="n">
        <x:v>627.1502278645833</x:v>
      </x:c>
      <x:c r="S335" s="23" t="n">
        <x:v>1473.5039876302083</x:v>
      </x:c>
      <x:c r="T335" s="23" t="n">
        <x:v>638.0702718098958</x:v>
      </x:c>
      <x:c r="U335" s="23" t="n">
        <x:v>650.6368815104166</x:v>
      </x:c>
      <x:c r="V335" s="23" t="n">
        <x:v>657.1256510416666</x:v>
      </x:c>
      <x:c r="W335" s="23" t="n">
        <x:v>645.9830729166666</x:v>
      </x:c>
      <x:c r="X335" s="23" t="n">
        <x:v>668.9720458984375</x:v>
      </x:c>
      <x:c r="Y335" s="23" t="n">
        <x:v>698.4248860677083</x:v>
      </x:c>
      <x:c r="Z335" s="23" t="n">
        <x:v>691.2537434895833</x:v>
      </x:c>
      <x:c r="AA335" s="23" t="n">
        <x:v>682.1575113932291</x:v>
      </x:c>
      <x:c r="AB335" s="23" t="n">
        <x:v>682.2933349609375</x:v>
      </x:c>
      <x:c r="AC335" s="23" t="n">
        <x:v>677.1073811848958</x:v>
      </x:c>
      <x:c r="AD335" s="23" t="n">
        <x:v>671.8868815104166</x:v>
      </x:c>
      <x:c r="AE335" s="23" t="n">
        <x:v>663.6466471354166</x:v>
      </x:c>
      <x:c r="AF335" s="23" t="n">
        <x:v>682.4385172526041</x:v>
      </x:c>
      <x:c r="AG335" s="23" t="n">
        <x:v>705.0030924479166</x:v>
      </x:c>
      <x:c r="AH335" s="23" t="n">
        <x:v>702.2180989583333</x:v>
      </x:c>
      <x:c r="AI335" s="23" t="n">
        <x:v>1045.4026615364169</x:v>
      </x:c>
      <x:c r="AJ335" s="23" t="n">
        <x:v>740.2696126302083</x:v>
      </x:c>
      <x:c r="AK335" s="23" t="n">
        <x:v>863.1006673177083</x:v>
      </x:c>
      <x:c r="AL335" s="23" t="n">
        <x:v>882.5469563802083</x:v>
      </x:c>
      <x:c r="AM335" s="23" t="n">
        <x:v>875.185302734375</x:v>
      </x:c>
      <x:c r="AN335" s="23" t="n">
        <x:v>881.4800618489583</x:v>
      </x:c>
      <x:c r="AO335" s="23" t="n">
        <x:v>875.7308272320945</x:v>
      </x:c>
      <x:c r="AP335" s="23" t="n">
        <x:v>885.869873046875</x:v>
      </x:c>
      <x:c r="AQ335" s="23" t="n">
        <x:v>878.87646484375</x:v>
      </x:c>
      <x:c r="AR335" s="23" t="n">
        <x:v>841.8693287604599</x:v>
      </x:c>
      <x:c r="AS335" s="23" t="n">
        <x:v>826.6984524570282</x:v>
      </x:c>
      <x:c r="AT335" s="23" t="n">
        <x:v>779.5056416946356</x:v>
      </x:c>
      <x:c r="AU335" s="23" t="n">
        <x:v>721.0764458492415</x:v>
      </x:c>
      <x:c r="AV335" s="23" t="n">
        <x:v>770.2022275886504</x:v>
      </x:c>
      <x:c r="AW335" s="23" t="n">
        <x:v>141.1370478102414</x:v>
      </x:c>
      <x:c r="AX335" s="23" t="n">
        <x:v>114.67392661425447</x:v>
      </x:c>
      <x:c r="AY335" s="23" t="n">
        <x:v>35.260683070715004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302.1903609504922</x:v>
      </x:c>
      <x:c r="BG335" s="23" t="n">
        <x:v>453.71773872808944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0</x:v>
      </x:c>
      <x:c r="BO335" s="23" t="n">
        <x:v>1040.0849003249932</x:v>
      </x:c>
      <x:c r="BP335" s="23" t="n">
        <x:v>1017.1586852437551</x:v>
      </x:c>
      <x:c r="BQ335" s="23" t="n">
        <x:v>1011.3694529012027</x:v>
      </x:c>
      <x:c r="BR335" s="23" t="n">
        <x:v>1012.9665207123446</x:v>
      </x:c>
      <x:c r="BS335" s="23" t="n">
        <x:v>1002.1854927590778</x:v>
      </x:c>
      <x:c r="BT335" s="23" t="n">
        <x:v>955.882282500034</x:v>
      </x:c>
      <x:c r="BU335" s="23" t="n">
        <x:v>907.0530796591526</x:v>
      </x:c>
      <x:c r="BV335" s="23" t="n">
        <x:v>902.30519450048</x:v>
      </x:c>
      <x:c r="BW335" s="23" t="n">
        <x:v>913.9423229556635</x:v>
      </x:c>
      <x:c r="BX335" s="23" t="n">
        <x:v>928.611846643879</x:v>
      </x:c>
      <x:c r="BY335" s="23" t="n">
        <x:v>940.7781941632813</x:v>
      </x:c>
      <x:c r="BZ335" s="23" t="n">
        <x:v>964.6318162553566</x:v>
      </x:c>
      <x:c r="CA335" s="23" t="n">
        <x:v>162.0956247339891</x:v>
      </x:c>
      <x:c r="CB335" s="23" t="n">
        <x:v>181.23901325193037</x:v>
      </x:c>
      <x:c r="CC335" s="23" t="n">
        <x:v>195.90941340089253</x:v>
      </x:c>
      <x:c r="CD335" s="23" t="n">
        <x:v>207.33942857541933</x:v>
      </x:c>
      <x:c r="CE335" s="23" t="n">
        <x:v>217.94293028086727</x:v>
      </x:c>
      <x:c r="CF335" s="23" t="n">
        <x:v>0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1328.2063284034025</x:v>
      </x:c>
      <x:c r="CN335" s="23" t="n">
        <x:v>1380.997656407258</x:v>
      </x:c>
      <x:c r="CO335" s="23" t="n">
        <x:v>1410.378712988218</x:v>
      </x:c>
      <x:c r="CP335" s="23" t="n">
        <x:v>1457.7469958036968</x:v>
      </x:c>
      <x:c r="CQ335" s="23" t="n">
        <x:v>798.8603160756134</x:v>
      </x:c>
      <x:c r="CR335" s="23" t="n">
        <x:v>724.7152882728884</x:v>
      </x:c>
      <x:c r="CS335" s="23" t="n">
        <x:v>770.9140894249153</x:v>
      </x:c>
      <x:c r="CT335" s="23" t="n">
        <x:v>817.7491043709188</x:v>
      </x:c>
      <x:c r="CU335" s="23" t="n">
        <x:v>860.4880360312446</x:v>
      </x:c>
      <x:c r="CV335" s="23" t="n">
        <x:v>910.6458004794727</x:v>
      </x:c>
      <x:c r="CW335" s="23" t="n">
        <x:v>956.6927803413311</x:v>
      </x:c>
      <x:c r="CX335" s="23" t="n">
        <x:v>994.8260643301546</x:v>
      </x:c>
      <x:c r="CY335" s="23" t="n">
        <x:v>1027.2978515625</x:v>
      </x:c>
      <x:c r="CZ335" s="23" t="n">
        <x:v>1018.524658203125</x:v>
      </x:c>
      <x:c r="DA335" s="23" t="n">
        <x:v>1005.4312059064796</x:v>
      </x:c>
      <x:c r="DB335" s="23" t="n">
        <x:v>1011.0830078125</x:v>
      </x:c>
      <x:c r="DC335" s="23" t="n">
        <x:v>1040.4788411458333</x:v>
      </x:c>
      <x:c r="DD335" s="23" t="n">
        <x:v>929.715576171875</x:v>
      </x:c>
      <x:c r="DE335" s="23" t="n">
        <x:v>729.9081217447916</x:v>
      </x:c>
      <x:c r="DF335" s="23" t="n">
        <x:v>713.4246419270833</x:v>
      </x:c>
      <x:c r="DG335" s="23" t="n">
        <x:v>728.0159505208333</x:v>
      </x:c>
      <x:c r="DH335" s="23" t="n">
        <x:v>725.222412109375</x:v>
      </x:c>
      <x:c r="DI335" s="23" t="n">
        <x:v>726.3951009114583</x:v>
      </x:c>
      <x:c r="DJ335" s="23" t="n">
        <x:v>726.7111002604166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61.74339843749779</x:v>
      </x:c>
      <x:c r="DW335" s="23" t="n">
        <x:v>724.61865234375</x:v>
      </x:c>
      <x:c r="DX335" s="23" t="n">
        <x:v>743.8900080134388</x:v>
      </x:c>
      <x:c r="DY335" s="23" t="n">
        <x:v>731.535888671875</x:v>
      </x:c>
      <x:c r="DZ335" s="23" t="n">
        <x:v>738.38232421875</x:v>
      </x:c>
      <x:c r="EA335" s="23" t="n">
        <x:v>758.6640625</x:v>
      </x:c>
      <x:c r="EB335" s="23" t="n">
        <x:v>670.9445601302082</x:v>
      </x:c>
      <x:c r="EC335" s="23" t="n">
        <x:v>551.3041585286458</x:v>
      </x:c>
      <x:c r="ED335" s="23" t="n">
        <x:v>1359.5861409505208</x:v>
      </x:c>
      <x:c r="EE335" s="23" t="n">
        <x:v>555.3154296875</x:v>
      </x:c>
      <x:c r="EF335" s="23" t="n">
        <x:v>1396.48974609375</x:v>
      </x:c>
      <x:c r="EG335" s="23" t="n">
        <x:v>1401.0071614583333</x:v>
      </x:c>
      <x:c r="EH335" s="23" t="n">
        <x:v>1401.1080729166665</x:v>
      </x:c>
      <x:c r="EI335" s="23" t="n">
        <x:v>565.8124593098958</x:v>
      </x:c>
      <x:c r="EJ335" s="23" t="n">
        <x:v>862.637402560764</x:v>
      </x:c>
      <x:c r="EK335" s="23" t="n">
        <x:v>1400.6529134114583</x:v>
      </x:c>
      <x:c r="EL335" s="23" t="n">
        <x:v>1403.9928792317708</x:v>
      </x:c>
      <x:c r="EM335" s="23" t="n">
        <x:v>582.00048828125</x:v>
      </x:c>
      <x:c r="EN335" s="23" t="n">
        <x:v>587.0069986979166</x:v>
      </x:c>
      <x:c r="EO335" s="23" t="n">
        <x:v>577.6344401041666</x:v>
      </x:c>
      <x:c r="EP335" s="23" t="n">
        <x:f>SUM(B335:EO335)</x:f>
        <x:v>91489.37384479617</x:v>
      </x:c>
      <x:c r="EQ335" s="23" t="n">
        <x:f>SUMPRODUCT(B335:EO335,{0.4993,0.4961,0.3954,0.3932,0.4065,0.406,0.4544,0.4799,0.4552,0.4269,0.4183,0.4463,0.5016,0.4754,0.4108,0.4612,0.5149,0.4945,0.4412,0.4549,0.5061,0.4746,0.4448,0.4549,0.4611,0.4832,0.4987,0.4625,0.4711,0.5096,0.4745,0.4894,0.5143,0.4257,0.6251,1.0124,1.0537,1.0102,1.0534,1.0779,1.0555,1.0171,1.013,1.0193,0.974,0.886,1.0994,1.4683,1.4707,1.3657,1.3494,1.3593,1.3554,1.3049,1.2066,1.1847,1.2213,1.1996,1.2881,1.4447,1.4297,1.3483,1.3495,1.4311,1.1987,0.7735,0.6991,0.7659,0.7669,0.7108,0.6749,0.6825,0.6953,0.7038,0.6896,0.6647,0.8151,1.0422,1.0491,1.0453,1.099,1.0866,1.1879,1.3642,1.3716,1.3308,1.3859,1.506,1.2763,0.8508,0.8252,0.918,0.9359,0.9738,1.0228,1.0518,1.0417,0.9983,1.0065,1.1421,1.1669,1.0833,1.1174,1.1203,1.0628,1.0894,1.171,1.2475,1.2863,1.3025,1.2917,1.2576,1.3495,1.489,1.4483,1.4484,1.5352,1.5299,1.5097,1.5135,1.4925,1.468,1.4968,1.5632,1.3174,0.9294,0.9382,0.9633,0.8942,0.967,0.8063,0.4669,0.4194,0.4535,0.4211,0.3995,0.4114,0.4303,0.4108,0.3666,0.3518,0.4149,0.481,0.462})</x:f>
        <x:v>67683.50957966446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4" customHeight="1">
      <x:c r="A1" s="62" t="s">
        <x:v>3</x:v>
      </x:c>
      <x:c r="B1" s="62" t="s">
        <x:v>4</x:v>
      </x:c>
      <x:c r="C1" s="62" t="s">
        <x:v>5</x:v>
      </x:c>
      <x:c r="D1" s="62" t="s">
        <x:v>6</x:v>
      </x:c>
      <x:c r="E1" s="62" t="s">
        <x:v>7</x:v>
      </x:c>
      <x:c r="F1" s="62" t="s">
        <x:v>8</x:v>
      </x:c>
    </x:row>
    <x:row r="2" ht="14" customHeight="1">
      <x:c r="A2" s="86" t="n">
        <x:v>45689</x:v>
      </x:c>
      <x:c r="B2" s="87" t="str">
        <x:v>0:00-4:00</x:v>
      </x:c>
      <x:c r="C2" s="88" t="n">
        <x:v>5235.137830452675</x:v>
      </x:c>
      <x:c r="D2" s="88" t="n">
        <x:v>42.467588476562526</x:v>
      </x:c>
      <x:c r="E2" s="89" t="str">
        <x:v>0:00</x:v>
      </x:c>
      <x:c r="F2" s="88" t="n">
        <x:v>6135.562162010996</x:v>
      </x:c>
    </x:row>
    <x:row r="3" ht="14" customHeight="1">
      <x:c r="A3" s="67"/>
      <x:c r="B3" s="68" t="str">
        <x:v>4:00-8:00</x:v>
      </x:c>
      <x:c r="C3" s="69" t="n">
        <x:v>0</x:v>
      </x:c>
      <x:c r="D3" s="69" t="n">
        <x:v>6628.931233333333</x:v>
      </x:c>
      <x:c r="E3" s="70" t="str">
        <x:v>24:00</x:v>
      </x:c>
      <x:c r="F3" s="69" t="n">
        <x:v>6513.684159411169</x:v>
      </x:c>
    </x:row>
    <x:row r="4" ht="14" customHeight="1">
      <x:c r="A4" s="67"/>
      <x:c r="B4" s="68" t="str">
        <x:v>8:00-12:00</x:v>
      </x:c>
      <x:c r="C4" s="69" t="n">
        <x:v>5331.909821487114</x:v>
      </x:c>
      <x:c r="D4" s="69" t="n">
        <x:v>677.7272833333333</x:v>
      </x:c>
      <x:c r="E4" s="71"/>
      <x:c r="F4" s="69"/>
    </x:row>
    <x:row r="5" ht="14" customHeight="1">
      <x:c r="A5" s="67"/>
      <x:c r="B5" s="68" t="str">
        <x:v>12:00-16:00</x:v>
      </x:c>
      <x:c r="C5" s="69" t="n">
        <x:v>3755.9685799732156</x:v>
      </x:c>
      <x:c r="D5" s="69" t="n">
        <x:v>151.50848140339866</x:v>
      </x:c>
      <x:c r="E5" s="71"/>
      <x:c r="F5" s="69"/>
    </x:row>
    <x:row r="6" ht="14" customHeight="1">
      <x:c r="A6" s="67"/>
      <x:c r="B6" s="68" t="str">
        <x:v>16:00-20:00</x:v>
      </x:c>
      <x:c r="C6" s="69" t="n">
        <x:v>119.73517640394658</x:v>
      </x:c>
      <x:c r="D6" s="69" t="n">
        <x:v>6017.182942265625</x:v>
      </x:c>
      <x:c r="E6" s="71"/>
      <x:c r="F6" s="69"/>
    </x:row>
    <x:row r="7" ht="14" customHeight="1">
      <x:c r="A7" s="90"/>
      <x:c r="B7" s="91" t="str">
        <x:v>20:00-24:00</x:v>
      </x:c>
      <x:c r="C7" s="92" t="n">
        <x:v>6241.453266452869</x:v>
      </x:c>
      <x:c r="D7" s="92" t="n">
        <x:v>2896.0784600911456</x:v>
      </x:c>
      <x:c r="E7" s="93"/>
      <x:c r="F7" s="92"/>
    </x:row>
    <x:row r="8" ht="14" customHeight="1">
      <x:c r="A8" s="86" t="n">
        <x:v>45690</x:v>
      </x:c>
      <x:c r="B8" s="87" t="str">
        <x:v>0:00-4:00</x:v>
      </x:c>
      <x:c r="C8" s="88" t="n">
        <x:v>4430.841091626478</x:v>
      </x:c>
      <x:c r="D8" s="88" t="n">
        <x:v>26.72679283854154</x:v>
      </x:c>
      <x:c r="E8" s="89" t="str">
        <x:v>0:00</x:v>
      </x:c>
      <x:c r="F8" s="88" t="n">
        <x:v>6513.684159411169</x:v>
      </x:c>
    </x:row>
    <x:row r="9" ht="14" customHeight="1">
      <x:c r="A9" s="67"/>
      <x:c r="B9" s="68" t="str">
        <x:v>4:00-8:00</x:v>
      </x:c>
      <x:c r="C9" s="69" t="n">
        <x:v>1151.3804509645047</x:v>
      </x:c>
      <x:c r="D9" s="69" t="n">
        <x:v>1332.6430244303597</x:v>
      </x:c>
      <x:c r="E9" s="70" t="str">
        <x:v>24:00</x:v>
      </x:c>
      <x:c r="F9" s="69" t="n">
        <x:v>6357.815787785011</x:v>
      </x:c>
    </x:row>
    <x:row r="10" ht="14" customHeight="1">
      <x:c r="A10" s="67"/>
      <x:c r="B10" s="68" t="str">
        <x:v>8:00-12:00</x:v>
      </x:c>
      <x:c r="C10" s="69" t="n">
        <x:v>5833.333333333333</x:v>
      </x:c>
      <x:c r="D10" s="69" t="n">
        <x:v>6482.1953185439315</x:v>
      </x:c>
      <x:c r="E10" s="71"/>
      <x:c r="F10" s="69"/>
    </x:row>
    <x:row r="11" ht="14" customHeight="1">
      <x:c r="A11" s="67"/>
      <x:c r="B11" s="68" t="str">
        <x:v>12:00-16:00</x:v>
      </x:c>
      <x:c r="C11" s="69" t="n">
        <x:v>4683.579950013273</x:v>
      </x:c>
      <x:c r="D11" s="69" t="n">
        <x:v>1342.9291888253376</x:v>
      </x:c>
      <x:c r="E11" s="71"/>
      <x:c r="F11" s="69"/>
    </x:row>
    <x:row r="12" ht="14" customHeight="1">
      <x:c r="A12" s="67"/>
      <x:c r="B12" s="68" t="str">
        <x:v>16:00-20:00</x:v>
      </x:c>
      <x:c r="C12" s="69" t="n">
        <x:v>2.3202125415688593</x:v>
      </x:c>
      <x:c r="D12" s="69" t="n">
        <x:v>5106.198345963541</x:v>
      </x:c>
      <x:c r="E12" s="71"/>
      <x:c r="F12" s="69"/>
    </x:row>
    <x:row r="13" ht="14" customHeight="1">
      <x:c r="A13" s="90"/>
      <x:c r="B13" s="91" t="str">
        <x:v>20:00-24:00</x:v>
      </x:c>
      <x:c r="C13" s="92" t="n">
        <x:v>5614.926970299104</x:v>
      </x:c>
      <x:c r="D13" s="92" t="n">
        <x:v>3439.8582909722236</x:v>
      </x:c>
      <x:c r="E13" s="93"/>
      <x:c r="F13" s="92"/>
    </x:row>
    <x:row r="14" ht="14" customHeight="1">
      <x:c r="A14" s="94" t="n">
        <x:v>45691</x:v>
      </x:c>
      <x:c r="B14" s="95" t="str">
        <x:v>0:00-4:00</x:v>
      </x:c>
      <x:c r="C14" s="96" t="n">
        <x:v>4619.702930325682</x:v>
      </x:c>
      <x:c r="D14" s="96" t="n">
        <x:v>56.40836074218748</x:v>
      </x:c>
      <x:c r="E14" s="95" t="str">
        <x:v>0:00</x:v>
      </x:c>
      <x:c r="F14" s="96" t="n">
        <x:v>6357.815787785011</x:v>
      </x:c>
    </x:row>
    <x:row r="15" ht="14" customHeight="1">
      <x:c r="A15" s="63"/>
      <x:c r="B15" s="64" t="str">
        <x:v>4:00-8:00</x:v>
      </x:c>
      <x:c r="C15" s="65" t="n">
        <x:v>413.65035301984364</x:v>
      </x:c>
      <x:c r="D15" s="65" t="n">
        <x:v>673.1610857039221</x:v>
      </x:c>
      <x:c r="E15" s="66" t="str">
        <x:v>24:00</x:v>
      </x:c>
      <x:c r="F15" s="65" t="n">
        <x:v>6366.512713419489</x:v>
      </x:c>
    </x:row>
    <x:row r="16" ht="14" customHeight="1">
      <x:c r="A16" s="67"/>
      <x:c r="B16" s="68" t="str">
        <x:v>8:00-12:00</x:v>
      </x:c>
      <x:c r="C16" s="69" t="n">
        <x:v>5747.831720887364</x:v>
      </x:c>
      <x:c r="D16" s="69" t="n">
        <x:v>6653.06233681133</x:v>
      </x:c>
      <x:c r="E16" s="70"/>
      <x:c r="F16" s="69"/>
    </x:row>
    <x:row r="17" ht="14" customHeight="1">
      <x:c r="A17" s="67"/>
      <x:c r="B17" s="68" t="str">
        <x:v>12:00-16:00</x:v>
      </x:c>
      <x:c r="C17" s="69" t="n">
        <x:v>5285.864447056395</x:v>
      </x:c>
      <x:c r="D17" s="69" t="n">
        <x:v>1633.7124812933916</x:v>
      </x:c>
      <x:c r="E17" s="71"/>
      <x:c r="F17" s="69"/>
    </x:row>
    <x:row r="18" ht="14" customHeight="1">
      <x:c r="A18" s="67"/>
      <x:c r="B18" s="68" t="str">
        <x:v>16:00-20:00</x:v>
      </x:c>
      <x:c r="C18" s="69" t="n">
        <x:v>76.0126814873903</x:v>
      </x:c>
      <x:c r="D18" s="69" t="n">
        <x:v>5689.327106466307</x:v>
      </x:c>
      <x:c r="E18" s="71"/>
      <x:c r="F18" s="69"/>
    </x:row>
    <x:row r="19" ht="14" customHeight="1">
      <x:c r="A19" s="90"/>
      <x:c r="B19" s="91" t="str">
        <x:v>20:00-24:00</x:v>
      </x:c>
      <x:c r="C19" s="92" t="n">
        <x:v>5584.698664451517</x:v>
      </x:c>
      <x:c r="D19" s="92" t="n">
        <x:v>2885.987641666666</x:v>
      </x:c>
      <x:c r="E19" s="93"/>
      <x:c r="F19" s="92"/>
    </x:row>
    <x:row r="20" ht="14" customHeight="1">
      <x:c r="A20" s="94" t="n">
        <x:v>45692</x:v>
      </x:c>
      <x:c r="B20" s="95" t="str">
        <x:v>0:00-4:00</x:v>
      </x:c>
      <x:c r="C20" s="96" t="n">
        <x:v>4926.096985089456</x:v>
      </x:c>
      <x:c r="D20" s="96" t="n">
        <x:v>0</x:v>
      </x:c>
      <x:c r="E20" s="97" t="str">
        <x:v>0:00</x:v>
      </x:c>
      <x:c r="F20" s="96" t="n">
        <x:v>6366.512713419489</x:v>
      </x:c>
    </x:row>
    <x:row r="21">
      <x:c r="A21" s="78"/>
      <x:c r="B21" s="79" t="str">
        <x:v>4:00-8:00</x:v>
      </x:c>
      <x:c r="C21" s="80" t="n">
        <x:v>0</x:v>
      </x:c>
      <x:c r="D21" s="80" t="n">
        <x:v>799.9021645141129</x:v>
      </x:c>
      <x:c r="E21" s="81" t="str">
        <x:v>24:00</x:v>
      </x:c>
      <x:c r="F21" s="80" t="n">
        <x:v>6123.054635097657</x:v>
      </x:c>
    </x:row>
    <x:row r="22">
      <x:c r="A22" s="78"/>
      <x:c r="B22" s="79" t="str">
        <x:v>8:00-12:00</x:v>
      </x:c>
      <x:c r="C22" s="80" t="n">
        <x:v>5629.699437873951</x:v>
      </x:c>
      <x:c r="D22" s="80" t="n">
        <x:v>7348.681566213681</x:v>
      </x:c>
      <x:c r="E22" s="81"/>
      <x:c r="F22" s="80"/>
    </x:row>
    <x:row r="23">
      <x:c r="A23" s="78"/>
      <x:c r="B23" s="79" t="str">
        <x:v>12:00-16:00</x:v>
      </x:c>
      <x:c r="C23" s="80" t="n">
        <x:v>6037.432134528003</x:v>
      </x:c>
      <x:c r="D23" s="80" t="n">
        <x:v>2419.108316013309</x:v>
      </x:c>
      <x:c r="E23" s="81"/>
      <x:c r="F23" s="80"/>
    </x:row>
    <x:row r="24">
      <x:c r="A24" s="78"/>
      <x:c r="B24" s="79" t="str">
        <x:v>16:00-20:00</x:v>
      </x:c>
      <x:c r="C24" s="80" t="n">
        <x:v>272.2315431841646</x:v>
      </x:c>
      <x:c r="D24" s="80" t="n">
        <x:v>5034.011250656923</x:v>
      </x:c>
      <x:c r="E24" s="81"/>
      <x:c r="F24" s="80"/>
    </x:row>
    <x:row r="25">
      <x:c r="A25" s="98"/>
      <x:c r="B25" s="99" t="str">
        <x:v>20:00-24:00</x:v>
      </x:c>
      <x:c r="C25" s="100" t="n">
        <x:v>5470.060705664063</x:v>
      </x:c>
      <x:c r="D25" s="100" t="n">
        <x:v>2709.180826226728</x:v>
      </x:c>
      <x:c r="E25" s="101"/>
      <x:c r="F25" s="100"/>
    </x:row>
    <x:row r="26">
      <x:c r="A26" s="102" t="n">
        <x:v>45693</x:v>
      </x:c>
      <x:c r="B26" s="103" t="str">
        <x:v>0:00-4:00</x:v>
      </x:c>
      <x:c r="C26" s="104" t="n">
        <x:v>4624.354817252602</x:v>
      </x:c>
      <x:c r="D26" s="104" t="n">
        <x:v>93.75609179687524</x:v>
      </x:c>
      <x:c r="E26" s="105" t="str">
        <x:v>0:00</x:v>
      </x:c>
      <x:c r="F26" s="104" t="n">
        <x:v>6123.054635097657</x:v>
      </x:c>
    </x:row>
    <x:row r="27">
      <x:c r="A27" s="78"/>
      <x:c r="B27" s="79" t="str">
        <x:v>4:00-8:00</x:v>
      </x:c>
      <x:c r="C27" s="80" t="n">
        <x:v>998.4888312270388</x:v>
      </x:c>
      <x:c r="D27" s="80" t="n">
        <x:v>1297.4977505872635</x:v>
      </x:c>
      <x:c r="E27" s="81" t="str">
        <x:v>24:00</x:v>
      </x:c>
      <x:c r="F27" s="80" t="n">
        <x:v>6487.624910519386</x:v>
      </x:c>
    </x:row>
    <x:row r="28">
      <x:c r="A28" s="78"/>
      <x:c r="B28" s="79" t="str">
        <x:v>8:00-12:00</x:v>
      </x:c>
      <x:c r="C28" s="80" t="n">
        <x:v>5322.998603438931</x:v>
      </x:c>
      <x:c r="D28" s="80" t="n">
        <x:v>7593.998684472265</x:v>
      </x:c>
      <x:c r="E28" s="81"/>
      <x:c r="F28" s="80"/>
    </x:row>
    <x:row r="29">
      <x:c r="A29" s="78"/>
      <x:c r="B29" s="79" t="str">
        <x:v>12:00-16:00</x:v>
      </x:c>
      <x:c r="C29" s="80" t="n">
        <x:v>6983.354486231633</x:v>
      </x:c>
      <x:c r="D29" s="80" t="n">
        <x:v>1562.1846999999998</x:v>
      </x:c>
      <x:c r="E29" s="81"/>
      <x:c r="F29" s="80"/>
    </x:row>
    <x:row r="30">
      <x:c r="A30" s="78"/>
      <x:c r="B30" s="79" t="str">
        <x:v>16:00-20:00</x:v>
      </x:c>
      <x:c r="C30" s="80" t="n">
        <x:v>324.29277723978737</x:v>
      </x:c>
      <x:c r="D30" s="80" t="n">
        <x:v>5031.6396120932195</x:v>
      </x:c>
      <x:c r="E30" s="81"/>
      <x:c r="F30" s="80"/>
    </x:row>
    <x:row r="31">
      <x:c r="A31" s="98"/>
      <x:c r="B31" s="99" t="str">
        <x:v>20:00-24:00</x:v>
      </x:c>
      <x:c r="C31" s="100" t="n">
        <x:v>5647.96180579829</x:v>
      </x:c>
      <x:c r="D31" s="100" t="n">
        <x:v>3452.9854833333347</x:v>
      </x:c>
      <x:c r="E31" s="101"/>
      <x:c r="F31" s="100"/>
    </x:row>
    <x:row r="32">
      <x:c r="A32" s="102" t="n">
        <x:v>45694</x:v>
      </x:c>
      <x:c r="B32" s="103" t="str">
        <x:v>0:00-4:00</x:v>
      </x:c>
      <x:c r="C32" s="104" t="n">
        <x:v>4286.719056888182</x:v>
      </x:c>
      <x:c r="D32" s="104" t="n">
        <x:v>32.201494401041714</x:v>
      </x:c>
      <x:c r="E32" s="105" t="str">
        <x:v>0:00</x:v>
      </x:c>
      <x:c r="F32" s="104" t="n">
        <x:v>6487.624910519386</x:v>
      </x:c>
    </x:row>
    <x:row r="33">
      <x:c r="A33" s="78"/>
      <x:c r="B33" s="79" t="str">
        <x:v>4:00-8:00</x:v>
      </x:c>
      <x:c r="C33" s="80" t="n">
        <x:v>1513.4096465084872</x:v>
      </x:c>
      <x:c r="D33" s="80" t="n">
        <x:v>1618.0985081510416</x:v>
      </x:c>
      <x:c r="E33" s="81" t="str">
        <x:v>24:00</x:v>
      </x:c>
      <x:c r="F33" s="80" t="n">
        <x:v>6260.008853743547</x:v>
      </x:c>
    </x:row>
    <x:row r="34">
      <x:c r="A34" s="78"/>
      <x:c r="B34" s="79" t="str">
        <x:v>8:00-12:00</x:v>
      </x:c>
      <x:c r="C34" s="80" t="n">
        <x:v>5555.515528380997</x:v>
      </x:c>
      <x:c r="D34" s="80" t="n">
        <x:v>6911.5547166666665</x:v>
      </x:c>
      <x:c r="E34" s="81"/>
      <x:c r="F34" s="80"/>
    </x:row>
    <x:row r="35">
      <x:c r="A35" s="78"/>
      <x:c r="B35" s="79" t="str">
        <x:v>12:00-16:00</x:v>
      </x:c>
      <x:c r="C35" s="80" t="n">
        <x:v>6381.023204005364</x:v>
      </x:c>
      <x:c r="D35" s="80" t="n">
        <x:v>1923.7083232329558</x:v>
      </x:c>
      <x:c r="E35" s="81"/>
      <x:c r="F35" s="80"/>
    </x:row>
    <x:row r="36">
      <x:c r="A36" s="78"/>
      <x:c r="B36" s="79" t="str">
        <x:v>16:00-20:00</x:v>
      </x:c>
      <x:c r="C36" s="80" t="n">
        <x:v>50.695418630534654</x:v>
      </x:c>
      <x:c r="D36" s="80" t="n">
        <x:v>4990.995505757401</x:v>
      </x:c>
      <x:c r="E36" s="81"/>
      <x:c r="F36" s="80"/>
    </x:row>
    <x:row r="37">
      <x:c r="A37" s="98"/>
      <x:c r="B37" s="99" t="str">
        <x:v>20:00-24:00</x:v>
      </x:c>
      <x:c r="C37" s="100" t="n">
        <x:v>5477.611772399048</x:v>
      </x:c>
      <x:c r="D37" s="100" t="n">
        <x:v>3572.9253506073715</x:v>
      </x:c>
      <x:c r="E37" s="101"/>
      <x:c r="F37" s="100"/>
    </x:row>
    <x:row r="38">
      <x:c r="A38" s="102" t="n">
        <x:v>45695</x:v>
      </x:c>
      <x:c r="B38" s="103" t="str">
        <x:v>0:00-4:00</x:v>
      </x:c>
      <x:c r="C38" s="104" t="n">
        <x:v>5017.692918359375</x:v>
      </x:c>
      <x:c r="D38" s="104" t="n">
        <x:v>0</x:v>
      </x:c>
      <x:c r="E38" s="105" t="str">
        <x:v>0:00</x:v>
      </x:c>
      <x:c r="F38" s="104" t="n">
        <x:v>6260.008853743547</x:v>
      </x:c>
    </x:row>
    <x:row r="39">
      <x:c r="A39" s="78"/>
      <x:c r="B39" s="79" t="str">
        <x:v>4:00-8:00</x:v>
      </x:c>
      <x:c r="C39" s="80" t="n">
        <x:v>26.741688592240582</x:v>
      </x:c>
      <x:c r="D39" s="80" t="n">
        <x:v>6288.497333333333</x:v>
      </x:c>
      <x:c r="E39" s="81" t="str">
        <x:v>24:00</x:v>
      </x:c>
      <x:c r="F39" s="80" t="n">
        <x:v>6394.810781318717</x:v>
      </x:c>
    </x:row>
    <x:row r="40">
      <x:c r="A40" s="78"/>
      <x:c r="B40" s="79" t="str">
        <x:v>8:00-12:00</x:v>
      </x:c>
      <x:c r="C40" s="80" t="n">
        <x:v>4765.899283333333</x:v>
      </x:c>
      <x:c r="D40" s="80" t="n">
        <x:v>1115.31345</x:v>
      </x:c>
      <x:c r="E40" s="81"/>
      <x:c r="F40" s="80"/>
    </x:row>
    <x:row r="41">
      <x:c r="A41" s="78"/>
      <x:c r="B41" s="79" t="str">
        <x:v>12:00-16:00</x:v>
      </x:c>
      <x:c r="C41" s="80" t="n">
        <x:v>4382.161075031572</x:v>
      </x:c>
      <x:c r="D41" s="80" t="n">
        <x:v>12.240048285304425</x:v>
      </x:c>
      <x:c r="E41" s="81"/>
      <x:c r="F41" s="80"/>
    </x:row>
    <x:row r="42">
      <x:c r="A42" s="78"/>
      <x:c r="B42" s="79" t="str">
        <x:v>16:00-20:00</x:v>
      </x:c>
      <x:c r="C42" s="80" t="n">
        <x:v>32.61670702186447</x:v>
      </x:c>
      <x:c r="D42" s="80" t="n">
        <x:v>5883.42397467798</x:v>
      </x:c>
      <x:c r="E42" s="81"/>
      <x:c r="F42" s="80"/>
    </x:row>
    <x:row r="43">
      <x:c r="A43" s="98"/>
      <x:c r="B43" s="99" t="str">
        <x:v>20:00-24:00</x:v>
      </x:c>
      <x:c r="C43" s="100" t="n">
        <x:v>5535.676027484406</x:v>
      </x:c>
      <x:c r="D43" s="100" t="n">
        <x:v>2585.44149574219</x:v>
      </x:c>
      <x:c r="E43" s="101"/>
      <x:c r="F43" s="100"/>
    </x:row>
    <x:row r="44">
      <x:c r="A44" s="102" t="n">
        <x:v>45696</x:v>
      </x:c>
      <x:c r="B44" s="103" t="str">
        <x:v>0:00-4:00</x:v>
      </x:c>
      <x:c r="C44" s="104" t="n">
        <x:v>4894.6546874236465</x:v>
      </x:c>
      <x:c r="D44" s="104" t="n">
        <x:v>0</x:v>
      </x:c>
      <x:c r="E44" s="105" t="str">
        <x:v>0:00</x:v>
      </x:c>
      <x:c r="F44" s="104" t="n">
        <x:v>6394.810781318717</x:v>
      </x:c>
    </x:row>
    <x:row r="45">
      <x:c r="A45" s="78"/>
      <x:c r="B45" s="79" t="str">
        <x:v>4:00-8:00</x:v>
      </x:c>
      <x:c r="C45" s="80" t="n">
        <x:v>100.83299199218766</x:v>
      </x:c>
      <x:c r="D45" s="80" t="n">
        <x:v>6767.886299999999</x:v>
      </x:c>
      <x:c r="E45" s="81" t="str">
        <x:v>24:00</x:v>
      </x:c>
      <x:c r="F45" s="80" t="n">
        <x:v>6469.338245879501</x:v>
      </x:c>
    </x:row>
    <x:row r="46">
      <x:c r="A46" s="78"/>
      <x:c r="B46" s="79" t="str">
        <x:v>8:00-12:00</x:v>
      </x:c>
      <x:c r="C46" s="80" t="n">
        <x:v>6006.262766666667</x:v>
      </x:c>
      <x:c r="D46" s="80" t="n">
        <x:v>376.85931666666664</x:v>
      </x:c>
      <x:c r="E46" s="81"/>
      <x:c r="F46" s="80"/>
    </x:row>
    <x:row r="47">
      <x:c r="A47" s="78"/>
      <x:c r="B47" s="79" t="str">
        <x:v>12:00-16:00</x:v>
      </x:c>
      <x:c r="C47" s="80" t="n">
        <x:v>2713.5778421641926</x:v>
      </x:c>
      <x:c r="D47" s="80" t="n">
        <x:v>0</x:v>
      </x:c>
      <x:c r="E47" s="81"/>
      <x:c r="F47" s="80"/>
    </x:row>
    <x:row r="48">
      <x:c r="A48" s="78"/>
      <x:c r="B48" s="79" t="str">
        <x:v>16:00-20:00</x:v>
      </x:c>
      <x:c r="C48" s="80" t="n">
        <x:v>67.30306963450806</x:v>
      </x:c>
      <x:c r="D48" s="80" t="n">
        <x:v>6192.300887767999</x:v>
      </x:c>
      <x:c r="E48" s="81"/>
      <x:c r="F48" s="80"/>
    </x:row>
    <x:row r="49">
      <x:c r="A49" s="98"/>
      <x:c r="B49" s="99" t="str">
        <x:v>20:00-24:00</x:v>
      </x:c>
      <x:c r="C49" s="100" t="n">
        <x:v>5673.455665829957</x:v>
      </x:c>
      <x:c r="D49" s="100" t="n">
        <x:v>2355.3092666666666</x:v>
      </x:c>
      <x:c r="E49" s="101"/>
      <x:c r="F49" s="100"/>
    </x:row>
    <x:row r="50">
      <x:c r="A50" s="102" t="n">
        <x:v>45697</x:v>
      </x:c>
      <x:c r="B50" s="103" t="str">
        <x:v>0:00-4:00</x:v>
      </x:c>
      <x:c r="C50" s="104" t="n">
        <x:v>4353.476174977637</x:v>
      </x:c>
      <x:c r="D50" s="104" t="n">
        <x:v>15.775806640624978</x:v>
      </x:c>
      <x:c r="E50" s="105" t="str">
        <x:v>0:00</x:v>
      </x:c>
      <x:c r="F50" s="104" t="n">
        <x:v>6469.338245879501</x:v>
      </x:c>
    </x:row>
    <x:row r="51">
      <x:c r="A51" s="78"/>
      <x:c r="B51" s="79" t="str">
        <x:v>4:00-8:00</x:v>
      </x:c>
      <x:c r="C51" s="80" t="n">
        <x:v>691.7360358486619</x:v>
      </x:c>
      <x:c r="D51" s="80" t="n">
        <x:v>2766.9994964253</x:v>
      </x:c>
      <x:c r="E51" s="81" t="str">
        <x:v>24:00</x:v>
      </x:c>
      <x:c r="F51" s="80" t="n">
        <x:v>5918.969225242332</x:v>
      </x:c>
    </x:row>
    <x:row r="52">
      <x:c r="A52" s="78"/>
      <x:c r="B52" s="79" t="str">
        <x:v>8:00-12:00</x:v>
      </x:c>
      <x:c r="C52" s="80" t="n">
        <x:v>4956.724094443252</x:v>
      </x:c>
      <x:c r="D52" s="80" t="n">
        <x:v>5177.458666201019</x:v>
      </x:c>
      <x:c r="E52" s="81"/>
      <x:c r="F52" s="80"/>
    </x:row>
    <x:row r="53">
      <x:c r="A53" s="78"/>
      <x:c r="B53" s="79" t="str">
        <x:v>12:00-16:00</x:v>
      </x:c>
      <x:c r="C53" s="80" t="n">
        <x:v>6435.761076542961</x:v>
      </x:c>
      <x:c r="D53" s="80" t="n">
        <x:v>2057.0296019518023</x:v>
      </x:c>
      <x:c r="E53" s="81"/>
      <x:c r="F53" s="80"/>
    </x:row>
    <x:row r="54">
      <x:c r="A54" s="78"/>
      <x:c r="B54" s="79" t="str">
        <x:v>16:00-20:00</x:v>
      </x:c>
      <x:c r="C54" s="80" t="n">
        <x:v>404.79731555643184</x:v>
      </x:c>
      <x:c r="D54" s="80" t="n">
        <x:v>5989.481707865474</x:v>
      </x:c>
      <x:c r="E54" s="81"/>
      <x:c r="F54" s="80"/>
    </x:row>
    <x:row r="55">
      <x:c r="A55" s="98"/>
      <x:c r="B55" s="99" t="str">
        <x:v>20:00-24:00</x:v>
      </x:c>
      <x:c r="C55" s="100" t="n">
        <x:v>5262.740434554236</x:v>
      </x:c>
      <x:c r="D55" s="100" t="n">
        <x:v>2393.8272963470145</x:v>
      </x:c>
      <x:c r="E55" s="101"/>
      <x:c r="F55" s="100"/>
    </x:row>
    <x:row r="56">
      <x:c r="A56" s="102" t="n">
        <x:v>45698</x:v>
      </x:c>
      <x:c r="B56" s="103" t="str">
        <x:v>0:00-4:00</x:v>
      </x:c>
      <x:c r="C56" s="104" t="n">
        <x:v>5453.887290802631</x:v>
      </x:c>
      <x:c r="D56" s="104" t="n">
        <x:v>24.721008268229184</x:v>
      </x:c>
      <x:c r="E56" s="105" t="str">
        <x:v>0:00</x:v>
      </x:c>
      <x:c r="F56" s="104" t="n">
        <x:v>5918.969225242332</x:v>
      </x:c>
    </x:row>
    <x:row r="57">
      <x:c r="A57" s="78"/>
      <x:c r="B57" s="79" t="str">
        <x:v>4:00-8:00</x:v>
      </x:c>
      <x:c r="C57" s="80" t="n">
        <x:v>983.832505768683</x:v>
      </x:c>
      <x:c r="D57" s="80" t="n">
        <x:v>1543.0046983456832</x:v>
      </x:c>
      <x:c r="E57" s="81" t="str">
        <x:v>24:00</x:v>
      </x:c>
      <x:c r="F57" s="80" t="n">
        <x:v>6224.865065605468</x:v>
      </x:c>
    </x:row>
    <x:row r="58">
      <x:c r="A58" s="78"/>
      <x:c r="B58" s="79" t="str">
        <x:v>8:00-12:00</x:v>
      </x:c>
      <x:c r="C58" s="80" t="n">
        <x:v>5870.4554389800505</x:v>
      </x:c>
      <x:c r="D58" s="80" t="n">
        <x:v>4989.05095</x:v>
      </x:c>
      <x:c r="E58" s="81"/>
      <x:c r="F58" s="80"/>
    </x:row>
    <x:row r="59">
      <x:c r="A59" s="78"/>
      <x:c r="B59" s="79" t="str">
        <x:v>12:00-16:00</x:v>
      </x:c>
      <x:c r="C59" s="80" t="n">
        <x:v>2814.552835101904</x:v>
      </x:c>
      <x:c r="D59" s="80" t="n">
        <x:v>1299.7053833333334</x:v>
      </x:c>
      <x:c r="E59" s="81"/>
      <x:c r="F59" s="80"/>
    </x:row>
    <x:row r="60">
      <x:c r="A60" s="78"/>
      <x:c r="B60" s="79" t="str">
        <x:v>16:00-20:00</x:v>
      </x:c>
      <x:c r="C60" s="80" t="n">
        <x:v>12.630041568579372</x:v>
      </x:c>
      <x:c r="D60" s="80" t="n">
        <x:v>5665.048201639299</x:v>
      </x:c>
      <x:c r="E60" s="81"/>
      <x:c r="F60" s="80"/>
    </x:row>
    <x:row r="61">
      <x:c r="A61" s="98"/>
      <x:c r="B61" s="99" t="str">
        <x:v>20:00-24:00</x:v>
      </x:c>
      <x:c r="C61" s="100" t="n">
        <x:v>5468.082271486786</x:v>
      </x:c>
      <x:c r="D61" s="100" t="n">
        <x:v>2891.950212890625</x:v>
      </x:c>
      <x:c r="E61" s="101"/>
      <x:c r="F61" s="100"/>
    </x:row>
    <x:row r="62">
      <x:c r="A62" s="102" t="n">
        <x:v>45699</x:v>
      </x:c>
      <x:c r="B62" s="103" t="str">
        <x:v>0:00-4:00</x:v>
      </x:c>
      <x:c r="C62" s="104" t="n">
        <x:v>3919.882838302952</x:v>
      </x:c>
      <x:c r="D62" s="104" t="n">
        <x:v>6.895247656249921</x:v>
      </x:c>
      <x:c r="E62" s="105" t="str">
        <x:v>0:00</x:v>
      </x:c>
      <x:c r="F62" s="104" t="n">
        <x:v>6224.865065605468</x:v>
      </x:c>
    </x:row>
    <x:row r="63">
      <x:c r="A63" s="78"/>
      <x:c r="B63" s="79" t="str">
        <x:v>4:00-8:00</x:v>
      </x:c>
      <x:c r="C63" s="80" t="n">
        <x:v>2243.0127095921707</x:v>
      </x:c>
      <x:c r="D63" s="80" t="n">
        <x:v>2492.659871802847</x:v>
      </x:c>
      <x:c r="E63" s="81" t="str">
        <x:v>24:00</x:v>
      </x:c>
      <x:c r="F63" s="80" t="n">
        <x:v>6126.45943742694</x:v>
      </x:c>
    </x:row>
    <x:row r="64">
      <x:c r="A64" s="78"/>
      <x:c r="B64" s="79" t="str">
        <x:v>8:00-12:00</x:v>
      </x:c>
      <x:c r="C64" s="80" t="n">
        <x:v>5828.915837056249</x:v>
      </x:c>
      <x:c r="D64" s="80" t="n">
        <x:v>5971.78715</x:v>
      </x:c>
      <x:c r="E64" s="81"/>
      <x:c r="F64" s="80"/>
    </x:row>
    <x:row r="65">
      <x:c r="A65" s="78"/>
      <x:c r="B65" s="79" t="str">
        <x:v>12:00-16:00</x:v>
      </x:c>
      <x:c r="C65" s="80" t="n">
        <x:v>5014.964780169009</x:v>
      </x:c>
      <x:c r="D65" s="80" t="n">
        <x:v>1186.5249833333335</x:v>
      </x:c>
      <x:c r="E65" s="81"/>
      <x:c r="F65" s="80"/>
    </x:row>
    <x:row r="66">
      <x:c r="A66" s="78"/>
      <x:c r="B66" s="79" t="str">
        <x:v>16:00-20:00</x:v>
      </x:c>
      <x:c r="C66" s="80" t="n">
        <x:v>19.631325538911646</x:v>
      </x:c>
      <x:c r="D66" s="80" t="n">
        <x:v>5766.132923686517</x:v>
      </x:c>
      <x:c r="E66" s="81"/>
      <x:c r="F66" s="80"/>
    </x:row>
    <x:row r="67">
      <x:c r="A67" s="98"/>
      <x:c r="B67" s="99" t="str">
        <x:v>20:00-24:00</x:v>
      </x:c>
      <x:c r="C67" s="100" t="n">
        <x:v>5498.478566670685</x:v>
      </x:c>
      <x:c r="D67" s="100" t="n">
        <x:v>2909.7225953190105</x:v>
      </x:c>
      <x:c r="E67" s="101"/>
      <x:c r="F67" s="100"/>
    </x:row>
    <x:row r="68">
      <x:c r="A68" s="102" t="n">
        <x:v>45700</x:v>
      </x:c>
      <x:c r="B68" s="103" t="str">
        <x:v>0:00-4:00</x:v>
      </x:c>
      <x:c r="C68" s="104" t="n">
        <x:v>4823.806211431004</x:v>
      </x:c>
      <x:c r="D68" s="104" t="n">
        <x:v>7.281422330729242</x:v>
      </x:c>
      <x:c r="E68" s="105" t="str">
        <x:v>0:00</x:v>
      </x:c>
      <x:c r="F68" s="104" t="n">
        <x:v>6126.45943742694</x:v>
      </x:c>
    </x:row>
    <x:row r="69">
      <x:c r="A69" s="78"/>
      <x:c r="B69" s="79" t="str">
        <x:v>4:00-8:00</x:v>
      </x:c>
      <x:c r="C69" s="80" t="n">
        <x:v>692.422722361104</x:v>
      </x:c>
      <x:c r="D69" s="80" t="n">
        <x:v>2157.2470579551996</x:v>
      </x:c>
      <x:c r="E69" s="81" t="str">
        <x:v>24:00</x:v>
      </x:c>
      <x:c r="F69" s="80" t="n">
        <x:v>6221.213109580439</x:v>
      </x:c>
    </x:row>
    <x:row r="70">
      <x:c r="A70" s="78"/>
      <x:c r="B70" s="79" t="str">
        <x:v>8:00-12:00</x:v>
      </x:c>
      <x:c r="C70" s="80" t="n">
        <x:v>5876.56878952813</x:v>
      </x:c>
      <x:c r="D70" s="80" t="n">
        <x:v>5488.424866666666</x:v>
      </x:c>
      <x:c r="E70" s="81"/>
      <x:c r="F70" s="80"/>
    </x:row>
    <x:row r="71">
      <x:c r="A71" s="78"/>
      <x:c r="B71" s="79" t="str">
        <x:v>12:00-16:00</x:v>
      </x:c>
      <x:c r="C71" s="80" t="n">
        <x:v>5413.237372033586</x:v>
      </x:c>
      <x:c r="D71" s="80" t="n">
        <x:v>1826.2884682418521</x:v>
      </x:c>
      <x:c r="E71" s="81"/>
      <x:c r="F71" s="80"/>
    </x:row>
    <x:row r="72">
      <x:c r="A72" s="78"/>
      <x:c r="B72" s="79" t="str">
        <x:v>16:00-20:00</x:v>
      </x:c>
      <x:c r="C72" s="80" t="n">
        <x:v>63.011422674914</x:v>
      </x:c>
      <x:c r="D72" s="80" t="n">
        <x:v>5869.474824118583</x:v>
      </x:c>
      <x:c r="E72" s="81"/>
      <x:c r="F72" s="80"/>
    </x:row>
    <x:row r="73">
      <x:c r="A73" s="98"/>
      <x:c r="B73" s="99" t="str">
        <x:v>20:00-24:00</x:v>
      </x:c>
      <x:c r="C73" s="100" t="n">
        <x:v>5609.31835397698</x:v>
      </x:c>
      <x:c r="D73" s="100" t="n">
        <x:v>2773.4806020734472</x:v>
      </x:c>
      <x:c r="E73" s="101"/>
      <x:c r="F73" s="100"/>
    </x:row>
    <x:row r="74">
      <x:c r="A74" s="102" t="n">
        <x:v>45701</x:v>
      </x:c>
      <x:c r="B74" s="103" t="str">
        <x:v>0:00-4:00</x:v>
      </x:c>
      <x:c r="C74" s="104" t="n">
        <x:v>5144.956037520096</x:v>
      </x:c>
      <x:c r="D74" s="104" t="n">
        <x:v>75.05962180989593</x:v>
      </x:c>
      <x:c r="E74" s="105" t="str">
        <x:v>0:00</x:v>
      </x:c>
      <x:c r="F74" s="104" t="n">
        <x:v>6221.213109580439</x:v>
      </x:c>
    </x:row>
    <x:row r="75">
      <x:c r="A75" s="78"/>
      <x:c r="B75" s="79" t="str">
        <x:v>4:00-8:00</x:v>
      </x:c>
      <x:c r="C75" s="80" t="n">
        <x:v>1194.4766629899768</x:v>
      </x:c>
      <x:c r="D75" s="80" t="n">
        <x:v>2693.9195735986605</x:v>
      </x:c>
      <x:c r="E75" s="81" t="str">
        <x:v>24:00</x:v>
      </x:c>
      <x:c r="F75" s="80" t="n">
        <x:v>6234.776593091721</x:v>
      </x:c>
    </x:row>
    <x:row r="76">
      <x:c r="A76" s="78"/>
      <x:c r="B76" s="79" t="str">
        <x:v>8:00-12:00</x:v>
      </x:c>
      <x:c r="C76" s="80" t="n">
        <x:v>5999.58169937735</x:v>
      </x:c>
      <x:c r="D76" s="80" t="n">
        <x:v>4285.605216666667</x:v>
      </x:c>
      <x:c r="E76" s="81"/>
      <x:c r="F76" s="80"/>
    </x:row>
    <x:row r="77">
      <x:c r="A77" s="78"/>
      <x:c r="B77" s="79" t="str">
        <x:v>12:00-16:00</x:v>
      </x:c>
      <x:c r="C77" s="80" t="n">
        <x:v>2444.5492175440495</x:v>
      </x:c>
      <x:c r="D77" s="80" t="n">
        <x:v>799.1939166666668</x:v>
      </x:c>
      <x:c r="E77" s="81"/>
      <x:c r="F77" s="80"/>
    </x:row>
    <x:row r="78">
      <x:c r="A78" s="78"/>
      <x:c r="B78" s="79" t="str">
        <x:v>16:00-20:00</x:v>
      </x:c>
      <x:c r="C78" s="80" t="n">
        <x:v>24.315893749999987</x:v>
      </x:c>
      <x:c r="D78" s="80" t="n">
        <x:v>5716.2151671875</x:v>
      </x:c>
      <x:c r="E78" s="81"/>
      <x:c r="F78" s="80"/>
    </x:row>
    <x:row r="79">
      <x:c r="A79" s="98"/>
      <x:c r="B79" s="99" t="str">
        <x:v>20:00-24:00</x:v>
      </x:c>
      <x:c r="C79" s="100" t="n">
        <x:v>5508.5496597077545</x:v>
      </x:c>
      <x:c r="D79" s="100" t="n">
        <x:v>2874.1069973307285</x:v>
      </x:c>
      <x:c r="E79" s="101"/>
      <x:c r="F79" s="100"/>
    </x:row>
    <x:row r="80">
      <x:c r="A80" s="102" t="n">
        <x:v>45702</x:v>
      </x:c>
      <x:c r="B80" s="103" t="str">
        <x:v>0:00-4:00</x:v>
      </x:c>
      <x:c r="C80" s="104" t="n">
        <x:v>2689.143088787184</x:v>
      </x:c>
      <x:c r="D80" s="104" t="n">
        <x:v>13.13876829427079</x:v>
      </x:c>
      <x:c r="E80" s="105" t="str">
        <x:v>0:00</x:v>
      </x:c>
      <x:c r="F80" s="104" t="n">
        <x:v>6234.776593091721</x:v>
      </x:c>
    </x:row>
    <x:row r="81">
      <x:c r="A81" s="78"/>
      <x:c r="B81" s="79" t="str">
        <x:v>4:00-8:00</x:v>
      </x:c>
      <x:c r="C81" s="80" t="n">
        <x:v>1329.0468017578123</x:v>
      </x:c>
      <x:c r="D81" s="80" t="n">
        <x:v>6147.512083333333</x:v>
      </x:c>
      <x:c r="E81" s="81" t="str">
        <x:v>24:00</x:v>
      </x:c>
      <x:c r="F81" s="80" t="n">
        <x:v>6371.404467413272</x:v>
      </x:c>
    </x:row>
    <x:row r="82">
      <x:c r="A82" s="78"/>
      <x:c r="B82" s="79" t="str">
        <x:v>8:00-12:00</x:v>
      </x:c>
      <x:c r="C82" s="80" t="n">
        <x:v>5173.872783333333</x:v>
      </x:c>
      <x:c r="D82" s="80" t="n">
        <x:v>213.09401666666668</x:v>
      </x:c>
      <x:c r="E82" s="81"/>
      <x:c r="F82" s="80"/>
    </x:row>
    <x:row r="83">
      <x:c r="A83" s="78"/>
      <x:c r="B83" s="79" t="str">
        <x:v>12:00-16:00</x:v>
      </x:c>
      <x:c r="C83" s="80" t="n">
        <x:v>3749.2286032966326</x:v>
      </x:c>
      <x:c r="D83" s="80" t="n">
        <x:v>10.575882613311705</x:v>
      </x:c>
      <x:c r="E83" s="81"/>
      <x:c r="F83" s="80"/>
    </x:row>
    <x:row r="84">
      <x:c r="A84" s="78"/>
      <x:c r="B84" s="79" t="str">
        <x:v>16:00-20:00</x:v>
      </x:c>
      <x:c r="C84" s="80" t="n">
        <x:v>88.95993921922351</x:v>
      </x:c>
      <x:c r="D84" s="80" t="n">
        <x:v>5952.355102903537</x:v>
      </x:c>
      <x:c r="E84" s="81"/>
      <x:c r="F84" s="80"/>
    </x:row>
    <x:row r="85">
      <x:c r="A85" s="98"/>
      <x:c r="B85" s="99" t="str">
        <x:v>20:00-24:00</x:v>
      </x:c>
      <x:c r="C85" s="100" t="n">
        <x:v>5573.576259232735</x:v>
      </x:c>
      <x:c r="D85" s="100" t="n">
        <x:v>2609.459314557293</x:v>
      </x:c>
      <x:c r="E85" s="101"/>
      <x:c r="F85" s="100"/>
    </x:row>
    <x:row r="86">
      <x:c r="A86" s="102" t="n">
        <x:v>45703</x:v>
      </x:c>
      <x:c r="B86" s="103" t="str">
        <x:v>0:00-4:00</x:v>
      </x:c>
      <x:c r="C86" s="104" t="n">
        <x:v>3713.0146229123575</x:v>
      </x:c>
      <x:c r="D86" s="104" t="n">
        <x:v>22.430723697916676</x:v>
      </x:c>
      <x:c r="E86" s="105" t="str">
        <x:v>0:00</x:v>
      </x:c>
      <x:c r="F86" s="104" t="n">
        <x:v>6371.404467413272</x:v>
      </x:c>
    </x:row>
    <x:row r="87">
      <x:c r="A87" s="78"/>
      <x:c r="B87" s="79" t="str">
        <x:v>4:00-8:00</x:v>
      </x:c>
      <x:c r="C87" s="80" t="n">
        <x:v>83.06279596354165</x:v>
      </x:c>
      <x:c r="D87" s="80" t="n">
        <x:v>6385.690886653645</x:v>
      </x:c>
      <x:c r="E87" s="81" t="str">
        <x:v>24:00</x:v>
      </x:c>
      <x:c r="F87" s="80" t="n">
        <x:v>6020.068662121304</x:v>
      </x:c>
    </x:row>
    <x:row r="88">
      <x:c r="A88" s="78"/>
      <x:c r="B88" s="79" t="str">
        <x:v>8:00-12:00</x:v>
      </x:c>
      <x:c r="C88" s="80" t="n">
        <x:v>5909.7378499999995</x:v>
      </x:c>
      <x:c r="D88" s="80" t="n">
        <x:v>159.00708333333333</x:v>
      </x:c>
      <x:c r="E88" s="81"/>
      <x:c r="F88" s="80"/>
    </x:row>
    <x:row r="89">
      <x:c r="A89" s="78"/>
      <x:c r="B89" s="79" t="str">
        <x:v>12:00-16:00</x:v>
      </x:c>
      <x:c r="C89" s="80" t="n">
        <x:v>3322.41272249811</x:v>
      </x:c>
      <x:c r="D89" s="80" t="n">
        <x:v>81.25983802860554</x:v>
      </x:c>
      <x:c r="E89" s="81"/>
      <x:c r="F89" s="80"/>
    </x:row>
    <x:row r="90">
      <x:c r="A90" s="78"/>
      <x:c r="B90" s="79" t="str">
        <x:v>16:00-20:00</x:v>
      </x:c>
      <x:c r="C90" s="80" t="n">
        <x:v>107.7372294089601</x:v>
      </x:c>
      <x:c r="D90" s="80" t="n">
        <x:v>5935.417974093765</x:v>
      </x:c>
      <x:c r="E90" s="81"/>
      <x:c r="F90" s="80"/>
    </x:row>
    <x:row r="91">
      <x:c r="A91" s="98"/>
      <x:c r="B91" s="99" t="str">
        <x:v>20:00-24:00</x:v>
      </x:c>
      <x:c r="C91" s="100" t="n">
        <x:v>5561.044169941969</x:v>
      </x:c>
      <x:c r="D91" s="100" t="n">
        <x:v>2876.9733254427083</x:v>
      </x:c>
      <x:c r="E91" s="101"/>
      <x:c r="F91" s="100"/>
    </x:row>
    <x:row r="92">
      <x:c r="A92" s="102" t="n">
        <x:v>45704</x:v>
      </x:c>
      <x:c r="B92" s="103" t="str">
        <x:v>0:00-4:00</x:v>
      </x:c>
      <x:c r="C92" s="104" t="n">
        <x:v>4695.1643162844875</x:v>
      </x:c>
      <x:c r="D92" s="104" t="n">
        <x:v>26.300937955729296</x:v>
      </x:c>
      <x:c r="E92" s="105" t="str">
        <x:v>0:00</x:v>
      </x:c>
      <x:c r="F92" s="104" t="n">
        <x:v>6020.068662121304</x:v>
      </x:c>
    </x:row>
    <x:row r="93">
      <x:c r="A93" s="78"/>
      <x:c r="B93" s="79" t="str">
        <x:v>4:00-8:00</x:v>
      </x:c>
      <x:c r="C93" s="80" t="n">
        <x:v>934.9655860915346</x:v>
      </x:c>
      <x:c r="D93" s="80" t="n">
        <x:v>3486.497042831765</x:v>
      </x:c>
      <x:c r="E93" s="81" t="str">
        <x:v>24:00</x:v>
      </x:c>
      <x:c r="F93" s="80" t="n">
        <x:v>5895.075283072193</x:v>
      </x:c>
    </x:row>
    <x:row r="94">
      <x:c r="A94" s="78"/>
      <x:c r="B94" s="79" t="str">
        <x:v>8:00-12:00</x:v>
      </x:c>
      <x:c r="C94" s="80" t="n">
        <x:v>5124.660483372574</x:v>
      </x:c>
      <x:c r="D94" s="80" t="n">
        <x:v>5230.83589908101</x:v>
      </x:c>
      <x:c r="E94" s="81"/>
      <x:c r="F94" s="80"/>
    </x:row>
    <x:row r="95">
      <x:c r="A95" s="78"/>
      <x:c r="B95" s="79" t="str">
        <x:v>12:00-16:00</x:v>
      </x:c>
      <x:c r="C95" s="80" t="n">
        <x:v>5404.111735253264</x:v>
      </x:c>
      <x:c r="D95" s="80" t="n">
        <x:v>610.3678833333333</x:v>
      </x:c>
      <x:c r="E95" s="81"/>
      <x:c r="F95" s="80"/>
    </x:row>
    <x:row r="96">
      <x:c r="A96" s="78"/>
      <x:c r="B96" s="79" t="str">
        <x:v>16:00-20:00</x:v>
      </x:c>
      <x:c r="C96" s="80" t="n">
        <x:v>77.57044928489631</x:v>
      </x:c>
      <x:c r="D96" s="80" t="n">
        <x:v>6136.166208656226</x:v>
      </x:c>
      <x:c r="E96" s="81"/>
      <x:c r="F96" s="80"/>
    </x:row>
    <x:row r="97">
      <x:c r="A97" s="98"/>
      <x:c r="B97" s="99" t="str">
        <x:v>20:00-24:00</x:v>
      </x:c>
      <x:c r="C97" s="100" t="n">
        <x:v>5308.6611335431135</x:v>
      </x:c>
      <x:c r="D97" s="100" t="n">
        <x:v>2073.884369388329</x:v>
      </x:c>
      <x:c r="E97" s="101"/>
      <x:c r="F97" s="100"/>
    </x:row>
    <x:row r="98">
      <x:c r="A98" s="102" t="n">
        <x:v>45705</x:v>
      </x:c>
      <x:c r="B98" s="103" t="str">
        <x:v>0:00-4:00</x:v>
      </x:c>
      <x:c r="C98" s="104" t="n">
        <x:v>5531.690134935216</x:v>
      </x:c>
      <x:c r="D98" s="104" t="n">
        <x:v>66.23676406250001</x:v>
      </x:c>
      <x:c r="E98" s="105" t="str">
        <x:v>0:00</x:v>
      </x:c>
      <x:c r="F98" s="104" t="n">
        <x:v>5895.075283072193</x:v>
      </x:c>
    </x:row>
    <x:row r="99">
      <x:c r="A99" s="78"/>
      <x:c r="B99" s="79" t="str">
        <x:v>4:00-8:00</x:v>
      </x:c>
      <x:c r="C99" s="80" t="n">
        <x:v>458.49511618708664</x:v>
      </x:c>
      <x:c r="D99" s="80" t="n">
        <x:v>2986.1229738676166</x:v>
      </x:c>
      <x:c r="E99" s="81" t="str">
        <x:v>24:00</x:v>
      </x:c>
      <x:c r="F99" s="80" t="n">
        <x:v>6095.312051026476</x:v>
      </x:c>
    </x:row>
    <x:row r="100">
      <x:c r="A100" s="78"/>
      <x:c r="B100" s="79" t="str">
        <x:v>8:00-12:00</x:v>
      </x:c>
      <x:c r="C100" s="80" t="n">
        <x:v>5969.042729114177</x:v>
      </x:c>
      <x:c r="D100" s="80" t="n">
        <x:v>4084.663283333333</x:v>
      </x:c>
      <x:c r="E100" s="81"/>
      <x:c r="F100" s="80"/>
    </x:row>
    <x:row r="101">
      <x:c r="A101" s="78"/>
      <x:c r="B101" s="79" t="str">
        <x:v>12:00-16:00</x:v>
      </x:c>
      <x:c r="C101" s="80" t="n">
        <x:v>3124.9712993912667</x:v>
      </x:c>
      <x:c r="D101" s="80" t="n">
        <x:v>672.0418713816857</x:v>
      </x:c>
      <x:c r="E101" s="81"/>
      <x:c r="F101" s="80"/>
    </x:row>
    <x:row r="102">
      <x:c r="A102" s="78"/>
      <x:c r="B102" s="79" t="str">
        <x:v>16:00-20:00</x:v>
      </x:c>
      <x:c r="C102" s="80" t="n">
        <x:v>92.05419169814087</x:v>
      </x:c>
      <x:c r="D102" s="80" t="n">
        <x:v>7241.923016602141</x:v>
      </x:c>
      <x:c r="E102" s="81"/>
      <x:c r="F102" s="80"/>
    </x:row>
    <x:row r="103">
      <x:c r="A103" s="98"/>
      <x:c r="B103" s="99" t="str">
        <x:v>20:00-24:00</x:v>
      </x:c>
      <x:c r="C103" s="100" t="n">
        <x:v>5502.906588121303</x:v>
      </x:c>
      <x:c r="D103" s="100" t="n">
        <x:v>1518.918647746094</x:v>
      </x:c>
      <x:c r="E103" s="101"/>
      <x:c r="F103" s="100"/>
    </x:row>
    <x:row r="104">
      <x:c r="A104" s="102" t="n">
        <x:v>45706</x:v>
      </x:c>
      <x:c r="B104" s="103" t="str">
        <x:v>0:00-4:00</x:v>
      </x:c>
      <x:c r="C104" s="104" t="n">
        <x:v>4666.75419790461</x:v>
      </x:c>
      <x:c r="D104" s="104" t="n">
        <x:v>157.07294811197903</x:v>
      </x:c>
      <x:c r="E104" s="105" t="str">
        <x:v>0:00</x:v>
      </x:c>
      <x:c r="F104" s="104" t="n">
        <x:v>6095.312051026476</x:v>
      </x:c>
    </x:row>
    <x:row r="105">
      <x:c r="A105" s="78"/>
      <x:c r="B105" s="79" t="str">
        <x:v>4:00-8:00</x:v>
      </x:c>
      <x:c r="C105" s="80" t="n">
        <x:v>2100.407123410239</x:v>
      </x:c>
      <x:c r="D105" s="80" t="n">
        <x:v>4224.385337488037</x:v>
      </x:c>
      <x:c r="E105" s="81" t="str">
        <x:v>24:00</x:v>
      </x:c>
      <x:c r="F105" s="80" t="n">
        <x:v>6144.446154861069</x:v>
      </x:c>
    </x:row>
    <x:row r="106">
      <x:c r="A106" s="78"/>
      <x:c r="B106" s="79" t="str">
        <x:v>8:00-12:00</x:v>
      </x:c>
      <x:c r="C106" s="80" t="n">
        <x:v>5917.434278683848</x:v>
      </x:c>
      <x:c r="D106" s="80" t="n">
        <x:v>4405.910725951364</x:v>
      </x:c>
      <x:c r="E106" s="81"/>
      <x:c r="F106" s="80"/>
    </x:row>
    <x:row r="107">
      <x:c r="A107" s="78"/>
      <x:c r="B107" s="79" t="str">
        <x:v>12:00-16:00</x:v>
      </x:c>
      <x:c r="C107" s="80" t="n">
        <x:v>4717.090345220499</x:v>
      </x:c>
      <x:c r="D107" s="80" t="n">
        <x:v>1073.7774499999998</x:v>
      </x:c>
      <x:c r="E107" s="81"/>
      <x:c r="F107" s="80"/>
    </x:row>
    <x:row r="108">
      <x:c r="A108" s="78"/>
      <x:c r="B108" s="79" t="str">
        <x:v>16:00-20:00</x:v>
      </x:c>
      <x:c r="C108" s="80" t="n">
        <x:v>70.40272061571665</x:v>
      </x:c>
      <x:c r="D108" s="80" t="n">
        <x:v>5922.512562064243</x:v>
      </x:c>
      <x:c r="E108" s="81"/>
      <x:c r="F108" s="80"/>
    </x:row>
    <x:row r="109">
      <x:c r="A109" s="98"/>
      <x:c r="B109" s="99" t="str">
        <x:v>20:00-24:00</x:v>
      </x:c>
      <x:c r="C109" s="100" t="n">
        <x:v>5502.319371217475</x:v>
      </x:c>
      <x:c r="D109" s="100" t="n">
        <x:v>2781.390792945681</x:v>
      </x:c>
      <x:c r="E109" s="101"/>
      <x:c r="F109" s="100"/>
    </x:row>
    <x:row r="110">
      <x:c r="A110" s="102" t="n">
        <x:v>45707</x:v>
      </x:c>
      <x:c r="B110" s="103" t="str">
        <x:v>0:00-4:00</x:v>
      </x:c>
      <x:c r="C110" s="104" t="n">
        <x:v>5266.24980082711</x:v>
      </x:c>
      <x:c r="D110" s="104" t="n">
        <x:v>172.32464069010405</x:v>
      </x:c>
      <x:c r="E110" s="105" t="str">
        <x:v>0:00</x:v>
      </x:c>
      <x:c r="F110" s="104" t="n">
        <x:v>6144.446154861069</x:v>
      </x:c>
    </x:row>
    <x:row r="111">
      <x:c r="A111" s="78"/>
      <x:c r="B111" s="79" t="str">
        <x:v>4:00-8:00</x:v>
      </x:c>
      <x:c r="C111" s="80" t="n">
        <x:v>476.9506931118191</x:v>
      </x:c>
      <x:c r="D111" s="80" t="n">
        <x:v>3372.6644043163897</x:v>
      </x:c>
      <x:c r="E111" s="81" t="str">
        <x:v>24:00</x:v>
      </x:c>
      <x:c r="F111" s="80" t="n">
        <x:v>6003.059096283275</x:v>
      </x:c>
    </x:row>
    <x:row r="112">
      <x:c r="A112" s="78"/>
      <x:c r="B112" s="79" t="str">
        <x:v>8:00-12:00</x:v>
      </x:c>
      <x:c r="C112" s="80" t="n">
        <x:v>5902.091589836895</x:v>
      </x:c>
      <x:c r="D112" s="80" t="n">
        <x:v>5277.682616666667</x:v>
      </x:c>
      <x:c r="E112" s="81"/>
      <x:c r="F112" s="80"/>
    </x:row>
    <x:row r="113">
      <x:c r="A113" s="78"/>
      <x:c r="B113" s="79" t="str">
        <x:v>12:00-16:00</x:v>
      </x:c>
      <x:c r="C113" s="80" t="n">
        <x:v>5828.227088150261</x:v>
      </x:c>
      <x:c r="D113" s="80" t="n">
        <x:v>1172.340022555638</x:v>
      </x:c>
      <x:c r="E113" s="81"/>
      <x:c r="F113" s="80"/>
    </x:row>
    <x:row r="114">
      <x:c r="A114" s="78"/>
      <x:c r="B114" s="79" t="str">
        <x:v>16:00-20:00</x:v>
      </x:c>
      <x:c r="C114" s="80" t="n">
        <x:v>144.5627648416916</x:v>
      </x:c>
      <x:c r="D114" s="80" t="n">
        <x:v>5752.395245500984</x:v>
      </x:c>
      <x:c r="E114" s="81"/>
      <x:c r="F114" s="80"/>
    </x:row>
    <x:row r="115">
      <x:c r="A115" s="98"/>
      <x:c r="B115" s="99" t="str">
        <x:v>20:00-24:00</x:v>
      </x:c>
      <x:c r="C115" s="100" t="n">
        <x:v>5336.73232920364</x:v>
      </x:c>
      <x:c r="D115" s="100" t="n">
        <x:v>2973.240978427084</x:v>
      </x:c>
      <x:c r="E115" s="101"/>
      <x:c r="F115" s="100"/>
    </x:row>
    <x:row r="116">
      <x:c r="A116" s="102" t="n">
        <x:v>45708</x:v>
      </x:c>
      <x:c r="B116" s="103" t="str">
        <x:v>0:00-4:00</x:v>
      </x:c>
      <x:c r="C116" s="104" t="n">
        <x:v>5329.2956920572915</x:v>
      </x:c>
      <x:c r="D116" s="104" t="n">
        <x:v>18.227433593749993</x:v>
      </x:c>
      <x:c r="E116" s="105" t="str">
        <x:v>0:00</x:v>
      </x:c>
      <x:c r="F116" s="104" t="n">
        <x:v>6003.059096283275</x:v>
      </x:c>
    </x:row>
    <x:row r="117">
      <x:c r="A117" s="78"/>
      <x:c r="B117" s="79" t="str">
        <x:v>4:00-8:00</x:v>
      </x:c>
      <x:c r="C117" s="80" t="n">
        <x:v>1113.1166350373396</x:v>
      </x:c>
      <x:c r="D117" s="80" t="n">
        <x:v>4410.134106948806</x:v>
      </x:c>
      <x:c r="E117" s="81" t="str">
        <x:v>24:00</x:v>
      </x:c>
      <x:c r="F117" s="80" t="n">
        <x:v>6100.4134716608805</x:v>
      </x:c>
    </x:row>
    <x:row r="118">
      <x:c r="A118" s="78"/>
      <x:c r="B118" s="79" t="str">
        <x:v>8:00-12:00</x:v>
      </x:c>
      <x:c r="C118" s="80" t="n">
        <x:v>5572.3069408218735</x:v>
      </x:c>
      <x:c r="D118" s="80" t="n">
        <x:v>4820.92035099518</x:v>
      </x:c>
      <x:c r="E118" s="81"/>
      <x:c r="F118" s="80"/>
    </x:row>
    <x:row r="119">
      <x:c r="A119" s="78"/>
      <x:c r="B119" s="79" t="str">
        <x:v>12:00-16:00</x:v>
      </x:c>
      <x:c r="C119" s="80" t="n">
        <x:v>5151.58275457253</x:v>
      </x:c>
      <x:c r="D119" s="80" t="n">
        <x:v>338.17593333333343</x:v>
      </x:c>
      <x:c r="E119" s="81"/>
      <x:c r="F119" s="80"/>
    </x:row>
    <x:row r="120">
      <x:c r="A120" s="78"/>
      <x:c r="B120" s="79" t="str">
        <x:v>16:00-20:00</x:v>
      </x:c>
      <x:c r="C120" s="80" t="n">
        <x:v>29.561755191220755</x:v>
      </x:c>
      <x:c r="D120" s="80" t="n">
        <x:v>5735.996845442711</x:v>
      </x:c>
      <x:c r="E120" s="81"/>
      <x:c r="F120" s="80"/>
    </x:row>
    <x:row r="121">
      <x:c r="A121" s="98"/>
      <x:c r="B121" s="99" t="str">
        <x:v>20:00-24:00</x:v>
      </x:c>
      <x:c r="C121" s="100" t="n">
        <x:v>5455.20208135931</x:v>
      </x:c>
      <x:c r="D121" s="100" t="n">
        <x:v>2936.289737668426</x:v>
      </x:c>
      <x:c r="E121" s="101"/>
      <x:c r="F121" s="100"/>
    </x:row>
    <x:row r="122">
      <x:c r="A122" s="102" t="n">
        <x:v>45709</x:v>
      </x:c>
      <x:c r="B122" s="103" t="str">
        <x:v>0:00-4:00</x:v>
      </x:c>
      <x:c r="C122" s="104" t="n">
        <x:v>3608.2800201171867</x:v>
      </x:c>
      <x:c r="D122" s="104" t="n">
        <x:v>634.0521780598959</x:v>
      </x:c>
      <x:c r="E122" s="105" t="str">
        <x:v>0:00</x:v>
      </x:c>
      <x:c r="F122" s="104" t="n">
        <x:v>6100.4134716608805</x:v>
      </x:c>
    </x:row>
    <x:row r="123">
      <x:c r="A123" s="78"/>
      <x:c r="B123" s="79" t="str">
        <x:v>4:00-8:00</x:v>
      </x:c>
      <x:c r="C123" s="80" t="n">
        <x:v>220.31586510416668</x:v>
      </x:c>
      <x:c r="D123" s="80" t="n">
        <x:v>6275.233701218051</x:v>
      </x:c>
      <x:c r="E123" s="81" t="str">
        <x:v>24:00</x:v>
      </x:c>
      <x:c r="F123" s="80" t="n">
        <x:v>6330.152959866767</x:v>
      </x:c>
    </x:row>
    <x:row r="124">
      <x:c r="A124" s="78"/>
      <x:c r="B124" s="79" t="str">
        <x:v>8:00-12:00</x:v>
      </x:c>
      <x:c r="C124" s="80" t="n">
        <x:v>7218.217866666667</x:v>
      </x:c>
      <x:c r="D124" s="80" t="n">
        <x:v>125.67031666666668</x:v>
      </x:c>
      <x:c r="E124" s="81"/>
      <x:c r="F124" s="80"/>
    </x:row>
    <x:row r="125">
      <x:c r="A125" s="78"/>
      <x:c r="B125" s="79" t="str">
        <x:v>12:00-16:00</x:v>
      </x:c>
      <x:c r="C125" s="80" t="n">
        <x:v>2860.080163482128</x:v>
      </x:c>
      <x:c r="D125" s="80" t="n">
        <x:v>0</x:v>
      </x:c>
      <x:c r="E125" s="81"/>
      <x:c r="F125" s="80"/>
    </x:row>
    <x:row r="126">
      <x:c r="A126" s="78"/>
      <x:c r="B126" s="79" t="str">
        <x:v>16:00-20:00</x:v>
      </x:c>
      <x:c r="C126" s="80" t="n">
        <x:v>0.3656989150517297</x:v>
      </x:c>
      <x:c r="D126" s="80" t="n">
        <x:v>6138.67767277001</x:v>
      </x:c>
      <x:c r="E126" s="81"/>
      <x:c r="F126" s="80"/>
    </x:row>
    <x:row r="127">
      <x:c r="A127" s="98"/>
      <x:c r="B127" s="99" t="str">
        <x:v>20:00-24:00</x:v>
      </x:c>
      <x:c r="C127" s="100" t="n">
        <x:v>5430.482038750964</x:v>
      </x:c>
      <x:c r="D127" s="100" t="n">
        <x:v>2283.171330859375</x:v>
      </x:c>
      <x:c r="E127" s="101"/>
      <x:c r="F127" s="100"/>
    </x:row>
    <x:row r="128">
      <x:c r="A128" s="102" t="n">
        <x:v>45710</x:v>
      </x:c>
      <x:c r="B128" s="103" t="str">
        <x:v>0:00-4:00</x:v>
      </x:c>
      <x:c r="C128" s="104" t="n">
        <x:v>2914.6478816921867</x:v>
      </x:c>
      <x:c r="D128" s="104" t="n">
        <x:v>59.71401673177081</x:v>
      </x:c>
      <x:c r="E128" s="105" t="str">
        <x:v>0:00</x:v>
      </x:c>
      <x:c r="F128" s="104" t="n">
        <x:v>6330.152959866767</x:v>
      </x:c>
    </x:row>
    <x:row r="129">
      <x:c r="A129" s="78"/>
      <x:c r="B129" s="79" t="str">
        <x:v>4:00-8:00</x:v>
      </x:c>
      <x:c r="C129" s="80" t="n">
        <x:v>131.43328736979174</x:v>
      </x:c>
      <x:c r="D129" s="80" t="n">
        <x:v>5932.958593684895</x:v>
      </x:c>
      <x:c r="E129" s="81" t="str">
        <x:v>24:00</x:v>
      </x:c>
      <x:c r="F129" s="80" t="n">
        <x:v>6142.485693085919</x:v>
      </x:c>
    </x:row>
    <x:row r="130">
      <x:c r="A130" s="78"/>
      <x:c r="B130" s="79" t="str">
        <x:v>8:00-12:00</x:v>
      </x:c>
      <x:c r="C130" s="80" t="n">
        <x:v>6503.709066666666</x:v>
      </x:c>
      <x:c r="D130" s="80" t="n">
        <x:v>144.0951</x:v>
      </x:c>
      <x:c r="E130" s="81"/>
      <x:c r="F130" s="80"/>
    </x:row>
    <x:row r="131">
      <x:c r="A131" s="78"/>
      <x:c r="B131" s="79" t="str">
        <x:v>12:00-16:00</x:v>
      </x:c>
      <x:c r="C131" s="80" t="n">
        <x:v>2992.9629081436724</x:v>
      </x:c>
      <x:c r="D131" s="80" t="n">
        <x:v>88.47360795897794</x:v>
      </x:c>
      <x:c r="E131" s="81"/>
      <x:c r="F131" s="80"/>
    </x:row>
    <x:row r="132">
      <x:c r="A132" s="78"/>
      <x:c r="B132" s="79" t="str">
        <x:v>16:00-20:00</x:v>
      </x:c>
      <x:c r="C132" s="80" t="n">
        <x:v>74.1422840918492</x:v>
      </x:c>
      <x:c r="D132" s="80" t="n">
        <x:v>5931.053152447752</x:v>
      </x:c>
      <x:c r="E132" s="81"/>
      <x:c r="F132" s="80"/>
    </x:row>
    <x:row r="133">
      <x:c r="A133" s="98"/>
      <x:c r="B133" s="99" t="str">
        <x:v>20:00-24:00</x:v>
      </x:c>
      <x:c r="C133" s="100" t="n">
        <x:v>5337.227025954056</x:v>
      </x:c>
      <x:c r="D133" s="100" t="n">
        <x:v>2555.445256953126</x:v>
      </x:c>
      <x:c r="E133" s="101"/>
      <x:c r="F133" s="100"/>
    </x:row>
    <x:row r="134">
      <x:c r="A134" s="102" t="n">
        <x:v>45711</x:v>
      </x:c>
      <x:c r="B134" s="103" t="str">
        <x:v>0:00-4:00</x:v>
      </x:c>
      <x:c r="C134" s="104" t="n">
        <x:v>5266.062426840624</x:v>
      </x:c>
      <x:c r="D134" s="104" t="n">
        <x:v>73.7476895182291</x:v>
      </x:c>
      <x:c r="E134" s="105" t="str">
        <x:v>0:00</x:v>
      </x:c>
      <x:c r="F134" s="104" t="n">
        <x:v>6142.485693085919</x:v>
      </x:c>
    </x:row>
    <x:row r="135">
      <x:c r="A135" s="78"/>
      <x:c r="B135" s="79" t="str">
        <x:v>4:00-8:00</x:v>
      </x:c>
      <x:c r="C135" s="80" t="n">
        <x:v>291.0053123815386</x:v>
      </x:c>
      <x:c r="D135" s="80" t="n">
        <x:v>3601.704918446492</x:v>
      </x:c>
      <x:c r="E135" s="81" t="str">
        <x:v>24:00</x:v>
      </x:c>
      <x:c r="F135" s="80" t="n">
        <x:v>5915.293405222077</x:v>
      </x:c>
    </x:row>
    <x:row r="136">
      <x:c r="A136" s="78"/>
      <x:c r="B136" s="79" t="str">
        <x:v>8:00-12:00</x:v>
      </x:c>
      <x:c r="C136" s="80" t="n">
        <x:v>5875.883406334159</x:v>
      </x:c>
      <x:c r="D136" s="80" t="n">
        <x:v>4577.6463903359145</x:v>
      </x:c>
      <x:c r="E136" s="81"/>
      <x:c r="F136" s="80"/>
    </x:row>
    <x:row r="137">
      <x:c r="A137" s="78"/>
      <x:c r="B137" s="79" t="str">
        <x:v>12:00-16:00</x:v>
      </x:c>
      <x:c r="C137" s="80" t="n">
        <x:v>4547.153709861188</x:v>
      </x:c>
      <x:c r="D137" s="80" t="n">
        <x:v>499.0230583648738</x:v>
      </x:c>
      <x:c r="E137" s="81"/>
      <x:c r="F137" s="80"/>
    </x:row>
    <x:row r="138">
      <x:c r="A138" s="78"/>
      <x:c r="B138" s="79" t="str">
        <x:v>16:00-20:00</x:v>
      </x:c>
      <x:c r="C138" s="80" t="n">
        <x:v>43.77478363014416</x:v>
      </x:c>
      <x:c r="D138" s="80" t="n">
        <x:v>5981.766212774228</x:v>
      </x:c>
      <x:c r="E138" s="81"/>
      <x:c r="F138" s="80"/>
    </x:row>
    <x:row r="139">
      <x:c r="A139" s="98"/>
      <x:c r="B139" s="99" t="str">
        <x:v>20:00-24:00</x:v>
      </x:c>
      <x:c r="C139" s="100" t="n">
        <x:v>5333.118862157868</x:v>
      </x:c>
      <x:c r="D139" s="100" t="n">
        <x:v>2769.7535756141942</x:v>
      </x:c>
      <x:c r="E139" s="101"/>
      <x:c r="F139" s="100"/>
    </x:row>
    <x:row r="140">
      <x:c r="A140" s="102" t="n">
        <x:v>45712</x:v>
      </x:c>
      <x:c r="B140" s="103" t="str">
        <x:v>0:00-4:00</x:v>
      </x:c>
      <x:c r="C140" s="104" t="n">
        <x:v>4878.1212200223445</x:v>
      </x:c>
      <x:c r="D140" s="104" t="n">
        <x:v>94.31548326822929</x:v>
      </x:c>
      <x:c r="E140" s="105" t="str">
        <x:v>0:00</x:v>
      </x:c>
      <x:c r="F140" s="104" t="n">
        <x:v>5915.293405222077</x:v>
      </x:c>
    </x:row>
    <x:row r="141">
      <x:c r="A141" s="78"/>
      <x:c r="B141" s="79" t="str">
        <x:v>4:00-8:00</x:v>
      </x:c>
      <x:c r="C141" s="80" t="n">
        <x:v>1833.0774131711255</x:v>
      </x:c>
      <x:c r="D141" s="80" t="n">
        <x:v>4691.383154280933</x:v>
      </x:c>
      <x:c r="E141" s="81" t="str">
        <x:v>24:00</x:v>
      </x:c>
      <x:c r="F141" s="80" t="n">
        <x:v>6068.917347326389</x:v>
      </x:c>
    </x:row>
    <x:row r="142">
      <x:c r="A142" s="78"/>
      <x:c r="B142" s="79" t="str">
        <x:v>8:00-12:00</x:v>
      </x:c>
      <x:c r="C142" s="80" t="n">
        <x:v>6018.5917428268385</x:v>
      </x:c>
      <x:c r="D142" s="80" t="n">
        <x:v>3639.0998999999993</x:v>
      </x:c>
      <x:c r="E142" s="81"/>
      <x:c r="F142" s="80"/>
    </x:row>
    <x:row r="143">
      <x:c r="A143" s="78"/>
      <x:c r="B143" s="79" t="str">
        <x:v>12:00-16:00</x:v>
      </x:c>
      <x:c r="C143" s="80" t="n">
        <x:v>3706.827812393268</x:v>
      </x:c>
      <x:c r="D143" s="80" t="n">
        <x:v>606.3144274429212</x:v>
      </x:c>
      <x:c r="E143" s="81"/>
      <x:c r="F143" s="80"/>
    </x:row>
    <x:row r="144">
      <x:c r="A144" s="78"/>
      <x:c r="B144" s="79" t="str">
        <x:v>16:00-20:00</x:v>
      </x:c>
      <x:c r="C144" s="80" t="n">
        <x:v>33.67127966832152</x:v>
      </x:c>
      <x:c r="D144" s="80" t="n">
        <x:v>6552.779248915485</x:v>
      </x:c>
      <x:c r="E144" s="81"/>
      <x:c r="F144" s="80"/>
    </x:row>
    <x:row r="145">
      <x:c r="A145" s="98"/>
      <x:c r="B145" s="99" t="str">
        <x:v>20:00-24:00</x:v>
      </x:c>
      <x:c r="C145" s="100" t="n">
        <x:v>5458.121363305362</x:v>
      </x:c>
      <x:c r="D145" s="100" t="n">
        <x:v>2039.859011622228</x:v>
      </x:c>
      <x:c r="E145" s="101"/>
      <x:c r="F145" s="100"/>
    </x:row>
    <x:row r="146">
      <x:c r="A146" s="102" t="n">
        <x:v>45713</x:v>
      </x:c>
      <x:c r="B146" s="103" t="str">
        <x:v>0:00-4:00</x:v>
      </x:c>
      <x:c r="C146" s="104" t="n">
        <x:v>3743.8196706790122</x:v>
      </x:c>
      <x:c r="D146" s="104" t="n">
        <x:v>116.52139121093728</x:v>
      </x:c>
      <x:c r="E146" s="105" t="str">
        <x:v>0:00</x:v>
      </x:c>
      <x:c r="F146" s="104" t="n">
        <x:v>6068.917347326389</x:v>
      </x:c>
    </x:row>
    <x:row r="147">
      <x:c r="A147" s="78"/>
      <x:c r="B147" s="79" t="str">
        <x:v>4:00-8:00</x:v>
      </x:c>
      <x:c r="C147" s="80" t="n">
        <x:v>1818.224445252637</x:v>
      </x:c>
      <x:c r="D147" s="80" t="n">
        <x:v>4436.24296852184</x:v>
      </x:c>
      <x:c r="E147" s="81" t="str">
        <x:v>24:00</x:v>
      </x:c>
      <x:c r="F147" s="80" t="n">
        <x:v>6061.637369188601</x:v>
      </x:c>
    </x:row>
    <x:row r="148">
      <x:c r="A148" s="78"/>
      <x:c r="B148" s="79" t="str">
        <x:v>8:00-12:00</x:v>
      </x:c>
      <x:c r="C148" s="80" t="n">
        <x:v>6412.913268467804</x:v>
      </x:c>
      <x:c r="D148" s="80" t="n">
        <x:v>3066.2635666666665</x:v>
      </x:c>
      <x:c r="E148" s="81"/>
      <x:c r="F148" s="80"/>
    </x:row>
    <x:row r="149">
      <x:c r="A149" s="78"/>
      <x:c r="B149" s="79" t="str">
        <x:v>12:00-16:00</x:v>
      </x:c>
      <x:c r="C149" s="80" t="n">
        <x:v>3107.0156573359745</x:v>
      </x:c>
      <x:c r="D149" s="80" t="n">
        <x:v>341.34390040139436</x:v>
      </x:c>
      <x:c r="E149" s="81"/>
      <x:c r="F149" s="80"/>
    </x:row>
    <x:row r="150">
      <x:c r="A150" s="78"/>
      <x:c r="B150" s="79" t="str">
        <x:v>16:00-20:00</x:v>
      </x:c>
      <x:c r="C150" s="80" t="n">
        <x:v>42.090334660636046</x:v>
      </x:c>
      <x:c r="D150" s="80" t="n">
        <x:v>5730.094507215194</x:v>
      </x:c>
      <x:c r="E150" s="81"/>
      <x:c r="F150" s="80"/>
    </x:row>
    <x:row r="151">
      <x:c r="A151" s="98"/>
      <x:c r="B151" s="99" t="str">
        <x:v>20:00-24:00</x:v>
      </x:c>
      <x:c r="C151" s="100" t="n">
        <x:v>5381.783374225179</x:v>
      </x:c>
      <x:c r="D151" s="100" t="n">
        <x:v>2925.8215143111815</x:v>
      </x:c>
      <x:c r="E151" s="101"/>
      <x:c r="F151" s="100"/>
    </x:row>
    <x:row r="152">
      <x:c r="A152" s="102" t="n">
        <x:v>45714</x:v>
      </x:c>
      <x:c r="B152" s="103" t="str">
        <x:v>0:00-4:00</x:v>
      </x:c>
      <x:c r="C152" s="104" t="n">
        <x:v>5409.34365429983</x:v>
      </x:c>
      <x:c r="D152" s="104" t="n">
        <x:v>117.04199225260402</x:v>
      </x:c>
      <x:c r="E152" s="105" t="str">
        <x:v>0:00</x:v>
      </x:c>
      <x:c r="F152" s="104" t="n">
        <x:v>6061.637369188601</x:v>
      </x:c>
    </x:row>
    <x:row r="153">
      <x:c r="A153" s="78"/>
      <x:c r="B153" s="79" t="str">
        <x:v>4:00-8:00</x:v>
      </x:c>
      <x:c r="C153" s="80" t="n">
        <x:v>853.1695591251613</x:v>
      </x:c>
      <x:c r="D153" s="80" t="n">
        <x:v>4610.368601465198</x:v>
      </x:c>
      <x:c r="E153" s="81" t="str">
        <x:v>24:00</x:v>
      </x:c>
      <x:c r="F153" s="80" t="n">
        <x:v>6127.042099221089</x:v>
      </x:c>
    </x:row>
    <x:row r="154">
      <x:c r="A154" s="78"/>
      <x:c r="B154" s="79" t="str">
        <x:v>8:00-12:00</x:v>
      </x:c>
      <x:c r="C154" s="80" t="n">
        <x:v>6025.591691384668</x:v>
      </x:c>
      <x:c r="D154" s="80" t="n">
        <x:v>3363.2576833333337</x:v>
      </x:c>
      <x:c r="E154" s="81"/>
      <x:c r="F154" s="80"/>
    </x:row>
    <x:row r="155">
      <x:c r="A155" s="78"/>
      <x:c r="B155" s="79" t="str">
        <x:v>12:00-16:00</x:v>
      </x:c>
      <x:c r="C155" s="80" t="n">
        <x:v>3634.4801445462313</x:v>
      </x:c>
      <x:c r="D155" s="80" t="n">
        <x:v>938.814803049862</x:v>
      </x:c>
      <x:c r="E155" s="81"/>
      <x:c r="F155" s="80"/>
    </x:row>
    <x:row r="156">
      <x:c r="A156" s="78"/>
      <x:c r="B156" s="79" t="str">
        <x:v>16:00-20:00</x:v>
      </x:c>
      <x:c r="C156" s="80" t="n">
        <x:v>94.90972458579301</x:v>
      </x:c>
      <x:c r="D156" s="80" t="n">
        <x:v>5874.95598766586</x:v>
      </x:c>
      <x:c r="E156" s="81"/>
      <x:c r="F156" s="80"/>
    </x:row>
    <x:row r="157">
      <x:c r="A157" s="98"/>
      <x:c r="B157" s="99" t="str">
        <x:v>20:00-24:00</x:v>
      </x:c>
      <x:c r="C157" s="100" t="n">
        <x:v>5484.063603894998</x:v>
      </x:c>
      <x:c r="D157" s="100" t="n">
        <x:v>2452.9589612516147</x:v>
      </x:c>
      <x:c r="E157" s="101"/>
      <x:c r="F157" s="100"/>
    </x:row>
    <x:row r="158">
      <x:c r="A158" s="102" t="n">
        <x:v>45715</x:v>
      </x:c>
      <x:c r="B158" s="103" t="str">
        <x:v>0:00-4:00</x:v>
      </x:c>
      <x:c r="C158" s="104" t="n">
        <x:v>5217.993017004855</x:v>
      </x:c>
      <x:c r="D158" s="104" t="n">
        <x:v>20.912233072916592</x:v>
      </x:c>
      <x:c r="E158" s="105" t="str">
        <x:v>0:00</x:v>
      </x:c>
      <x:c r="F158" s="104" t="n">
        <x:v>6127.042099221089</x:v>
      </x:c>
    </x:row>
    <x:row r="159">
      <x:c r="A159" s="78"/>
      <x:c r="B159" s="79" t="str">
        <x:v>4:00-8:00</x:v>
      </x:c>
      <x:c r="C159" s="80" t="n">
        <x:v>1066.7358273588097</x:v>
      </x:c>
      <x:c r="D159" s="80" t="n">
        <x:v>5312.50993581585</x:v>
      </x:c>
      <x:c r="E159" s="81" t="str">
        <x:v>24:00</x:v>
      </x:c>
      <x:c r="F159" s="80" t="n">
        <x:v>6158.767001458333</x:v>
      </x:c>
    </x:row>
    <x:row r="160">
      <x:c r="A160" s="78"/>
      <x:c r="B160" s="79" t="str">
        <x:v>8:00-12:00</x:v>
      </x:c>
      <x:c r="C160" s="80" t="n">
        <x:v>6215.262133333333</x:v>
      </x:c>
      <x:c r="D160" s="80" t="n">
        <x:v>4191.546084344786</x:v>
      </x:c>
      <x:c r="E160" s="81"/>
      <x:c r="F160" s="80"/>
    </x:row>
    <x:row r="161">
      <x:c r="A161" s="78"/>
      <x:c r="B161" s="79" t="str">
        <x:v>12:00-16:00</x:v>
      </x:c>
      <x:c r="C161" s="80" t="n">
        <x:v>5154.048745418002</x:v>
      </x:c>
      <x:c r="D161" s="80" t="n">
        <x:v>617.9557217178776</x:v>
      </x:c>
      <x:c r="E161" s="81"/>
      <x:c r="F161" s="80"/>
    </x:row>
    <x:row r="162">
      <x:c r="A162" s="78"/>
      <x:c r="B162" s="79" t="str">
        <x:v>16:00-20:00</x:v>
      </x:c>
      <x:c r="C162" s="80" t="n">
        <x:v>89.28845677517114</x:v>
      </x:c>
      <x:c r="D162" s="80" t="n">
        <x:v>5935.17541836224</x:v>
      </x:c>
      <x:c r="E162" s="81"/>
      <x:c r="F162" s="80"/>
    </x:row>
    <x:row r="163">
      <x:c r="A163" s="98"/>
      <x:c r="B163" s="99" t="str">
        <x:v>20:00-24:00</x:v>
      </x:c>
      <x:c r="C163" s="100" t="n">
        <x:v>5537.260471585647</x:v>
      </x:c>
      <x:c r="D163" s="100" t="n">
        <x:v>2750.6250023682314</x:v>
      </x:c>
      <x:c r="E163" s="101"/>
      <x:c r="F163" s="100"/>
    </x:row>
    <x:row r="164">
      <x:c r="A164" s="102" t="n">
        <x:v>45716</x:v>
      </x:c>
      <x:c r="B164" s="103" t="str">
        <x:v>0:00-4:00</x:v>
      </x:c>
      <x:c r="C164" s="104" t="n">
        <x:v>3174.862328151426</x:v>
      </x:c>
      <x:c r="D164" s="104" t="n">
        <x:v>97.47611751302077</x:v>
      </x:c>
      <x:c r="E164" s="105" t="str">
        <x:v>0:00</x:v>
      </x:c>
      <x:c r="F164" s="104" t="n">
        <x:v>6158.767001458333</x:v>
      </x:c>
    </x:row>
    <x:row r="165">
      <x:c r="A165" s="78"/>
      <x:c r="B165" s="79" t="str">
        <x:v>4:00-8:00</x:v>
      </x:c>
      <x:c r="C165" s="80" t="n">
        <x:v>39.53678476562504</x:v>
      </x:c>
      <x:c r="D165" s="80" t="n">
        <x:v>6306.849003710937</x:v>
      </x:c>
      <x:c r="E165" s="81" t="str">
        <x:v>24:00</x:v>
      </x:c>
      <x:c r="F165" s="80" t="n">
        <x:v>6365.564800398459</x:v>
      </x:c>
    </x:row>
    <x:row r="166">
      <x:c r="A166" s="78"/>
      <x:c r="B166" s="79" t="str">
        <x:v>8:00-12:00</x:v>
      </x:c>
      <x:c r="C166" s="80" t="n">
        <x:v>8612.8429</x:v>
      </x:c>
      <x:c r="D166" s="80" t="n">
        <x:v>45.653383333333366</x:v>
      </x:c>
      <x:c r="E166" s="81"/>
      <x:c r="F166" s="80"/>
    </x:row>
    <x:row r="167">
      <x:c r="A167" s="78"/>
      <x:c r="B167" s="79" t="str">
        <x:v>12:00-16:00</x:v>
      </x:c>
      <x:c r="C167" s="80" t="n">
        <x:v>1292.619966397513</x:v>
      </x:c>
      <x:c r="D167" s="80" t="n">
        <x:v>0</x:v>
      </x:c>
      <x:c r="E167" s="81"/>
      <x:c r="F167" s="80"/>
    </x:row>
    <x:row r="168">
      <x:c r="A168" s="78"/>
      <x:c r="B168" s="79" t="str">
        <x:v>16:00-20:00</x:v>
      </x:c>
      <x:c r="C168" s="80" t="n">
        <x:v>48.82729148861872</x:v>
      </x:c>
      <x:c r="D168" s="80" t="n">
        <x:v>6135.859017611105</x:v>
      </x:c>
      <x:c r="E168" s="81"/>
      <x:c r="F168" s="80"/>
    </x:row>
    <x:row r="169">
      <x:c r="A169" s="98"/>
      <x:c r="B169" s="99" t="str">
        <x:v>20:00-24:00</x:v>
      </x:c>
      <x:c r="C169" s="100" t="n">
        <x:v>5559.66401641509</x:v>
      </x:c>
      <x:c r="D169" s="100" t="n">
        <x:v>2398.0106214322914</x:v>
      </x:c>
      <x:c r="E169" s="101"/>
      <x:c r="F169" s="100"/>
    </x:row>
    <x:row r="170">
      <x:c r="A170" s="102" t="n">
        <x:v>45717</x:v>
      </x:c>
      <x:c r="B170" s="103" t="str">
        <x:v>0:00-4:00</x:v>
      </x:c>
      <x:c r="C170" s="104" t="n">
        <x:v>2205.731856510417</x:v>
      </x:c>
      <x:c r="D170" s="104" t="n">
        <x:v>22.70820449218752</x:v>
      </x:c>
      <x:c r="E170" s="105" t="str">
        <x:v>0:00</x:v>
      </x:c>
      <x:c r="F170" s="104" t="n">
        <x:v>6365.564800398459</x:v>
      </x:c>
    </x:row>
    <x:row r="171">
      <x:c r="A171" s="78"/>
      <x:c r="B171" s="79" t="str">
        <x:v>4:00-8:00</x:v>
      </x:c>
      <x:c r="C171" s="80" t="n">
        <x:v>418.7921382812502</x:v>
      </x:c>
      <x:c r="D171" s="80" t="n">
        <x:v>5034.794884093615</x:v>
      </x:c>
      <x:c r="E171" s="81" t="str">
        <x:v>24:00</x:v>
      </x:c>
      <x:c r="F171" s="80" t="n">
        <x:v>5984.749920934759</x:v>
      </x:c>
    </x:row>
    <x:row r="172">
      <x:c r="A172" s="78"/>
      <x:c r="B172" s="79" t="str">
        <x:v>8:00-12:00</x:v>
      </x:c>
      <x:c r="C172" s="80" t="n">
        <x:v>6449.632249999999</x:v>
      </x:c>
      <x:c r="D172" s="80" t="n">
        <x:v>27.876399999999947</x:v>
      </x:c>
      <x:c r="E172" s="81"/>
      <x:c r="F172" s="80"/>
    </x:row>
    <x:row r="173">
      <x:c r="A173" s="78"/>
      <x:c r="B173" s="79" t="str">
        <x:v>12:00-16:00</x:v>
      </x:c>
      <x:c r="C173" s="80" t="n">
        <x:v>2131.2402591925184</x:v>
      </x:c>
      <x:c r="D173" s="80" t="n">
        <x:v>34.75646323191049</x:v>
      </x:c>
      <x:c r="E173" s="81"/>
      <x:c r="F173" s="80"/>
    </x:row>
    <x:row r="174">
      <x:c r="A174" s="78"/>
      <x:c r="B174" s="79" t="str">
        <x:v>16:00-20:00</x:v>
      </x:c>
      <x:c r="C174" s="80" t="n">
        <x:v>79.75515219939723</x:v>
      </x:c>
      <x:c r="D174" s="80" t="n">
        <x:v>6346.159508838697</x:v>
      </x:c>
      <x:c r="E174" s="81"/>
      <x:c r="F174" s="80"/>
    </x:row>
    <x:row r="175">
      <x:c r="A175" s="98"/>
      <x:c r="B175" s="99" t="str">
        <x:v>20:00-24:00</x:v>
      </x:c>
      <x:c r="C175" s="100" t="n">
        <x:v>5915.507852425411</x:v>
      </x:c>
      <x:c r="D175" s="100" t="n">
        <x:v>2808.972132834201</x:v>
      </x:c>
      <x:c r="E175" s="101"/>
      <x:c r="F175" s="100"/>
    </x:row>
    <x:row r="176">
      <x:c r="A176" s="102" t="n">
        <x:v>45718</x:v>
      </x:c>
      <x:c r="B176" s="103" t="str">
        <x:v>0:00-4:00</x:v>
      </x:c>
      <x:c r="C176" s="104" t="n">
        <x:v>5395.991193495844</x:v>
      </x:c>
      <x:c r="D176" s="104" t="n">
        <x:v>37.027795572916716</x:v>
      </x:c>
      <x:c r="E176" s="105" t="str">
        <x:v>0:00</x:v>
      </x:c>
      <x:c r="F176" s="104" t="n">
        <x:v>5984.749920934759</x:v>
      </x:c>
    </x:row>
    <x:row r="177">
      <x:c r="A177" s="78"/>
      <x:c r="B177" s="79" t="str">
        <x:v>4:00-8:00</x:v>
      </x:c>
      <x:c r="C177" s="80" t="n">
        <x:v>371.31546818421987</x:v>
      </x:c>
      <x:c r="D177" s="80" t="n">
        <x:v>3895.070190984651</x:v>
      </x:c>
      <x:c r="E177" s="81" t="str">
        <x:v>24:00</x:v>
      </x:c>
      <x:c r="F177" s="80" t="n">
        <x:v>5794.403336647859</x:v>
      </x:c>
    </x:row>
    <x:row r="178">
      <x:c r="A178" s="78"/>
      <x:c r="B178" s="79" t="str">
        <x:v>8:00-12:00</x:v>
      </x:c>
      <x:c r="C178" s="80" t="n">
        <x:v>4764.653133628809</x:v>
      </x:c>
      <x:c r="D178" s="80" t="n">
        <x:v>3974.478055565443</x:v>
      </x:c>
      <x:c r="E178" s="81"/>
      <x:c r="F178" s="80"/>
    </x:row>
    <x:row r="179">
      <x:c r="A179" s="78"/>
      <x:c r="B179" s="79" t="str">
        <x:v>12:00-16:00</x:v>
      </x:c>
      <x:c r="C179" s="80" t="n">
        <x:v>2924.738115609595</x:v>
      </x:c>
      <x:c r="D179" s="80" t="n">
        <x:v>2897.6537386527343</x:v>
      </x:c>
      <x:c r="E179" s="81"/>
      <x:c r="F179" s="80"/>
    </x:row>
    <x:row r="180">
      <x:c r="A180" s="78"/>
      <x:c r="B180" s="79" t="str">
        <x:v>16:00-20:00</x:v>
      </x:c>
      <x:c r="C180" s="80" t="n">
        <x:v>69.12900596264808</x:v>
      </x:c>
      <x:c r="D180" s="80" t="n">
        <x:v>4457.964950739244</x:v>
      </x:c>
      <x:c r="E180" s="81"/>
      <x:c r="F180" s="80"/>
    </x:row>
    <x:row r="181">
      <x:c r="A181" s="98"/>
      <x:c r="B181" s="99" t="str">
        <x:v>20:00-24:00</x:v>
      </x:c>
      <x:c r="C181" s="100" t="n">
        <x:v>5156.00599002915</x:v>
      </x:c>
      <x:c r="D181" s="100" t="n">
        <x:v>41.40184894053827</x:v>
      </x:c>
      <x:c r="E181" s="101"/>
      <x:c r="F181" s="100"/>
    </x:row>
    <x:row r="182">
      <x:c r="A182" s="102" t="n">
        <x:v>45719</x:v>
      </x:c>
      <x:c r="B182" s="103" t="str">
        <x:v>0:00-4:00</x:v>
      </x:c>
      <x:c r="C182" s="104" t="n">
        <x:v>3268.6011288548093</x:v>
      </x:c>
      <x:c r="D182" s="104" t="n">
        <x:v>171.23788697916643</x:v>
      </x:c>
      <x:c r="E182" s="105" t="str">
        <x:v>0:00</x:v>
      </x:c>
      <x:c r="F182" s="104" t="n">
        <x:v>5794.403336647859</x:v>
      </x:c>
    </x:row>
    <x:row r="183">
      <x:c r="A183" s="78"/>
      <x:c r="B183" s="79" t="str">
        <x:v>4:00-8:00</x:v>
      </x:c>
      <x:c r="C183" s="80" t="n">
        <x:v>3034.193912011299</x:v>
      </x:c>
      <x:c r="D183" s="80" t="n">
        <x:v>5349.831438403602</x:v>
      </x:c>
      <x:c r="E183" s="81" t="str">
        <x:v>24:00</x:v>
      </x:c>
      <x:c r="F183" s="80" t="n">
        <x:v>5956.678613343462</x:v>
      </x:c>
    </x:row>
    <x:row r="184">
      <x:c r="A184" s="78"/>
      <x:c r="B184" s="79" t="str">
        <x:v>8:00-12:00</x:v>
      </x:c>
      <x:c r="C184" s="80" t="n">
        <x:v>4940.802203101772</x:v>
      </x:c>
      <x:c r="D184" s="80" t="n">
        <x:v>3719.1576607018533</x:v>
      </x:c>
      <x:c r="E184" s="81"/>
      <x:c r="F184" s="80"/>
    </x:row>
    <x:row r="185">
      <x:c r="A185" s="78"/>
      <x:c r="B185" s="79" t="str">
        <x:v>12:00-16:00</x:v>
      </x:c>
      <x:c r="C185" s="80" t="n">
        <x:v>4567.767250636076</x:v>
      </x:c>
      <x:c r="D185" s="80" t="n">
        <x:v>1902.0604716135235</x:v>
      </x:c>
      <x:c r="E185" s="81"/>
      <x:c r="F185" s="80"/>
    </x:row>
    <x:row r="186">
      <x:c r="A186" s="78"/>
      <x:c r="B186" s="79" t="str">
        <x:v>16:00-20:00</x:v>
      </x:c>
      <x:c r="C186" s="80" t="n">
        <x:v>97.54846099657232</x:v>
      </x:c>
      <x:c r="D186" s="80" t="n">
        <x:v>5878.895039321361</x:v>
      </x:c>
      <x:c r="E186" s="81"/>
      <x:c r="F186" s="80"/>
    </x:row>
    <x:row r="187">
      <x:c r="A187" s="98"/>
      <x:c r="B187" s="99" t="str">
        <x:v>20:00-24:00</x:v>
      </x:c>
      <x:c r="C187" s="100" t="n">
        <x:v>5339.934516610403</x:v>
      </x:c>
      <x:c r="D187" s="100" t="n">
        <x:v>44.33620644531254</x:v>
      </x:c>
      <x:c r="E187" s="101"/>
      <x:c r="F187" s="100"/>
    </x:row>
    <x:row r="188">
      <x:c r="A188" s="102" t="n">
        <x:v>45720</x:v>
      </x:c>
      <x:c r="B188" s="103" t="str">
        <x:v>0:00-4:00</x:v>
      </x:c>
      <x:c r="C188" s="104" t="n">
        <x:v>4669.033936627924</x:v>
      </x:c>
      <x:c r="D188" s="104" t="n">
        <x:v>121.61055006510423</x:v>
      </x:c>
      <x:c r="E188" s="105" t="str">
        <x:v>0:00</x:v>
      </x:c>
      <x:c r="F188" s="104" t="n">
        <x:v>5956.678613343462</x:v>
      </x:c>
    </x:row>
    <x:row r="189">
      <x:c r="A189" s="78"/>
      <x:c r="B189" s="79" t="str">
        <x:v>4:00-8:00</x:v>
      </x:c>
      <x:c r="C189" s="80" t="n">
        <x:v>1202.962480432362</x:v>
      </x:c>
      <x:c r="D189" s="80" t="n">
        <x:v>4523.246146101309</x:v>
      </x:c>
      <x:c r="E189" s="81" t="str">
        <x:v>24:00</x:v>
      </x:c>
      <x:c r="F189" s="80" t="n">
        <x:v>5889.968118599537</x:v>
      </x:c>
    </x:row>
    <x:row r="190">
      <x:c r="A190" s="78"/>
      <x:c r="B190" s="79" t="str">
        <x:v>8:00-12:00</x:v>
      </x:c>
      <x:c r="C190" s="80" t="n">
        <x:v>5246.088599087159</x:v>
      </x:c>
      <x:c r="D190" s="80" t="n">
        <x:v>4370.5409666666665</x:v>
      </x:c>
      <x:c r="E190" s="81"/>
      <x:c r="F190" s="80"/>
    </x:row>
    <x:row r="191">
      <x:c r="A191" s="78"/>
      <x:c r="B191" s="79" t="str">
        <x:v>12:00-16:00</x:v>
      </x:c>
      <x:c r="C191" s="80" t="n">
        <x:v>5179.593912661232</x:v>
      </x:c>
      <x:c r="D191" s="80" t="n">
        <x:v>883.8442187502513</x:v>
      </x:c>
      <x:c r="E191" s="81"/>
      <x:c r="F191" s="80"/>
    </x:row>
    <x:row r="192">
      <x:c r="A192" s="78"/>
      <x:c r="B192" s="79" t="str">
        <x:v>16:00-20:00</x:v>
      </x:c>
      <x:c r="C192" s="80" t="n">
        <x:v>218.64527869275707</x:v>
      </x:c>
      <x:c r="D192" s="80" t="n">
        <x:v>5782.373670236334</x:v>
      </x:c>
      <x:c r="E192" s="81"/>
      <x:c r="F192" s="80"/>
    </x:row>
    <x:row r="193">
      <x:c r="A193" s="98"/>
      <x:c r="B193" s="99" t="str">
        <x:v>20:00-24:00</x:v>
      </x:c>
      <x:c r="C193" s="100" t="n">
        <x:v>5219.586582233796</x:v>
      </x:c>
      <x:c r="D193" s="100" t="n">
        <x:v>1984.5116331354052</x:v>
      </x:c>
      <x:c r="E193" s="101"/>
      <x:c r="F193" s="100"/>
    </x:row>
    <x:row r="194">
      <x:c r="A194" s="102" t="n">
        <x:v>45721</x:v>
      </x:c>
      <x:c r="B194" s="103" t="str">
        <x:v>0:00-4:00</x:v>
      </x:c>
      <x:c r="C194" s="104" t="n">
        <x:v>4944.92245745885</x:v>
      </x:c>
      <x:c r="D194" s="104" t="n">
        <x:v>21.430863736979177</x:v>
      </x:c>
      <x:c r="E194" s="105" t="str">
        <x:v>0:00</x:v>
      </x:c>
      <x:c r="F194" s="104" t="n">
        <x:v>5889.968118599537</x:v>
      </x:c>
    </x:row>
    <x:row r="195">
      <x:c r="A195" s="78"/>
      <x:c r="B195" s="79" t="str">
        <x:v>4:00-8:00</x:v>
      </x:c>
      <x:c r="C195" s="80" t="n">
        <x:v>1578.1751028417143</x:v>
      </x:c>
      <x:c r="D195" s="80" t="n">
        <x:v>5114.646537495984</x:v>
      </x:c>
      <x:c r="E195" s="81" t="str">
        <x:v>24:00</x:v>
      </x:c>
      <x:c r="F195" s="80" t="n">
        <x:v>6007.904664628328</x:v>
      </x:c>
    </x:row>
    <x:row r="196">
      <x:c r="A196" s="78"/>
      <x:c r="B196" s="79" t="str">
        <x:v>8:00-12:00</x:v>
      </x:c>
      <x:c r="C196" s="80" t="n">
        <x:v>6170.383886471644</x:v>
      </x:c>
      <x:c r="D196" s="80" t="n">
        <x:v>3157.904783333333</x:v>
      </x:c>
      <x:c r="E196" s="81"/>
      <x:c r="F196" s="80"/>
    </x:row>
    <x:row r="197">
      <x:c r="A197" s="78"/>
      <x:c r="B197" s="79" t="str">
        <x:v>12:00-16:00</x:v>
      </x:c>
      <x:c r="C197" s="80" t="n">
        <x:v>4163.011321854808</x:v>
      </x:c>
      <x:c r="D197" s="80" t="n">
        <x:v>940.7482647611621</x:v>
      </x:c>
      <x:c r="E197" s="81"/>
      <x:c r="F197" s="80"/>
    </x:row>
    <x:row r="198">
      <x:c r="A198" s="78"/>
      <x:c r="B198" s="79" t="str">
        <x:v>16:00-20:00</x:v>
      </x:c>
      <x:c r="C198" s="80" t="n">
        <x:v>60.56158312610718</x:v>
      </x:c>
      <x:c r="D198" s="80" t="n">
        <x:v>5799.85614590827</x:v>
      </x:c>
      <x:c r="E198" s="81"/>
      <x:c r="F198" s="80"/>
    </x:row>
    <x:row r="199">
      <x:c r="A199" s="98"/>
      <x:c r="B199" s="99" t="str">
        <x:v>20:00-24:00</x:v>
      </x:c>
      <x:c r="C199" s="100" t="n">
        <x:v>5420.245986916634</x:v>
      </x:c>
      <x:c r="D199" s="100" t="n">
        <x:v>2952.483787660857</x:v>
      </x:c>
      <x:c r="E199" s="101"/>
      <x:c r="F199" s="100"/>
    </x:row>
    <x:row r="200">
      <x:c r="A200" s="102" t="n">
        <x:v>45722</x:v>
      </x:c>
      <x:c r="B200" s="103" t="str">
        <x:v>0:00-4:00</x:v>
      </x:c>
      <x:c r="C200" s="104" t="n">
        <x:v>5477.857127452899</x:v>
      </x:c>
      <x:c r="D200" s="104" t="n">
        <x:v>126.67633131510422</x:v>
      </x:c>
      <x:c r="E200" s="105" t="str">
        <x:v>0:00</x:v>
      </x:c>
      <x:c r="F200" s="104" t="n">
        <x:v>6007.904664628328</x:v>
      </x:c>
    </x:row>
    <x:row r="201">
      <x:c r="A201" s="78"/>
      <x:c r="B201" s="79" t="str">
        <x:v>4:00-8:00</x:v>
      </x:c>
      <x:c r="C201" s="80" t="n">
        <x:v>1185.0820244784982</x:v>
      </x:c>
      <x:c r="D201" s="80" t="n">
        <x:v>4897.595489193003</x:v>
      </x:c>
      <x:c r="E201" s="81" t="str">
        <x:v>24:00</x:v>
      </x:c>
      <x:c r="F201" s="80" t="n">
        <x:v>5770.324469959635</x:v>
      </x:c>
    </x:row>
    <x:row r="202">
      <x:c r="A202" s="78"/>
      <x:c r="B202" s="79" t="str">
        <x:v>8:00-12:00</x:v>
      </x:c>
      <x:c r="C202" s="80" t="n">
        <x:v>6138.196450719503</x:v>
      </x:c>
      <x:c r="D202" s="80" t="n">
        <x:v>3131.026966666667</x:v>
      </x:c>
      <x:c r="E202" s="81"/>
      <x:c r="F202" s="80"/>
    </x:row>
    <x:row r="203">
      <x:c r="A203" s="78"/>
      <x:c r="B203" s="79" t="str">
        <x:v>12:00-16:00</x:v>
      </x:c>
      <x:c r="C203" s="80" t="n">
        <x:v>3163.566447578255</x:v>
      </x:c>
      <x:c r="D203" s="80" t="n">
        <x:v>1163.8866358636842</x:v>
      </x:c>
      <x:c r="E203" s="81"/>
      <x:c r="F203" s="80"/>
    </x:row>
    <x:row r="204">
      <x:c r="A204" s="78"/>
      <x:c r="B204" s="79" t="str">
        <x:v>16:00-20:00</x:v>
      </x:c>
      <x:c r="C204" s="80" t="n">
        <x:v>129.86409150895145</x:v>
      </x:c>
      <x:c r="D204" s="80" t="n">
        <x:v>5900.145964106537</x:v>
      </x:c>
      <x:c r="E204" s="81"/>
      <x:c r="F204" s="80"/>
    </x:row>
    <x:row r="205">
      <x:c r="A205" s="98"/>
      <x:c r="B205" s="99" t="str">
        <x:v>20:00-24:00</x:v>
      </x:c>
      <x:c r="C205" s="100" t="n">
        <x:v>5209.735058571405</x:v>
      </x:c>
      <x:c r="D205" s="100" t="n">
        <x:v>2250.9747603075375</x:v>
      </x:c>
      <x:c r="E205" s="101"/>
      <x:c r="F205" s="100"/>
    </x:row>
    <x:row r="206">
      <x:c r="A206" s="102" t="n">
        <x:v>45723</x:v>
      </x:c>
      <x:c r="B206" s="103" t="str">
        <x:v>0:00-4:00</x:v>
      </x:c>
      <x:c r="C206" s="104" t="n">
        <x:v>2593.576969272604</x:v>
      </x:c>
      <x:c r="D206" s="104" t="n">
        <x:v>51.836306770833346</x:v>
      </x:c>
      <x:c r="E206" s="105" t="str">
        <x:v>0:00</x:v>
      </x:c>
      <x:c r="F206" s="104" t="n">
        <x:v>5770.324469959635</x:v>
      </x:c>
    </x:row>
    <x:row r="207">
      <x:c r="A207" s="78"/>
      <x:c r="B207" s="79" t="str">
        <x:v>4:00-8:00</x:v>
      </x:c>
      <x:c r="C207" s="80" t="n">
        <x:v>302.14903411458346</x:v>
      </x:c>
      <x:c r="D207" s="80" t="n">
        <x:v>5011.935483333334</x:v>
      </x:c>
      <x:c r="E207" s="81" t="str">
        <x:v>24:00</x:v>
      </x:c>
      <x:c r="F207" s="80" t="n">
        <x:v>6017.691512556425</x:v>
      </x:c>
    </x:row>
    <x:row r="208">
      <x:c r="A208" s="78"/>
      <x:c r="B208" s="79" t="str">
        <x:v>8:00-12:00</x:v>
      </x:c>
      <x:c r="C208" s="80" t="n">
        <x:v>8944.372474564043</x:v>
      </x:c>
      <x:c r="D208" s="80" t="n">
        <x:v>0</x:v>
      </x:c>
      <x:c r="E208" s="81"/>
      <x:c r="F208" s="80"/>
    </x:row>
    <x:row r="209">
      <x:c r="A209" s="78"/>
      <x:c r="B209" s="79" t="str">
        <x:v>12:00-16:00</x:v>
      </x:c>
      <x:c r="C209" s="80" t="n">
        <x:v>0</x:v>
      </x:c>
      <x:c r="D209" s="80" t="n">
        <x:v>116.85536950217033</x:v>
      </x:c>
      <x:c r="E209" s="81"/>
      <x:c r="F209" s="80"/>
    </x:row>
    <x:row r="210">
      <x:c r="A210" s="78"/>
      <x:c r="B210" s="79" t="str">
        <x:v>16:00-20:00</x:v>
      </x:c>
      <x:c r="C210" s="80" t="n">
        <x:v>142.218156368172</x:v>
      </x:c>
      <x:c r="D210" s="80" t="n">
        <x:v>6267.960374891049</x:v>
      </x:c>
      <x:c r="E210" s="81"/>
      <x:c r="F210" s="80"/>
    </x:row>
    <x:row r="211">
      <x:c r="A211" s="98"/>
      <x:c r="B211" s="99" t="str">
        <x:v>20:00-24:00</x:v>
      </x:c>
      <x:c r="C211" s="100" t="n">
        <x:v>5395.591513115676</x:v>
      </x:c>
      <x:c r="D211" s="100" t="n">
        <x:v>2404.887726587919</x:v>
      </x:c>
      <x:c r="E211" s="101"/>
      <x:c r="F211" s="100"/>
    </x:row>
    <x:row r="212">
      <x:c r="A212" s="102" t="n">
        <x:v>45724</x:v>
      </x:c>
      <x:c r="B212" s="103" t="str">
        <x:v>0:00-4:00</x:v>
      </x:c>
      <x:c r="C212" s="104" t="n">
        <x:v>1189.1807425961522</x:v>
      </x:c>
      <x:c r="D212" s="104" t="n">
        <x:v>82.16302330729167</x:v>
      </x:c>
      <x:c r="E212" s="105" t="str">
        <x:v>0:00</x:v>
      </x:c>
      <x:c r="F212" s="104" t="n">
        <x:v>6017.691512556425</x:v>
      </x:c>
    </x:row>
    <x:row r="213">
      <x:c r="A213" s="78"/>
      <x:c r="B213" s="79" t="str">
        <x:v>4:00-8:00</x:v>
      </x:c>
      <x:c r="C213" s="80" t="n">
        <x:v>150.01617246093747</x:v>
      </x:c>
      <x:c r="D213" s="80" t="n">
        <x:v>4642.844366666666</x:v>
      </x:c>
      <x:c r="E213" s="81" t="str">
        <x:v>24:00</x:v>
      </x:c>
      <x:c r="F213" s="80" t="n">
        <x:v>6086.63255468069</x:v>
      </x:c>
    </x:row>
    <x:row r="214">
      <x:c r="A214" s="78"/>
      <x:c r="B214" s="79" t="str">
        <x:v>8:00-12:00</x:v>
      </x:c>
      <x:c r="C214" s="80" t="n">
        <x:v>9730.278433333333</x:v>
      </x:c>
      <x:c r="D214" s="80" t="n">
        <x:v>0</x:v>
      </x:c>
      <x:c r="E214" s="81"/>
      <x:c r="F214" s="80"/>
    </x:row>
    <x:row r="215">
      <x:c r="A215" s="78"/>
      <x:c r="B215" s="79" t="str">
        <x:v>12:00-16:00</x:v>
      </x:c>
      <x:c r="C215" s="80" t="n">
        <x:v>77.54320552707617</x:v>
      </x:c>
      <x:c r="D215" s="80" t="n">
        <x:v>0</x:v>
      </x:c>
      <x:c r="E215" s="81"/>
      <x:c r="F215" s="80"/>
    </x:row>
    <x:row r="216">
      <x:c r="A216" s="78"/>
      <x:c r="B216" s="79" t="str">
        <x:v>16:00-20:00</x:v>
      </x:c>
      <x:c r="C216" s="80" t="n">
        <x:v>86.22504789556913</x:v>
      </x:c>
      <x:c r="D216" s="80" t="n">
        <x:v>6335.528936069117</x:v>
      </x:c>
      <x:c r="E216" s="81"/>
      <x:c r="F216" s="80"/>
    </x:row>
    <x:row r="217">
      <x:c r="A217" s="98"/>
      <x:c r="B217" s="99" t="str">
        <x:v>20:00-24:00</x:v>
      </x:c>
      <x:c r="C217" s="100" t="n">
        <x:v>6017.03546465326</x:v>
      </x:c>
      <x:c r="D217" s="100" t="n">
        <x:v>2850.142779882812</x:v>
      </x:c>
      <x:c r="E217" s="101"/>
      <x:c r="F217" s="100"/>
    </x:row>
    <x:row r="218">
      <x:c r="A218" s="102" t="n">
        <x:v>45725</x:v>
      </x:c>
      <x:c r="B218" s="103" t="str">
        <x:v>0:00-4:00</x:v>
      </x:c>
      <x:c r="C218" s="104" t="n">
        <x:v>5307.0630398022895</x:v>
      </x:c>
      <x:c r="D218" s="104" t="n">
        <x:v>127.57530690104159</x:v>
      </x:c>
      <x:c r="E218" s="105" t="str">
        <x:v>0:00</x:v>
      </x:c>
      <x:c r="F218" s="104" t="n">
        <x:v>6086.63255468069</x:v>
      </x:c>
    </x:row>
    <x:row r="219">
      <x:c r="A219" s="78"/>
      <x:c r="B219" s="79" t="str">
        <x:v>4:00-8:00</x:v>
      </x:c>
      <x:c r="C219" s="80" t="n">
        <x:v>158.38812263034475</x:v>
      </x:c>
      <x:c r="D219" s="80" t="n">
        <x:v>5514.746873802887</x:v>
      </x:c>
      <x:c r="E219" s="81" t="str">
        <x:v>24:00</x:v>
      </x:c>
      <x:c r="F219" s="80" t="n">
        <x:v>5927.116889598526</x:v>
      </x:c>
    </x:row>
    <x:row r="220">
      <x:c r="A220" s="78"/>
      <x:c r="B220" s="79" t="str">
        <x:v>8:00-12:00</x:v>
      </x:c>
      <x:c r="C220" s="80" t="n">
        <x:v>5862.2272828282785</x:v>
      </x:c>
      <x:c r="D220" s="80" t="n">
        <x:v>3177.3516666666674</x:v>
      </x:c>
      <x:c r="E220" s="81"/>
      <x:c r="F220" s="80"/>
    </x:row>
    <x:row r="221">
      <x:c r="A221" s="78"/>
      <x:c r="B221" s="79" t="str">
        <x:v>12:00-16:00</x:v>
      </x:c>
      <x:c r="C221" s="80" t="n">
        <x:v>5420.272437238642</x:v>
      </x:c>
      <x:c r="D221" s="80" t="n">
        <x:v>504.1356666666664</x:v>
      </x:c>
      <x:c r="E221" s="81"/>
      <x:c r="F221" s="80"/>
    </x:row>
    <x:row r="222">
      <x:c r="A222" s="78"/>
      <x:c r="B222" s="79" t="str">
        <x:v>16:00-20:00</x:v>
      </x:c>
      <x:c r="C222" s="80" t="n">
        <x:v>40.89914505208344</x:v>
      </x:c>
      <x:c r="D222" s="80" t="n">
        <x:v>6448.26086566409</x:v>
      </x:c>
      <x:c r="E222" s="81"/>
      <x:c r="F222" s="80"/>
    </x:row>
    <x:row r="223">
      <x:c r="A223" s="98"/>
      <x:c r="B223" s="99" t="str">
        <x:v>20:00-24:00</x:v>
      </x:c>
      <x:c r="C223" s="100" t="n">
        <x:v>5289.634807580214</x:v>
      </x:c>
      <x:c r="D223" s="100" t="n">
        <x:v>2255.0664353294</x:v>
      </x:c>
      <x:c r="E223" s="101"/>
      <x:c r="F223" s="100"/>
    </x:row>
    <x:row r="224">
      <x:c r="A224" s="102" t="n">
        <x:v>45726</x:v>
      </x:c>
      <x:c r="B224" s="103" t="str">
        <x:v>0:00-4:00</x:v>
      </x:c>
      <x:c r="C224" s="104" t="n">
        <x:v>4271.451531640625</x:v>
      </x:c>
      <x:c r="D224" s="104" t="n">
        <x:v>190.66375572916684</x:v>
      </x:c>
      <x:c r="E224" s="105" t="str">
        <x:v>0:00</x:v>
      </x:c>
      <x:c r="F224" s="104" t="n">
        <x:v>5927.116889598526</x:v>
      </x:c>
    </x:row>
    <x:row r="225">
      <x:c r="A225" s="78"/>
      <x:c r="B225" s="79" t="str">
        <x:v>4:00-8:00</x:v>
      </x:c>
      <x:c r="C225" s="80" t="n">
        <x:v>1323.7592035191205</x:v>
      </x:c>
      <x:c r="D225" s="80" t="n">
        <x:v>5194.956698584719</x:v>
      </x:c>
      <x:c r="E225" s="81" t="str">
        <x:v>24:00</x:v>
      </x:c>
      <x:c r="F225" s="80" t="n">
        <x:v>5821.914755796441</x:v>
      </x:c>
    </x:row>
    <x:row r="226">
      <x:c r="A226" s="78"/>
      <x:c r="B226" s="79" t="str">
        <x:v>8:00-12:00</x:v>
      </x:c>
      <x:c r="C226" s="80" t="n">
        <x:v>4903.965915478004</x:v>
      </x:c>
      <x:c r="D226" s="80" t="n">
        <x:v>3400.9054418041783</x:v>
      </x:c>
      <x:c r="E226" s="81"/>
      <x:c r="F226" s="80"/>
    </x:row>
    <x:row r="227">
      <x:c r="A227" s="78"/>
      <x:c r="B227" s="79" t="str">
        <x:v>12:00-16:00</x:v>
      </x:c>
      <x:c r="C227" s="80" t="n">
        <x:v>3533.678034679196</x:v>
      </x:c>
      <x:c r="D227" s="80" t="n">
        <x:v>472.25368195911517</x:v>
      </x:c>
      <x:c r="E227" s="81"/>
      <x:c r="F227" s="80"/>
    </x:row>
    <x:row r="228">
      <x:c r="A228" s="78"/>
      <x:c r="B228" s="79" t="str">
        <x:v>16:00-20:00</x:v>
      </x:c>
      <x:c r="C228" s="80" t="n">
        <x:v>223.79944482718724</x:v>
      </x:c>
      <x:c r="D228" s="80" t="n">
        <x:v>5980.590432377639</x:v>
      </x:c>
      <x:c r="E228" s="81"/>
      <x:c r="F228" s="80"/>
    </x:row>
    <x:row r="229">
      <x:c r="A229" s="98"/>
      <x:c r="B229" s="99" t="str">
        <x:v>20:00-24:00</x:v>
      </x:c>
      <x:c r="C229" s="100" t="n">
        <x:v>5317.972196309156</x:v>
      </x:c>
      <x:c r="D229" s="100" t="n">
        <x:v>710.7592343942204</x:v>
      </x:c>
      <x:c r="E229" s="101"/>
      <x:c r="F229" s="100"/>
    </x:row>
    <x:row r="230">
      <x:c r="A230" s="102" t="n">
        <x:v>45727</x:v>
      </x:c>
      <x:c r="B230" s="103" t="str">
        <x:v>0:00-4:00</x:v>
      </x:c>
      <x:c r="C230" s="104" t="n">
        <x:v>4944.689716997011</x:v>
      </x:c>
      <x:c r="D230" s="104" t="n">
        <x:v>81.06015963541665</x:v>
      </x:c>
      <x:c r="E230" s="105" t="str">
        <x:v>0:00</x:v>
      </x:c>
      <x:c r="F230" s="104" t="n">
        <x:v>5821.914755796441</x:v>
      </x:c>
    </x:row>
    <x:row r="231">
      <x:c r="A231" s="78"/>
      <x:c r="B231" s="79" t="str">
        <x:v>4:00-8:00</x:v>
      </x:c>
      <x:c r="C231" s="80" t="n">
        <x:v>935.7176189557695</x:v>
      </x:c>
      <x:c r="D231" s="80" t="n">
        <x:v>5055.141437534586</x:v>
      </x:c>
      <x:c r="E231" s="81" t="str">
        <x:v>24:00</x:v>
      </x:c>
      <x:c r="F231" s="80" t="n">
        <x:v>6028.390368447773</x:v>
      </x:c>
    </x:row>
    <x:row r="232">
      <x:c r="A232" s="78"/>
      <x:c r="B232" s="79" t="str">
        <x:v>8:00-12:00</x:v>
      </x:c>
      <x:c r="C232" s="80" t="n">
        <x:v>6205.237639746714</x:v>
      </x:c>
      <x:c r="D232" s="80" t="n">
        <x:v>2513.693883333333</x:v>
      </x:c>
      <x:c r="E232" s="81"/>
      <x:c r="F232" s="80"/>
    </x:row>
    <x:row r="233">
      <x:c r="A233" s="78"/>
      <x:c r="B233" s="79" t="str">
        <x:v>12:00-16:00</x:v>
      </x:c>
      <x:c r="C233" s="80" t="n">
        <x:v>3282.579512535881</x:v>
      </x:c>
      <x:c r="D233" s="80" t="n">
        <x:v>996.6701665496398</x:v>
      </x:c>
      <x:c r="E233" s="81"/>
      <x:c r="F233" s="80"/>
    </x:row>
    <x:row r="234">
      <x:c r="A234" s="78"/>
      <x:c r="B234" s="79" t="str">
        <x:v>16:00-20:00</x:v>
      </x:c>
      <x:c r="C234" s="80" t="n">
        <x:v>68.51670216029072</x:v>
      </x:c>
      <x:c r="D234" s="80" t="n">
        <x:v>6672.918046632278</x:v>
      </x:c>
      <x:c r="E234" s="81"/>
      <x:c r="F234" s="80"/>
    </x:row>
    <x:row r="235">
      <x:c r="A235" s="98"/>
      <x:c r="B235" s="99" t="str">
        <x:v>20:00-24:00</x:v>
      </x:c>
      <x:c r="C235" s="100" t="n">
        <x:v>5422.626491901524</x:v>
      </x:c>
      <x:c r="D235" s="100" t="n">
        <x:v>1390.7760775892743</x:v>
      </x:c>
      <x:c r="E235" s="101"/>
      <x:c r="F235" s="100"/>
    </x:row>
    <x:row r="236">
      <x:c r="A236" s="102" t="n">
        <x:v>45728</x:v>
      </x:c>
      <x:c r="B236" s="103" t="str">
        <x:v>0:00-4:00</x:v>
      </x:c>
      <x:c r="C236" s="104" t="n">
        <x:v>4313.167772135416</x:v>
      </x:c>
      <x:c r="D236" s="104" t="n">
        <x:v>215.99269954427075</x:v>
      </x:c>
      <x:c r="E236" s="105" t="str">
        <x:v>0:00</x:v>
      </x:c>
      <x:c r="F236" s="104" t="n">
        <x:v>6028.390368447773</x:v>
      </x:c>
    </x:row>
    <x:row r="237">
      <x:c r="A237" s="78"/>
      <x:c r="B237" s="79" t="str">
        <x:v>4:00-8:00</x:v>
      </x:c>
      <x:c r="C237" s="80" t="n">
        <x:v>1715.2516088745856</x:v>
      </x:c>
      <x:c r="D237" s="80" t="n">
        <x:v>5530.342390836308</x:v>
      </x:c>
      <x:c r="E237" s="81" t="str">
        <x:v>24:00</x:v>
      </x:c>
      <x:c r="F237" s="80" t="n">
        <x:v>5746.530792966857</x:v>
      </x:c>
    </x:row>
    <x:row r="238">
      <x:c r="A238" s="78"/>
      <x:c r="B238" s="79" t="str">
        <x:v>8:00-12:00</x:v>
      </x:c>
      <x:c r="C238" s="80" t="n">
        <x:v>6716.222716666665</x:v>
      </x:c>
      <x:c r="D238" s="80" t="n">
        <x:v>2414.2354833333334</x:v>
      </x:c>
      <x:c r="E238" s="81"/>
      <x:c r="F238" s="80"/>
    </x:row>
    <x:row r="239">
      <x:c r="A239" s="78"/>
      <x:c r="B239" s="79" t="str">
        <x:v>12:00-16:00</x:v>
      </x:c>
      <x:c r="C239" s="80" t="n">
        <x:v>3140.3270792813682</x:v>
      </x:c>
      <x:c r="D239" s="80" t="n">
        <x:v>433.14767849974044</x:v>
      </x:c>
      <x:c r="E239" s="81"/>
      <x:c r="F239" s="80"/>
    </x:row>
    <x:row r="240">
      <x:c r="A240" s="78"/>
      <x:c r="B240" s="79" t="str">
        <x:v>16:00-20:00</x:v>
      </x:c>
      <x:c r="C240" s="80" t="n">
        <x:v>7.493032101206609</x:v>
      </x:c>
      <x:c r="D240" s="80" t="n">
        <x:v>5985.344711211319</x:v>
      </x:c>
      <x:c r="E240" s="81"/>
      <x:c r="F240" s="80"/>
    </x:row>
    <x:row r="241">
      <x:c r="A241" s="98"/>
      <x:c r="B241" s="99" t="str">
        <x:v>20:00-24:00</x:v>
      </x:c>
      <x:c r="C241" s="100" t="n">
        <x:v>5203.51646912471</x:v>
      </x:c>
      <x:c r="D241" s="100" t="n">
        <x:v>2762.3533838368585</x:v>
      </x:c>
      <x:c r="E241" s="101"/>
      <x:c r="F241" s="100"/>
    </x:row>
    <x:row r="242">
      <x:c r="A242" s="102" t="n">
        <x:v>45729</x:v>
      </x:c>
      <x:c r="B242" s="103" t="str">
        <x:v>0:00-4:00</x:v>
      </x:c>
      <x:c r="C242" s="104" t="n">
        <x:v>5674.290557858007</x:v>
      </x:c>
      <x:c r="D242" s="104" t="n">
        <x:v>181.90719498697922</x:v>
      </x:c>
      <x:c r="E242" s="105" t="str">
        <x:v>0:00</x:v>
      </x:c>
      <x:c r="F242" s="104" t="n">
        <x:v>5746.530792966857</x:v>
      </x:c>
    </x:row>
    <x:row r="243">
      <x:c r="A243" s="78"/>
      <x:c r="B243" s="79" t="str">
        <x:v>4:00-8:00</x:v>
      </x:c>
      <x:c r="C243" s="80" t="n">
        <x:v>912.7430494121986</x:v>
      </x:c>
      <x:c r="D243" s="80" t="n">
        <x:v>5883.398346835215</x:v>
      </x:c>
      <x:c r="E243" s="81" t="str">
        <x:v>24:00</x:v>
      </x:c>
      <x:c r="F243" s="80" t="n">
        <x:v>5820.815618284289</x:v>
      </x:c>
    </x:row>
    <x:row r="244">
      <x:c r="A244" s="78"/>
      <x:c r="B244" s="79" t="str">
        <x:v>8:00-12:00</x:v>
      </x:c>
      <x:c r="C244" s="80" t="n">
        <x:v>4318.418023422572</x:v>
      </x:c>
      <x:c r="D244" s="80" t="n">
        <x:v>3362.0693937368396</x:v>
      </x:c>
      <x:c r="E244" s="81"/>
      <x:c r="F244" s="80"/>
    </x:row>
    <x:row r="245">
      <x:c r="A245" s="78"/>
      <x:c r="B245" s="79" t="str">
        <x:v>12:00-16:00</x:v>
      </x:c>
      <x:c r="C245" s="80" t="n">
        <x:v>3540.910271225432</x:v>
      </x:c>
      <x:c r="D245" s="80" t="n">
        <x:v>491.45698333333314</x:v>
      </x:c>
      <x:c r="E245" s="81"/>
      <x:c r="F245" s="80"/>
    </x:row>
    <x:row r="246">
      <x:c r="A246" s="78"/>
      <x:c r="B246" s="79" t="str">
        <x:v>16:00-20:00</x:v>
      </x:c>
      <x:c r="C246" s="80" t="n">
        <x:v>87.40665447679453</x:v>
      </x:c>
      <x:c r="D246" s="80" t="n">
        <x:v>5945.398325457754</x:v>
      </x:c>
      <x:c r="E246" s="81"/>
      <x:c r="F246" s="80"/>
    </x:row>
    <x:row r="247">
      <x:c r="A247" s="98"/>
      <x:c r="B247" s="99" t="str">
        <x:v>20:00-24:00</x:v>
      </x:c>
      <x:c r="C247" s="100" t="n">
        <x:v>5220.932995367315</x:v>
      </x:c>
      <x:c r="D247" s="100" t="n">
        <x:v>70.22166979166673</x:v>
      </x:c>
      <x:c r="E247" s="101"/>
      <x:c r="F247" s="100"/>
    </x:row>
    <x:row r="248">
      <x:c r="A248" s="102" t="n">
        <x:v>45730</x:v>
      </x:c>
      <x:c r="B248" s="103" t="str">
        <x:v>0:00-4:00</x:v>
      </x:c>
      <x:c r="C248" s="104" t="n">
        <x:v>1030.2894955729164</x:v>
      </x:c>
      <x:c r="D248" s="104" t="n">
        <x:v>599.4023821614583</x:v>
      </x:c>
      <x:c r="E248" s="105" t="str">
        <x:v>0:00</x:v>
      </x:c>
      <x:c r="F248" s="104" t="n">
        <x:v>5820.815618284289</x:v>
      </x:c>
    </x:row>
    <x:row r="249">
      <x:c r="A249" s="78"/>
      <x:c r="B249" s="79" t="str">
        <x:v>4:00-8:00</x:v>
      </x:c>
      <x:c r="C249" s="80" t="n">
        <x:v>167.56981890475606</x:v>
      </x:c>
      <x:c r="D249" s="80" t="n">
        <x:v>4009.7557052095185</x:v>
      </x:c>
      <x:c r="E249" s="81" t="str">
        <x:v>24:00</x:v>
      </x:c>
      <x:c r="F249" s="80" t="n">
        <x:v>6034.41509651114</x:v>
      </x:c>
    </x:row>
    <x:row r="250">
      <x:c r="A250" s="78"/>
      <x:c r="B250" s="79" t="str">
        <x:v>8:00-12:00</x:v>
      </x:c>
      <x:c r="C250" s="80" t="n">
        <x:v>10024.886402701482</x:v>
      </x:c>
      <x:c r="D250" s="80" t="n">
        <x:v>0</x:v>
      </x:c>
      <x:c r="E250" s="81"/>
      <x:c r="F250" s="80"/>
    </x:row>
    <x:row r="251">
      <x:c r="A251" s="78"/>
      <x:c r="B251" s="79" t="str">
        <x:v>12:00-16:00</x:v>
      </x:c>
      <x:c r="C251" s="80" t="n">
        <x:v>0</x:v>
      </x:c>
      <x:c r="D251" s="80" t="n">
        <x:v>51.84321160317511</x:v>
      </x:c>
      <x:c r="E251" s="81"/>
      <x:c r="F251" s="80"/>
    </x:row>
    <x:row r="252">
      <x:c r="A252" s="78"/>
      <x:c r="B252" s="79" t="str">
        <x:v>16:00-20:00</x:v>
      </x:c>
      <x:c r="C252" s="80" t="n">
        <x:v>96.16545795390527</x:v>
      </x:c>
      <x:c r="D252" s="80" t="n">
        <x:v>6351.162267569038</x:v>
      </x:c>
      <x:c r="E252" s="81"/>
      <x:c r="F252" s="80"/>
    </x:row>
    <x:row r="253">
      <x:c r="A253" s="98"/>
      <x:c r="B253" s="99" t="str">
        <x:v>20:00-24:00</x:v>
      </x:c>
      <x:c r="C253" s="100" t="n">
        <x:v>5464.646419297356</x:v>
      </x:c>
      <x:c r="D253" s="100" t="n">
        <x:v>2390.2785545412844</x:v>
      </x:c>
      <x:c r="E253" s="101"/>
      <x:c r="F253" s="100"/>
    </x:row>
    <x:row r="254">
      <x:c r="A254" s="102" t="n">
        <x:v>45731</x:v>
      </x:c>
      <x:c r="B254" s="103" t="str">
        <x:v>0:00-4:00</x:v>
      </x:c>
      <x:c r="C254" s="104" t="n">
        <x:v>1810.4702587239585</x:v>
      </x:c>
      <x:c r="D254" s="104" t="n">
        <x:v>1064.108212736816</x:v>
      </x:c>
      <x:c r="E254" s="105" t="str">
        <x:v>0:00</x:v>
      </x:c>
      <x:c r="F254" s="104" t="n">
        <x:v>6034.41509651114</x:v>
      </x:c>
    </x:row>
    <x:row r="255">
      <x:c r="A255" s="78"/>
      <x:c r="B255" s="79" t="str">
        <x:v>4:00-8:00</x:v>
      </x:c>
      <x:c r="C255" s="80" t="n">
        <x:v>167.77620393858177</x:v>
      </x:c>
      <x:c r="D255" s="80" t="n">
        <x:v>4850.315862695312</x:v>
      </x:c>
      <x:c r="E255" s="81" t="str">
        <x:v>24:00</x:v>
      </x:c>
      <x:c r="F255" s="80" t="n">
        <x:v>5820.924181309317</x:v>
      </x:c>
    </x:row>
    <x:row r="256">
      <x:c r="A256" s="78"/>
      <x:c r="B256" s="79" t="str">
        <x:v>8:00-12:00</x:v>
      </x:c>
      <x:c r="C256" s="80" t="n">
        <x:v>7808.677833333334</x:v>
      </x:c>
      <x:c r="D256" s="80" t="n">
        <x:v>0</x:v>
      </x:c>
      <x:c r="E256" s="81"/>
      <x:c r="F256" s="80"/>
    </x:row>
    <x:row r="257">
      <x:c r="A257" s="78"/>
      <x:c r="B257" s="79" t="str">
        <x:v>12:00-16:00</x:v>
      </x:c>
      <x:c r="C257" s="80" t="n">
        <x:v>2809.9281590314113</x:v>
      </x:c>
      <x:c r="D257" s="80" t="n">
        <x:v>0</x:v>
      </x:c>
      <x:c r="E257" s="81"/>
      <x:c r="F257" s="80"/>
    </x:row>
    <x:row r="258">
      <x:c r="A258" s="78"/>
      <x:c r="B258" s="79" t="str">
        <x:v>16:00-20:00</x:v>
      </x:c>
      <x:c r="C258" s="80" t="n">
        <x:v>0.19801586888004546</x:v>
      </x:c>
      <x:c r="D258" s="80" t="n">
        <x:v>5907.522342853792</x:v>
      </x:c>
      <x:c r="E258" s="81"/>
      <x:c r="F258" s="80"/>
    </x:row>
    <x:row r="259">
      <x:c r="A259" s="98"/>
      <x:c r="B259" s="99" t="str">
        <x:v>20:00-24:00</x:v>
      </x:c>
      <x:c r="C259" s="100" t="n">
        <x:v>5957.587700249163</x:v>
      </x:c>
      <x:c r="D259" s="100" t="n">
        <x:v>3399.4523240234375</x:v>
      </x:c>
      <x:c r="E259" s="101"/>
      <x:c r="F259" s="100"/>
    </x:row>
    <x:row r="260">
      <x:c r="A260" s="102" t="n">
        <x:v>45732</x:v>
      </x:c>
      <x:c r="B260" s="103" t="str">
        <x:v>0:00-4:00</x:v>
      </x:c>
      <x:c r="C260" s="104" t="n">
        <x:v>3890.813891318641</x:v>
      </x:c>
      <x:c r="D260" s="104" t="n">
        <x:v>197.8453134114584</x:v>
      </x:c>
      <x:c r="E260" s="105" t="str">
        <x:v>0:00</x:v>
      </x:c>
      <x:c r="F260" s="104" t="n">
        <x:v>5820.924181309317</x:v>
      </x:c>
    </x:row>
    <x:row r="261">
      <x:c r="A261" s="78"/>
      <x:c r="B261" s="79" t="str">
        <x:v>4:00-8:00</x:v>
      </x:c>
      <x:c r="C261" s="80" t="n">
        <x:v>2295.7809409325637</x:v>
      </x:c>
      <x:c r="D261" s="80" t="n">
        <x:v>7308.487854035764</x:v>
      </x:c>
      <x:c r="E261" s="81" t="str">
        <x:v>24:00</x:v>
      </x:c>
      <x:c r="F261" s="80" t="n">
        <x:v>5821.34089734592</x:v>
      </x:c>
    </x:row>
    <x:row r="262">
      <x:c r="A262" s="78"/>
      <x:c r="B262" s="79" t="str">
        <x:v>8:00-12:00</x:v>
      </x:c>
      <x:c r="C262" s="80" t="n">
        <x:v>6307.958683333333</x:v>
      </x:c>
      <x:c r="D262" s="80" t="n">
        <x:v>1663.64040985464</x:v>
      </x:c>
      <x:c r="E262" s="81"/>
      <x:c r="F262" s="80"/>
    </x:row>
    <x:row r="263">
      <x:c r="A263" s="78"/>
      <x:c r="B263" s="79" t="str">
        <x:v>12:00-16:00</x:v>
      </x:c>
      <x:c r="C263" s="80" t="n">
        <x:v>4216.186445650538</x:v>
      </x:c>
      <x:c r="D263" s="80" t="n">
        <x:v>653.3686784620401</x:v>
      </x:c>
      <x:c r="E263" s="81"/>
      <x:c r="F263" s="80"/>
    </x:row>
    <x:row r="264">
      <x:c r="A264" s="78"/>
      <x:c r="B264" s="79" t="str">
        <x:v>16:00-20:00</x:v>
      </x:c>
      <x:c r="C264" s="80" t="n">
        <x:v>98.8078140090712</x:v>
      </x:c>
      <x:c r="D264" s="80" t="n">
        <x:v>6456.347618747603</x:v>
      </x:c>
      <x:c r="E264" s="81"/>
      <x:c r="F264" s="80"/>
    </x:row>
    <x:row r="265">
      <x:c r="A265" s="98"/>
      <x:c r="B265" s="99" t="str">
        <x:v>20:00-24:00</x:v>
      </x:c>
      <x:c r="C265" s="100" t="n">
        <x:v>5311.325251762634</x:v>
      </x:c>
      <x:c r="D265" s="100" t="n">
        <x:v>1637.8422329310486</x:v>
      </x:c>
      <x:c r="E265" s="101"/>
      <x:c r="F265" s="100"/>
    </x:row>
    <x:row r="266">
      <x:c r="A266" s="102" t="n">
        <x:v>45733</x:v>
      </x:c>
      <x:c r="B266" s="103" t="str">
        <x:v>0:00-4:00</x:v>
      </x:c>
      <x:c r="C266" s="104" t="n">
        <x:v>4796.042293877798</x:v>
      </x:c>
      <x:c r="D266" s="104" t="n">
        <x:v>186.8389193359377</x:v>
      </x:c>
      <x:c r="E266" s="105" t="str">
        <x:v>0:00</x:v>
      </x:c>
      <x:c r="F266" s="104" t="n">
        <x:v>5821.34089734592</x:v>
      </x:c>
    </x:row>
    <x:row r="267">
      <x:c r="A267" s="78"/>
      <x:c r="B267" s="79" t="str">
        <x:v>4:00-8:00</x:v>
      </x:c>
      <x:c r="C267" s="80" t="n">
        <x:v>1051.2342575496946</x:v>
      </x:c>
      <x:c r="D267" s="80" t="n">
        <x:v>5646.144023622301</x:v>
      </x:c>
      <x:c r="E267" s="81" t="str">
        <x:v>24:00</x:v>
      </x:c>
      <x:c r="F267" s="80" t="n">
        <x:v>6046.141143928274</x:v>
      </x:c>
    </x:row>
    <x:row r="268">
      <x:c r="A268" s="78"/>
      <x:c r="B268" s="79" t="str">
        <x:v>8:00-12:00</x:v>
      </x:c>
      <x:c r="C268" s="80" t="n">
        <x:v>6981.372849999999</x:v>
      </x:c>
      <x:c r="D268" s="80" t="n">
        <x:v>1631.6283999999996</x:v>
      </x:c>
      <x:c r="E268" s="81"/>
      <x:c r="F268" s="80"/>
    </x:row>
    <x:row r="269">
      <x:c r="A269" s="78"/>
      <x:c r="B269" s="79" t="str">
        <x:v>12:00-16:00</x:v>
      </x:c>
      <x:c r="C269" s="80" t="n">
        <x:v>1966.8886874781572</x:v>
      </x:c>
      <x:c r="D269" s="80" t="n">
        <x:v>48.55500251194111</x:v>
      </x:c>
      <x:c r="E269" s="81"/>
      <x:c r="F269" s="80"/>
    </x:row>
    <x:row r="270">
      <x:c r="A270" s="78"/>
      <x:c r="B270" s="79" t="str">
        <x:v>16:00-20:00</x:v>
      </x:c>
      <x:c r="C270" s="80" t="n">
        <x:v>31.131226405217376</x:v>
      </x:c>
      <x:c r="D270" s="80" t="n">
        <x:v>5832.629700142495</x:v>
      </x:c>
      <x:c r="E270" s="81"/>
      <x:c r="F270" s="80"/>
    </x:row>
    <x:row r="271">
      <x:c r="A271" s="98"/>
      <x:c r="B271" s="99" t="str">
        <x:v>20:00-24:00</x:v>
      </x:c>
      <x:c r="C271" s="100" t="n">
        <x:v>5413.968560218942</x:v>
      </x:c>
      <x:c r="D271" s="100" t="n">
        <x:v>2846.8004116423563</x:v>
      </x:c>
      <x:c r="E271" s="101"/>
      <x:c r="F271" s="100"/>
    </x:row>
    <x:row r="272">
      <x:c r="A272" s="102" t="n">
        <x:v>45734</x:v>
      </x:c>
      <x:c r="B272" s="103" t="str">
        <x:v>0:00-4:00</x:v>
      </x:c>
      <x:c r="C272" s="104" t="n">
        <x:v>4598.673149150876</x:v>
      </x:c>
      <x:c r="D272" s="104" t="n">
        <x:v>106.78000800781228</x:v>
      </x:c>
      <x:c r="E272" s="105" t="str">
        <x:v>0:00</x:v>
      </x:c>
      <x:c r="F272" s="104" t="n">
        <x:v>6046.141143928274</x:v>
      </x:c>
    </x:row>
    <x:row r="273">
      <x:c r="A273" s="78"/>
      <x:c r="B273" s="79" t="str">
        <x:v>4:00-8:00</x:v>
      </x:c>
      <x:c r="C273" s="80" t="n">
        <x:v>975.8773679581603</x:v>
      </x:c>
      <x:c r="D273" s="80" t="n">
        <x:v>6021.102428803276</x:v>
      </x:c>
      <x:c r="E273" s="81" t="str">
        <x:v>24:00</x:v>
      </x:c>
      <x:c r="F273" s="80" t="n">
        <x:v>5892.722796501018</x:v>
      </x:c>
    </x:row>
    <x:row r="274">
      <x:c r="A274" s="78"/>
      <x:c r="B274" s="79" t="str">
        <x:v>8:00-12:00</x:v>
      </x:c>
      <x:c r="C274" s="80" t="n">
        <x:v>5712.8814076508515</x:v>
      </x:c>
      <x:c r="D274" s="80" t="n">
        <x:v>2749.0305115826804</x:v>
      </x:c>
      <x:c r="E274" s="81"/>
      <x:c r="F274" s="80"/>
    </x:row>
    <x:row r="275">
      <x:c r="A275" s="78"/>
      <x:c r="B275" s="79" t="str">
        <x:v>12:00-16:00</x:v>
      </x:c>
      <x:c r="C275" s="80" t="n">
        <x:v>5288.0815758882445</x:v>
      </x:c>
      <x:c r="D275" s="80" t="n">
        <x:v>270.7800166666667</x:v>
      </x:c>
      <x:c r="E275" s="81"/>
      <x:c r="F275" s="80"/>
    </x:row>
    <x:row r="276">
      <x:c r="A276" s="78"/>
      <x:c r="B276" s="79" t="str">
        <x:v>16:00-20:00</x:v>
      </x:c>
      <x:c r="C276" s="80" t="n">
        <x:v>28.251867244539767</x:v>
      </x:c>
      <x:c r="D276" s="80" t="n">
        <x:v>5800.253598636982</x:v>
      </x:c>
      <x:c r="E276" s="81"/>
      <x:c r="F276" s="80"/>
    </x:row>
    <x:row r="277">
      <x:c r="A277" s="98"/>
      <x:c r="B277" s="99" t="str">
        <x:v>20:00-24:00</x:v>
      </x:c>
      <x:c r="C277" s="100" t="n">
        <x:v>5330.838955161715</x:v>
      </x:c>
      <x:c r="D277" s="100" t="n">
        <x:v>2957.159450661168</x:v>
      </x:c>
      <x:c r="E277" s="101"/>
      <x:c r="F277" s="100"/>
    </x:row>
    <x:row r="278">
      <x:c r="A278" s="102" t="n">
        <x:v>45735</x:v>
      </x:c>
      <x:c r="B278" s="103" t="str">
        <x:v>0:00-4:00</x:v>
      </x:c>
      <x:c r="C278" s="104" t="n">
        <x:v>4728.239261201126</x:v>
      </x:c>
      <x:c r="D278" s="104" t="n">
        <x:v>199.59065188802106</x:v>
      </x:c>
      <x:c r="E278" s="105" t="str">
        <x:v>0:00</x:v>
      </x:c>
      <x:c r="F278" s="104" t="n">
        <x:v>5892.722796501018</x:v>
      </x:c>
    </x:row>
    <x:row r="279">
      <x:c r="A279" s="78"/>
      <x:c r="B279" s="79" t="str">
        <x:v>4:00-8:00</x:v>
      </x:c>
      <x:c r="C279" s="80" t="n">
        <x:v>955.4537170564286</x:v>
      </x:c>
      <x:c r="D279" s="80" t="n">
        <x:v>6144.402304797675</x:v>
      </x:c>
      <x:c r="E279" s="81" t="str">
        <x:v>24:00</x:v>
      </x:c>
      <x:c r="F279" s="80" t="n">
        <x:v>6072.996700645641</x:v>
      </x:c>
    </x:row>
    <x:row r="280">
      <x:c r="A280" s="78"/>
      <x:c r="B280" s="79" t="str">
        <x:v>8:00-12:00</x:v>
      </x:c>
      <x:c r="C280" s="80" t="n">
        <x:v>6123.6916339784875</x:v>
      </x:c>
      <x:c r="D280" s="80" t="n">
        <x:v>2483.2488725538383</x:v>
      </x:c>
      <x:c r="E280" s="81"/>
      <x:c r="F280" s="80"/>
    </x:row>
    <x:row r="281">
      <x:c r="A281" s="78"/>
      <x:c r="B281" s="79" t="str">
        <x:v>12:00-16:00</x:v>
      </x:c>
      <x:c r="C281" s="80" t="n">
        <x:v>4919.017920762617</x:v>
      </x:c>
      <x:c r="D281" s="80" t="n">
        <x:v>304.59473934029705</x:v>
      </x:c>
      <x:c r="E281" s="81"/>
      <x:c r="F281" s="80"/>
    </x:row>
    <x:row r="282">
      <x:c r="A282" s="78"/>
      <x:c r="B282" s="79" t="str">
        <x:v>16:00-20:00</x:v>
      </x:c>
      <x:c r="C282" s="80" t="n">
        <x:v>16.407430208333494</x:v>
      </x:c>
      <x:c r="D282" s="80" t="n">
        <x:v>6370.09444488645</x:v>
      </x:c>
      <x:c r="E282" s="81"/>
      <x:c r="F282" s="80"/>
    </x:row>
    <x:row r="283">
      <x:c r="A283" s="98"/>
      <x:c r="B283" s="99" t="str">
        <x:v>20:00-24:00</x:v>
      </x:c>
      <x:c r="C283" s="100" t="n">
        <x:v>5390.0529105259775</x:v>
      </x:c>
      <x:c r="D283" s="100" t="n">
        <x:v>2263.441400527265</x:v>
      </x:c>
      <x:c r="E283" s="101"/>
      <x:c r="F283" s="100"/>
    </x:row>
    <x:row r="284">
      <x:c r="A284" s="102" t="n">
        <x:v>45736</x:v>
      </x:c>
      <x:c r="B284" s="103" t="str">
        <x:v>0:00-4:00</x:v>
      </x:c>
      <x:c r="C284" s="104" t="n">
        <x:v>5187.766323588176</x:v>
      </x:c>
      <x:c r="D284" s="104" t="n">
        <x:v>254.8057088541666</x:v>
      </x:c>
      <x:c r="E284" s="105" t="str">
        <x:v>0:00</x:v>
      </x:c>
      <x:c r="F284" s="104" t="n">
        <x:v>6072.996700645641</x:v>
      </x:c>
    </x:row>
    <x:row r="285">
      <x:c r="A285" s="78"/>
      <x:c r="B285" s="79" t="str">
        <x:v>4:00-8:00</x:v>
      </x:c>
      <x:c r="C285" s="80" t="n">
        <x:v>197.27994532177541</x:v>
      </x:c>
      <x:c r="D285" s="80" t="n">
        <x:v>5660.983119822247</x:v>
      </x:c>
      <x:c r="E285" s="81" t="str">
        <x:v>24:00</x:v>
      </x:c>
      <x:c r="F285" s="80" t="n">
        <x:v>6004.935198721064</x:v>
      </x:c>
    </x:row>
    <x:row r="286">
      <x:c r="A286" s="78"/>
      <x:c r="B286" s="79" t="str">
        <x:v>8:00-12:00</x:v>
      </x:c>
      <x:c r="C286" s="80" t="n">
        <x:v>4753.888458459101</x:v>
      </x:c>
      <x:c r="D286" s="80" t="n">
        <x:v>2777.3772166666663</x:v>
      </x:c>
      <x:c r="E286" s="81"/>
      <x:c r="F286" s="80"/>
    </x:row>
    <x:row r="287">
      <x:c r="A287" s="78"/>
      <x:c r="B287" s="79" t="str">
        <x:v>12:00-16:00</x:v>
      </x:c>
      <x:c r="C287" s="80" t="n">
        <x:v>4526.601723189353</x:v>
      </x:c>
      <x:c r="D287" s="80" t="n">
        <x:v>565.9940257193077</x:v>
      </x:c>
      <x:c r="E287" s="81"/>
      <x:c r="F287" s="80"/>
    </x:row>
    <x:row r="288">
      <x:c r="A288" s="78"/>
      <x:c r="B288" s="79" t="str">
        <x:v>16:00-20:00</x:v>
      </x:c>
      <x:c r="C288" s="80" t="n">
        <x:v>110.02722047123461</x:v>
      </x:c>
      <x:c r="D288" s="80" t="n">
        <x:v>6802.182298191645</x:v>
      </x:c>
      <x:c r="E288" s="81"/>
      <x:c r="F288" s="80"/>
    </x:row>
    <x:row r="289">
      <x:c r="A289" s="98"/>
      <x:c r="B289" s="99" t="str">
        <x:v>20:00-24:00</x:v>
      </x:c>
      <x:c r="C289" s="100" t="n">
        <x:v>5373.598260651363</x:v>
      </x:c>
      <x:c r="D289" s="100" t="n">
        <x:v>320.73414713969896</x:v>
      </x:c>
      <x:c r="E289" s="101"/>
      <x:c r="F289" s="100"/>
    </x:row>
    <x:row r="290">
      <x:c r="A290" s="102" t="n">
        <x:v>45737</x:v>
      </x:c>
      <x:c r="B290" s="103" t="str">
        <x:v>0:00-4:00</x:v>
      </x:c>
      <x:c r="C290" s="104" t="n">
        <x:v>1663.1657867187498</x:v>
      </x:c>
      <x:c r="D290" s="104" t="n">
        <x:v>1243.8731511866467</x:v>
      </x:c>
      <x:c r="E290" s="105" t="str">
        <x:v>0:00</x:v>
      </x:c>
      <x:c r="F290" s="104" t="n">
        <x:v>6004.935198721064</x:v>
      </x:c>
    </x:row>
    <x:row r="291">
      <x:c r="A291" s="78"/>
      <x:c r="B291" s="79" t="str">
        <x:v>4:00-8:00</x:v>
      </x:c>
      <x:c r="C291" s="80" t="n">
        <x:v>296.52553111979176</x:v>
      </x:c>
      <x:c r="D291" s="80" t="n">
        <x:v>4456.955225728754</x:v>
      </x:c>
      <x:c r="E291" s="81" t="str">
        <x:v>24:00</x:v>
      </x:c>
      <x:c r="F291" s="80" t="n">
        <x:v>5917.924691088686</x:v>
      </x:c>
    </x:row>
    <x:row r="292">
      <x:c r="A292" s="78"/>
      <x:c r="B292" s="79" t="str">
        <x:v>8:00-12:00</x:v>
      </x:c>
      <x:c r="C292" s="80" t="n">
        <x:v>10406.21818594719</x:v>
      </x:c>
      <x:c r="D292" s="80" t="n">
        <x:v>0</x:v>
      </x:c>
      <x:c r="E292" s="81"/>
      <x:c r="F292" s="80"/>
    </x:row>
    <x:row r="293">
      <x:c r="A293" s="78"/>
      <x:c r="B293" s="79" t="str">
        <x:v>12:00-16:00</x:v>
      </x:c>
      <x:c r="C293" s="80" t="n">
        <x:v>0</x:v>
      </x:c>
      <x:c r="D293" s="80" t="n">
        <x:v>0</x:v>
      </x:c>
      <x:c r="E293" s="81"/>
      <x:c r="F293" s="80"/>
    </x:row>
    <x:row r="294">
      <x:c r="A294" s="78"/>
      <x:c r="B294" s="79" t="str">
        <x:v>16:00-20:00</x:v>
      </x:c>
      <x:c r="C294" s="80" t="n">
        <x:v>11.575092080341468</x:v>
      </x:c>
      <x:c r="D294" s="80" t="n">
        <x:v>6361.049941251744</x:v>
      </x:c>
      <x:c r="E294" s="81"/>
      <x:c r="F294" s="80"/>
    </x:row>
    <x:row r="295">
      <x:c r="A295" s="98"/>
      <x:c r="B295" s="99" t="str">
        <x:v>20:00-24:00</x:v>
      </x:c>
      <x:c r="C295" s="100" t="n">
        <x:v>5305.465631053079</x:v>
      </x:c>
      <x:c r="D295" s="100" t="n">
        <x:v>2339.6208225065106</x:v>
      </x:c>
      <x:c r="E295" s="101"/>
      <x:c r="F295" s="100"/>
    </x:row>
    <x:row r="296">
      <x:c r="A296" s="102" t="n">
        <x:v>45738</x:v>
      </x:c>
      <x:c r="B296" s="103" t="str">
        <x:v>0:00-4:00</x:v>
      </x:c>
      <x:c r="C296" s="104" t="n">
        <x:v>1850.4879742367052</x:v>
      </x:c>
      <x:c r="D296" s="104" t="n">
        <x:v>466.0665652994792</x:v>
      </x:c>
      <x:c r="E296" s="105" t="str">
        <x:v>0:00</x:v>
      </x:c>
      <x:c r="F296" s="104" t="n">
        <x:v>5917.924691088686</x:v>
      </x:c>
    </x:row>
    <x:row r="297">
      <x:c r="A297" s="78"/>
      <x:c r="B297" s="79" t="str">
        <x:v>4:00-8:00</x:v>
      </x:c>
      <x:c r="C297" s="80" t="n">
        <x:v>91.69759231770834</x:v>
      </x:c>
      <x:c r="D297" s="80" t="n">
        <x:v>4713.492805986677</x:v>
      </x:c>
      <x:c r="E297" s="81" t="str">
        <x:v>24:00</x:v>
      </x:c>
      <x:c r="F297" s="80" t="n">
        <x:v>6186.295975011484</x:v>
      </x:c>
    </x:row>
    <x:row r="298">
      <x:c r="A298" s="78"/>
      <x:c r="B298" s="79" t="str">
        <x:v>8:00-12:00</x:v>
      </x:c>
      <x:c r="C298" s="80" t="n">
        <x:v>9876.860296786746</x:v>
      </x:c>
      <x:c r="D298" s="80" t="n">
        <x:v>0</x:v>
      </x:c>
      <x:c r="E298" s="81"/>
      <x:c r="F298" s="80"/>
    </x:row>
    <x:row r="299">
      <x:c r="A299" s="78"/>
      <x:c r="B299" s="79" t="str">
        <x:v>12:00-16:00</x:v>
      </x:c>
      <x:c r="C299" s="80" t="n">
        <x:v>0</x:v>
      </x:c>
      <x:c r="D299" s="80" t="n">
        <x:v>33.57000000000001</x:v>
      </x:c>
      <x:c r="E299" s="81"/>
      <x:c r="F299" s="80"/>
    </x:row>
    <x:row r="300">
      <x:c r="A300" s="78"/>
      <x:c r="B300" s="79" t="str">
        <x:v>16:00-20:00</x:v>
      </x:c>
      <x:c r="C300" s="80" t="n">
        <x:v>132.85081414388733</x:v>
      </x:c>
      <x:c r="D300" s="80" t="n">
        <x:v>6244.826944704675</x:v>
      </x:c>
      <x:c r="E300" s="81"/>
      <x:c r="F300" s="80"/>
    </x:row>
    <x:row r="301">
      <x:c r="A301" s="98"/>
      <x:c r="B301" s="99" t="str">
        <x:v>20:00-24:00</x:v>
      </x:c>
      <x:c r="C301" s="100" t="n">
        <x:v>6017.364402646765</x:v>
      </x:c>
      <x:c r="D301" s="100" t="n">
        <x:v>2855.6110033854166</x:v>
      </x:c>
      <x:c r="E301" s="101"/>
      <x:c r="F301" s="100"/>
    </x:row>
    <x:row r="302">
      <x:c r="A302" s="102" t="n">
        <x:v>45739</x:v>
      </x:c>
      <x:c r="B302" s="103" t="str">
        <x:v>0:00-4:00</x:v>
      </x:c>
      <x:c r="C302" s="104" t="n">
        <x:v>4260.986559375</x:v>
      </x:c>
      <x:c r="D302" s="104" t="n">
        <x:v>164.7654968098957</x:v>
      </x:c>
      <x:c r="E302" s="105" t="str">
        <x:v>0:00</x:v>
      </x:c>
      <x:c r="F302" s="104" t="n">
        <x:v>6186.295975011484</x:v>
      </x:c>
    </x:row>
    <x:row r="303">
      <x:c r="A303" s="78"/>
      <x:c r="B303" s="79" t="str">
        <x:v>4:00-8:00</x:v>
      </x:c>
      <x:c r="C303" s="80" t="n">
        <x:v>966.8563787645405</x:v>
      </x:c>
      <x:c r="D303" s="80" t="n">
        <x:v>7099.231192836101</x:v>
      </x:c>
      <x:c r="E303" s="81" t="str">
        <x:v>24:00</x:v>
      </x:c>
      <x:c r="F303" s="80" t="n">
        <x:v>5945.261491379484</x:v>
      </x:c>
    </x:row>
    <x:row r="304">
      <x:c r="A304" s="78"/>
      <x:c r="B304" s="79" t="str">
        <x:v>8:00-12:00</x:v>
      </x:c>
      <x:c r="C304" s="80" t="n">
        <x:v>4774.812447294256</x:v>
      </x:c>
      <x:c r="D304" s="80" t="n">
        <x:v>1458.2224677573645</x:v>
      </x:c>
      <x:c r="E304" s="81"/>
      <x:c r="F304" s="80"/>
    </x:row>
    <x:row r="305">
      <x:c r="A305" s="78"/>
      <x:c r="B305" s="79" t="str">
        <x:v>12:00-16:00</x:v>
      </x:c>
      <x:c r="C305" s="80" t="n">
        <x:v>5896.654918960887</x:v>
      </x:c>
      <x:c r="D305" s="80" t="n">
        <x:v>3.8885666666666716</x:v>
      </x:c>
      <x:c r="E305" s="81"/>
      <x:c r="F305" s="80"/>
    </x:row>
    <x:row r="306">
      <x:c r="A306" s="78"/>
      <x:c r="B306" s="79" t="str">
        <x:v>16:00-20:00</x:v>
      </x:c>
      <x:c r="C306" s="80" t="n">
        <x:v>18.821583415731197</x:v>
      </x:c>
      <x:c r="D306" s="80" t="n">
        <x:v>5979.353024039062</x:v>
      </x:c>
      <x:c r="E306" s="81"/>
      <x:c r="F306" s="80"/>
    </x:row>
    <x:row r="307">
      <x:c r="A307" s="98"/>
      <x:c r="B307" s="99" t="str">
        <x:v>20:00-24:00</x:v>
      </x:c>
      <x:c r="C307" s="100" t="n">
        <x:v>5380.311309353298</x:v>
      </x:c>
      <x:c r="D307" s="100" t="n">
        <x:v>2763.209276862315</x:v>
      </x:c>
      <x:c r="E307" s="101"/>
      <x:c r="F307" s="100"/>
    </x:row>
    <x:row r="308">
      <x:c r="A308" s="102" t="n">
        <x:v>45740</x:v>
      </x:c>
      <x:c r="B308" s="103" t="str">
        <x:v>0:00-4:00</x:v>
      </x:c>
      <x:c r="C308" s="104" t="n">
        <x:v>3914.178246318802</x:v>
      </x:c>
      <x:c r="D308" s="104" t="n">
        <x:v>156.17543606770835</x:v>
      </x:c>
      <x:c r="E308" s="105" t="str">
        <x:v>0:00</x:v>
      </x:c>
      <x:c r="F308" s="104" t="n">
        <x:v>5945.261491379484</x:v>
      </x:c>
    </x:row>
    <x:row r="309">
      <x:c r="A309" s="78"/>
      <x:c r="B309" s="79" t="str">
        <x:v>4:00-8:00</x:v>
      </x:c>
      <x:c r="C309" s="80" t="n">
        <x:v>1697.8189642797947</x:v>
      </x:c>
      <x:c r="D309" s="80" t="n">
        <x:v>6748.826533602376</x:v>
      </x:c>
      <x:c r="E309" s="81" t="str">
        <x:v>24:00</x:v>
      </x:c>
      <x:c r="F309" s="80" t="n">
        <x:v>5829.630169147136</x:v>
      </x:c>
    </x:row>
    <x:row r="310">
      <x:c r="A310" s="78"/>
      <x:c r="B310" s="79" t="str">
        <x:v>8:00-12:00</x:v>
      </x:c>
      <x:c r="C310" s="80" t="n">
        <x:v>6100.771526872312</x:v>
      </x:c>
      <x:c r="D310" s="80" t="n">
        <x:v>1911.4511131563154</x:v>
      </x:c>
      <x:c r="E310" s="81"/>
      <x:c r="F310" s="80"/>
    </x:row>
    <x:row r="311">
      <x:c r="A311" s="78"/>
      <x:c r="B311" s="79" t="str">
        <x:v>12:00-16:00</x:v>
      </x:c>
      <x:c r="C311" s="80" t="n">
        <x:v>4566.103196109803</x:v>
      </x:c>
      <x:c r="D311" s="80" t="n">
        <x:v>604.3545675681469</x:v>
      </x:c>
      <x:c r="E311" s="81"/>
      <x:c r="F311" s="80"/>
    </x:row>
    <x:row r="312">
      <x:c r="A312" s="78"/>
      <x:c r="B312" s="79" t="str">
        <x:v>16:00-20:00</x:v>
      </x:c>
      <x:c r="C312" s="80" t="n">
        <x:v>132.50249640797358</x:v>
      </x:c>
      <x:c r="D312" s="80" t="n">
        <x:v>6418.885123225825</x:v>
      </x:c>
      <x:c r="E312" s="81"/>
      <x:c r="F312" s="80"/>
    </x:row>
    <x:row r="313">
      <x:c r="A313" s="98"/>
      <x:c r="B313" s="99" t="str">
        <x:v>20:00-24:00</x:v>
      </x:c>
      <x:c r="C313" s="100" t="n">
        <x:v>5263.817780556359</x:v>
      </x:c>
      <x:c r="D313" s="100" t="n">
        <x:v>1821.2811069302265</x:v>
      </x:c>
      <x:c r="E313" s="101"/>
      <x:c r="F313" s="100"/>
    </x:row>
    <x:row r="314">
      <x:c r="A314" s="102" t="n">
        <x:v>45741</x:v>
      </x:c>
      <x:c r="B314" s="103" t="str">
        <x:v>0:00-4:00</x:v>
      </x:c>
      <x:c r="C314" s="104" t="n">
        <x:v>4657.114082371238</x:v>
      </x:c>
      <x:c r="D314" s="104" t="n">
        <x:v>223.11563437500013</x:v>
      </x:c>
      <x:c r="E314" s="105" t="str">
        <x:v>0:00</x:v>
      </x:c>
      <x:c r="F314" s="104" t="n">
        <x:v>5829.630169147136</x:v>
      </x:c>
    </x:row>
    <x:row r="315">
      <x:c r="A315" s="78"/>
      <x:c r="B315" s="79" t="str">
        <x:v>4:00-8:00</x:v>
      </x:c>
      <x:c r="C315" s="80" t="n">
        <x:v>910.7308255863246</x:v>
      </x:c>
      <x:c r="D315" s="80" t="n">
        <x:v>6751.208468680126</x:v>
      </x:c>
      <x:c r="E315" s="81" t="str">
        <x:v>24:00</x:v>
      </x:c>
      <x:c r="F315" s="80" t="n">
        <x:v>5826.863725793547</x:v>
      </x:c>
    </x:row>
    <x:row r="316">
      <x:c r="A316" s="78"/>
      <x:c r="B316" s="79" t="str">
        <x:v>8:00-12:00</x:v>
      </x:c>
      <x:c r="C316" s="80" t="n">
        <x:v>3873.3192290242596</x:v>
      </x:c>
      <x:c r="D316" s="80" t="n">
        <x:v>1702.2974246229178</x:v>
      </x:c>
      <x:c r="E316" s="81"/>
      <x:c r="F316" s="80"/>
    </x:row>
    <x:row r="317">
      <x:c r="A317" s="78"/>
      <x:c r="B317" s="79" t="str">
        <x:v>12:00-16:00</x:v>
      </x:c>
      <x:c r="C317" s="80" t="n">
        <x:v>5592.230486497794</x:v>
      </x:c>
      <x:c r="D317" s="80" t="n">
        <x:v>266.6915498339774</x:v>
      </x:c>
      <x:c r="E317" s="81"/>
      <x:c r="F317" s="80"/>
    </x:row>
    <x:row r="318">
      <x:c r="A318" s="78"/>
      <x:c r="B318" s="79" t="str">
        <x:v>16:00-20:00</x:v>
      </x:c>
      <x:c r="C318" s="80" t="n">
        <x:v>101.88725123762083</x:v>
      </x:c>
      <x:c r="D318" s="80" t="n">
        <x:v>6654.240650612501</x:v>
      </x:c>
      <x:c r="E318" s="81"/>
      <x:c r="F318" s="80"/>
    </x:row>
    <x:row r="319">
      <x:c r="A319" s="98"/>
      <x:c r="B319" s="99" t="str">
        <x:v>20:00-24:00</x:v>
      </x:c>
      <x:c r="C319" s="100" t="n">
        <x:v>5303.038477511413</x:v>
      </x:c>
      <x:c r="D319" s="100" t="n">
        <x:v>959.9755561989115</x:v>
      </x:c>
      <x:c r="E319" s="101"/>
      <x:c r="F319" s="100"/>
    </x:row>
    <x:row r="320">
      <x:c r="A320" s="102" t="n">
        <x:v>45742</x:v>
      </x:c>
      <x:c r="B320" s="103" t="str">
        <x:v>0:00-4:00</x:v>
      </x:c>
      <x:c r="C320" s="104" t="n">
        <x:v>4781.816515350918</x:v>
      </x:c>
      <x:c r="D320" s="104" t="n">
        <x:v>94.05049205729142</x:v>
      </x:c>
      <x:c r="E320" s="105" t="str">
        <x:v>0:00</x:v>
      </x:c>
      <x:c r="F320" s="104" t="n">
        <x:v>5826.863725793547</x:v>
      </x:c>
    </x:row>
    <x:row r="321">
      <x:c r="A321" s="78"/>
      <x:c r="B321" s="79" t="str">
        <x:v>4:00-8:00</x:v>
      </x:c>
      <x:c r="C321" s="80" t="n">
        <x:v>814.3704688300691</x:v>
      </x:c>
      <x:c r="D321" s="80" t="n">
        <x:v>6559.480757998187</x:v>
      </x:c>
      <x:c r="E321" s="81" t="str">
        <x:v>24:00</x:v>
      </x:c>
      <x:c r="F321" s="80" t="n">
        <x:v>5920.813223210678</x:v>
      </x:c>
    </x:row>
    <x:row r="322">
      <x:c r="A322" s="78"/>
      <x:c r="B322" s="79" t="str">
        <x:v>8:00-12:00</x:v>
      </x:c>
      <x:c r="C322" s="80" t="n">
        <x:v>6545.221458247128</x:v>
      </x:c>
      <x:c r="D322" s="80" t="n">
        <x:v>2043.5575603453149</x:v>
      </x:c>
      <x:c r="E322" s="81"/>
      <x:c r="F322" s="80"/>
    </x:row>
    <x:row r="323">
      <x:c r="A323" s="78"/>
      <x:c r="B323" s="79" t="str">
        <x:v>12:00-16:00</x:v>
      </x:c>
      <x:c r="C323" s="80" t="n">
        <x:v>4129.482448248456</x:v>
      </x:c>
      <x:c r="D323" s="80" t="n">
        <x:v>6.510164261424961</x:v>
      </x:c>
      <x:c r="E323" s="81"/>
      <x:c r="F323" s="80"/>
    </x:row>
    <x:row r="324">
      <x:c r="A324" s="78"/>
      <x:c r="B324" s="79" t="str">
        <x:v>16:00-20:00</x:v>
      </x:c>
      <x:c r="C324" s="80" t="n">
        <x:v>20.597657425715852</x:v>
      </x:c>
      <x:c r="D324" s="80" t="n">
        <x:v>6452.664166772358</x:v>
      </x:c>
      <x:c r="E324" s="81"/>
      <x:c r="F324" s="80"/>
    </x:row>
    <x:row r="325">
      <x:c r="A325" s="98"/>
      <x:c r="B325" s="99" t="str">
        <x:v>20:00-24:00</x:v>
      </x:c>
      <x:c r="C325" s="100" t="n">
        <x:v>5293.673368606931</x:v>
      </x:c>
      <x:c r="D325" s="100" t="n">
        <x:v>2243.1634634244792</x:v>
      </x:c>
      <x:c r="E325" s="101"/>
      <x:c r="F325" s="100"/>
    </x:row>
    <x:row r="326">
      <x:c r="A326" s="102" t="n">
        <x:v>45743</x:v>
      </x:c>
      <x:c r="B326" s="103" t="str">
        <x:v>0:00-4:00</x:v>
      </x:c>
      <x:c r="C326" s="104" t="n">
        <x:v>2952.886623884837</x:v>
      </x:c>
      <x:c r="D326" s="104" t="n">
        <x:v>275.7815444661459</x:v>
      </x:c>
      <x:c r="E326" s="105" t="str">
        <x:v>0:00</x:v>
      </x:c>
      <x:c r="F326" s="104" t="n">
        <x:v>5920.813223210678</x:v>
      </x:c>
    </x:row>
    <x:row r="327">
      <x:c r="A327" s="78"/>
      <x:c r="B327" s="79" t="str">
        <x:v>4:00-8:00</x:v>
      </x:c>
      <x:c r="C327" s="80" t="n">
        <x:v>2515.219423227167</x:v>
      </x:c>
      <x:c r="D327" s="80" t="n">
        <x:v>6165.872259058082</x:v>
      </x:c>
      <x:c r="E327" s="81" t="str">
        <x:v>24:00</x:v>
      </x:c>
      <x:c r="F327" s="80" t="n">
        <x:v>5852.509720617766</x:v>
      </x:c>
    </x:row>
    <x:row r="328">
      <x:c r="A328" s="78"/>
      <x:c r="B328" s="79" t="str">
        <x:v>8:00-12:00</x:v>
      </x:c>
      <x:c r="C328" s="80" t="n">
        <x:v>4810.649333999163</x:v>
      </x:c>
      <x:c r="D328" s="80" t="n">
        <x:v>2236.2439955261093</x:v>
      </x:c>
      <x:c r="E328" s="81"/>
      <x:c r="F328" s="80"/>
    </x:row>
    <x:row r="329">
      <x:c r="A329" s="78"/>
      <x:c r="B329" s="79" t="str">
        <x:v>12:00-16:00</x:v>
      </x:c>
      <x:c r="C329" s="80" t="n">
        <x:v>4601.52557967875</x:v>
      </x:c>
      <x:c r="D329" s="80" t="n">
        <x:v>204.20630229745677</x:v>
      </x:c>
      <x:c r="E329" s="81"/>
      <x:c r="F329" s="80"/>
    </x:row>
    <x:row r="330">
      <x:c r="A330" s="78"/>
      <x:c r="B330" s="79" t="str">
        <x:v>16:00-20:00</x:v>
      </x:c>
      <x:c r="C330" s="80" t="n">
        <x:v>173.29865446178565</x:v>
      </x:c>
      <x:c r="D330" s="80" t="n">
        <x:v>6732.635634803414</x:v>
      </x:c>
      <x:c r="E330" s="81"/>
      <x:c r="F330" s="80"/>
    </x:row>
    <x:row r="331">
      <x:c r="A331" s="98"/>
      <x:c r="B331" s="99" t="str">
        <x:v>20:00-24:00</x:v>
      </x:c>
      <x:c r="C331" s="100" t="n">
        <x:v>5324.481203046232</x:v>
      </x:c>
      <x:c r="D331" s="100" t="n">
        <x:v>952.9626790037421</x:v>
      </x:c>
      <x:c r="E331" s="101"/>
      <x:c r="F331" s="100"/>
    </x:row>
    <x:row r="332">
      <x:c r="A332" s="102" t="n">
        <x:v>45744</x:v>
      </x:c>
      <x:c r="B332" s="103" t="str">
        <x:v>0:00-4:00</x:v>
      </x:c>
      <x:c r="C332" s="104" t="n">
        <x:v>939.0014490885417</x:v>
      </x:c>
      <x:c r="D332" s="104" t="n">
        <x:v>1250.4591936376746</x:v>
      </x:c>
      <x:c r="E332" s="105" t="str">
        <x:v>0:00</x:v>
      </x:c>
      <x:c r="F332" s="104" t="n">
        <x:v>5852.509720617766</x:v>
      </x:c>
    </x:row>
    <x:row r="333">
      <x:c r="A333" s="78"/>
      <x:c r="B333" s="79" t="str">
        <x:v>4:00-8:00</x:v>
      </x:c>
      <x:c r="C333" s="80" t="n">
        <x:v>195.02859602864586</x:v>
      </x:c>
      <x:c r="D333" s="80" t="n">
        <x:v>3801.8837248809864</x:v>
      </x:c>
      <x:c r="E333" s="81" t="str">
        <x:v>24:00</x:v>
      </x:c>
      <x:c r="F333" s="80" t="n">
        <x:v>5944.297604372158</x:v>
      </x:c>
    </x:row>
    <x:row r="334">
      <x:c r="A334" s="78"/>
      <x:c r="B334" s="79" t="str">
        <x:v>8:00-12:00</x:v>
      </x:c>
      <x:c r="C334" s="80" t="n">
        <x:v>10600.64176965154</x:v>
      </x:c>
      <x:c r="D334" s="80" t="n">
        <x:v>0</x:v>
      </x:c>
      <x:c r="E334" s="81"/>
      <x:c r="F334" s="80"/>
    </x:row>
    <x:row r="335">
      <x:c r="A335" s="78"/>
      <x:c r="B335" s="79" t="str">
        <x:v>12:00-16:00</x:v>
      </x:c>
      <x:c r="C335" s="80" t="n">
        <x:v>0</x:v>
      </x:c>
      <x:c r="D335" s="80" t="n">
        <x:v>0</x:v>
      </x:c>
      <x:c r="E335" s="81"/>
      <x:c r="F335" s="80"/>
    </x:row>
    <x:row r="336">
      <x:c r="A336" s="78"/>
      <x:c r="B336" s="79" t="str">
        <x:v>16:00-20:00</x:v>
      </x:c>
      <x:c r="C336" s="80" t="n">
        <x:v>0</x:v>
      </x:c>
      <x:c r="D336" s="80" t="n">
        <x:v>6230.7608833333325</x:v>
      </x:c>
      <x:c r="E336" s="81"/>
      <x:c r="F336" s="80"/>
    </x:row>
    <x:row r="337">
      <x:c r="A337" s="98"/>
      <x:c r="B337" s="99" t="str">
        <x:v>20:00-24:00</x:v>
      </x:c>
      <x:c r="C337" s="100" t="n">
        <x:v>5357.485058812532</x:v>
      </x:c>
      <x:c r="D337" s="100" t="n">
        <x:v>2478.934170369874</x:v>
      </x:c>
      <x:c r="E337" s="101"/>
      <x:c r="F337" s="100"/>
    </x:row>
    <x:row r="338">
      <x:c r="A338" s="102" t="n">
        <x:v>45745</x:v>
      </x:c>
      <x:c r="B338" s="103" t="str">
        <x:v>0:00-4:00</x:v>
      </x:c>
      <x:c r="C338" s="104" t="n">
        <x:v>1301.8079331558522</x:v>
      </x:c>
      <x:c r="D338" s="104" t="n">
        <x:v>943.098257486979</x:v>
      </x:c>
      <x:c r="E338" s="105" t="str">
        <x:v>0:00</x:v>
      </x:c>
      <x:c r="F338" s="104" t="n">
        <x:v>5944.297604372158</x:v>
      </x:c>
    </x:row>
    <x:row r="339">
      <x:c r="A339" s="78"/>
      <x:c r="B339" s="79" t="str">
        <x:v>4:00-8:00</x:v>
      </x:c>
      <x:c r="C339" s="80" t="n">
        <x:v>225.49893754232926</x:v>
      </x:c>
      <x:c r="D339" s="80" t="n">
        <x:v>3881.0507794921878</x:v>
      </x:c>
      <x:c r="E339" s="81" t="str">
        <x:v>24:00</x:v>
      </x:c>
      <x:c r="F339" s="80" t="n">
        <x:v>5998.774828694878</x:v>
      </x:c>
    </x:row>
    <x:row r="340">
      <x:c r="A340" s="78"/>
      <x:c r="B340" s="79" t="str">
        <x:v>8:00-12:00</x:v>
      </x:c>
      <x:c r="C340" s="80" t="n">
        <x:v>9823.657565158885</x:v>
      </x:c>
      <x:c r="D340" s="80" t="n">
        <x:v>0</x:v>
      </x:c>
      <x:c r="E340" s="81"/>
      <x:c r="F340" s="80"/>
    </x:row>
    <x:row r="341">
      <x:c r="A341" s="78"/>
      <x:c r="B341" s="79" t="str">
        <x:v>12:00-16:00</x:v>
      </x:c>
      <x:c r="C341" s="80" t="n">
        <x:v>0</x:v>
      </x:c>
      <x:c r="D341" s="80" t="n">
        <x:v>0</x:v>
      </x:c>
      <x:c r="E341" s="81"/>
      <x:c r="F341" s="80"/>
    </x:row>
    <x:row r="342">
      <x:c r="A342" s="78"/>
      <x:c r="B342" s="79" t="str">
        <x:v>16:00-20:00</x:v>
      </x:c>
      <x:c r="C342" s="80" t="n">
        <x:v>41.780015985227465</x:v>
      </x:c>
      <x:c r="D342" s="80" t="n">
        <x:v>6460.152082835579</x:v>
      </x:c>
      <x:c r="E342" s="81"/>
      <x:c r="F342" s="80"/>
    </x:row>
    <x:row r="343">
      <x:c r="A343" s="98"/>
      <x:c r="B343" s="99" t="str">
        <x:v>20:00-24:00</x:v>
      </x:c>
      <x:c r="C343" s="100" t="n">
        <x:v>6069.958315649755</x:v>
      </x:c>
      <x:c r="D343" s="100" t="n">
        <x:v>2811.4586199633695</x:v>
      </x:c>
      <x:c r="E343" s="101"/>
      <x:c r="F343" s="100"/>
    </x:row>
    <x:row r="344">
      <x:c r="A344" s="102" t="n">
        <x:v>45746</x:v>
      </x:c>
      <x:c r="B344" s="103" t="str">
        <x:v>0:00-4:00</x:v>
      </x:c>
      <x:c r="C344" s="104" t="n">
        <x:v>4621.207841424095</x:v>
      </x:c>
      <x:c r="D344" s="104" t="n">
        <x:v>255.9025342447917</x:v>
      </x:c>
      <x:c r="E344" s="105" t="str">
        <x:v>0:00</x:v>
      </x:c>
      <x:c r="F344" s="104" t="n">
        <x:v>5998.774828694878</x:v>
      </x:c>
    </x:row>
    <x:row r="345">
      <x:c r="A345" s="78"/>
      <x:c r="B345" s="79" t="str">
        <x:v>4:00-8:00</x:v>
      </x:c>
      <x:c r="C345" s="80" t="n">
        <x:v>857.9117084083255</x:v>
      </x:c>
      <x:c r="D345" s="80" t="n">
        <x:v>6668.511910743782</x:v>
      </x:c>
      <x:c r="E345" s="81" t="str">
        <x:v>24:00</x:v>
      </x:c>
      <x:c r="F345" s="80" t="n">
        <x:v>5950.336980219762</x:v>
      </x:c>
    </x:row>
    <x:row r="346">
      <x:c r="A346" s="78"/>
      <x:c r="B346" s="79" t="str">
        <x:v>8:00-12:00</x:v>
      </x:c>
      <x:c r="C346" s="80" t="n">
        <x:v>4725.9347745018695</x:v>
      </x:c>
      <x:c r="D346" s="80" t="n">
        <x:v>1832.5697362010783</x:v>
      </x:c>
      <x:c r="E346" s="81"/>
      <x:c r="F346" s="80"/>
    </x:row>
    <x:row r="347">
      <x:c r="A347" s="78"/>
      <x:c r="B347" s="79" t="str">
        <x:v>12:00-16:00</x:v>
      </x:c>
      <x:c r="C347" s="80" t="n">
        <x:v>5056.353223397316</x:v>
      </x:c>
      <x:c r="D347" s="80" t="n">
        <x:v>264.26770838724406</x:v>
      </x:c>
      <x:c r="E347" s="81"/>
      <x:c r="F347" s="80"/>
    </x:row>
    <x:row r="348">
      <x:c r="A348" s="78"/>
      <x:c r="B348" s="79" t="str">
        <x:v>16:00-20:00</x:v>
      </x:c>
      <x:c r="C348" s="80" t="n">
        <x:v>391.92798695265634</x:v>
      </x:c>
      <x:c r="D348" s="80" t="n">
        <x:v>5827.7944543546055</x:v>
      </x:c>
      <x:c r="E348" s="81"/>
      <x:c r="F348" s="80"/>
    </x:row>
    <x:row r="349">
      <x:c r="A349" s="98"/>
      <x:c r="B349" s="99" t="str">
        <x:v>20:00-24:00</x:v>
      </x:c>
      <x:c r="C349" s="100" t="n">
        <x:v>5378.389724823013</x:v>
      </x:c>
      <x:c r="D349" s="100" t="n">
        <x:v>2230.245179896993</x:v>
      </x:c>
      <x:c r="E349" s="101"/>
      <x:c r="F349" s="100"/>
    </x:row>
    <x:row r="350">
      <x:c r="A350" s="102" t="n">
        <x:v>45747</x:v>
      </x:c>
      <x:c r="B350" s="103" t="str">
        <x:v>0:00-4:00</x:v>
      </x:c>
      <x:c r="C350" s="104" t="n">
        <x:v>4588.958727034465</x:v>
      </x:c>
      <x:c r="D350" s="104" t="n">
        <x:v>170.22266959635454</x:v>
      </x:c>
      <x:c r="E350" s="105" t="str">
        <x:v>0:00</x:v>
      </x:c>
      <x:c r="F350" s="104" t="n">
        <x:v>5950.336980219762</x:v>
      </x:c>
    </x:row>
    <x:row r="351">
      <x:c r="A351" s="78"/>
      <x:c r="B351" s="79" t="str">
        <x:v>4:00-8:00</x:v>
      </x:c>
      <x:c r="C351" s="80" t="n">
        <x:v>865.9598877406924</x:v>
      </x:c>
      <x:c r="D351" s="80" t="n">
        <x:v>6350.337722403579</x:v>
      </x:c>
      <x:c r="E351" s="81" t="str">
        <x:v>24:00</x:v>
      </x:c>
      <x:c r="F351" s="80" t="n">
        <x:v>6050.927762459058</x:v>
      </x:c>
    </x:row>
    <x:row r="352">
      <x:c r="A352" s="78"/>
      <x:c r="B352" s="79" t="str">
        <x:v>8:00-12:00</x:v>
      </x:c>
      <x:c r="C352" s="80" t="n">
        <x:v>4012.686087132568</x:v>
      </x:c>
      <x:c r="D352" s="80" t="n">
        <x:v>1297.139983333333</x:v>
      </x:c>
      <x:c r="E352" s="81"/>
      <x:c r="F352" s="80"/>
    </x:row>
    <x:row r="353">
      <x:c r="A353" s="78"/>
      <x:c r="B353" s="79" t="str">
        <x:v>12:00-16:00</x:v>
      </x:c>
      <x:c r="C353" s="80" t="n">
        <x:v>3759.366037214916</x:v>
      </x:c>
      <x:c r="D353" s="80" t="n">
        <x:v>772.043795625184</x:v>
      </x:c>
      <x:c r="E353" s="81"/>
      <x:c r="F353" s="80"/>
    </x:row>
    <x:row r="354">
      <x:c r="A354" s="78"/>
      <x:c r="B354" s="79" t="str">
        <x:v>16:00-20:00</x:v>
      </x:c>
      <x:c r="C354" s="80" t="n">
        <x:v>45.3546654343379</x:v>
      </x:c>
      <x:c r="D354" s="80" t="n">
        <x:v>6436.142688930493</x:v>
      </x:c>
      <x:c r="E354" s="81"/>
      <x:c r="F354" s="80"/>
    </x:row>
    <x:row r="355">
      <x:c r="A355" s="98"/>
      <x:c r="B355" s="99" t="str">
        <x:v>20:00-24:00</x:v>
      </x:c>
      <x:c r="C355" s="100" t="n">
        <x:v>5424.493105349312</x:v>
      </x:c>
      <x:c r="D355" s="100" t="n">
        <x:v>28.004429119791826</x:v>
      </x:c>
      <x:c r="E355" s="101"/>
      <x:c r="F355" s="100"/>
    </x:row>
    <x:row r="356">
      <x:c r="A356" s="102" t="n">
        <x:v>45748</x:v>
      </x:c>
      <x:c r="B356" s="103" t="str">
        <x:v>0:00-4:00</x:v>
      </x:c>
      <x:c r="C356" s="104" t="n">
        <x:v>3580.9615179057346</x:v>
      </x:c>
      <x:c r="D356" s="104" t="n">
        <x:v>335.3475697916665</x:v>
      </x:c>
      <x:c r="E356" s="105" t="str">
        <x:v>0:00</x:v>
      </x:c>
      <x:c r="F356" s="104" t="n">
        <x:v>6050.927762459058</x:v>
      </x:c>
    </x:row>
    <x:row r="357">
      <x:c r="A357" s="78"/>
      <x:c r="B357" s="79" t="str">
        <x:v>4:00-8:00</x:v>
      </x:c>
      <x:c r="C357" s="80" t="n">
        <x:v>1593.2690635370463</x:v>
      </x:c>
      <x:c r="D357" s="80" t="n">
        <x:v>6395.42689580513</x:v>
      </x:c>
      <x:c r="E357" s="81" t="str">
        <x:v>24:00</x:v>
      </x:c>
      <x:c r="F357" s="80" t="n">
        <x:v>6031.896143077257</x:v>
      </x:c>
    </x:row>
    <x:row r="358">
      <x:c r="A358" s="78"/>
      <x:c r="B358" s="79" t="str">
        <x:v>8:00-12:00</x:v>
      </x:c>
      <x:c r="C358" s="80" t="n">
        <x:v>2649.165170184354</x:v>
      </x:c>
      <x:c r="D358" s="80" t="n">
        <x:v>1632.0572833333335</x:v>
      </x:c>
      <x:c r="E358" s="81"/>
      <x:c r="F358" s="80"/>
    </x:row>
    <x:row r="359">
      <x:c r="A359" s="78"/>
      <x:c r="B359" s="79" t="str">
        <x:v>12:00-16:00</x:v>
      </x:c>
      <x:c r="C359" s="80" t="n">
        <x:v>3182.4753431485296</x:v>
      </x:c>
      <x:c r="D359" s="80" t="n">
        <x:v>359.9393132524772</x:v>
      </x:c>
      <x:c r="E359" s="81"/>
      <x:c r="F359" s="80"/>
    </x:row>
    <x:row r="360">
      <x:c r="A360" s="78"/>
      <x:c r="B360" s="79" t="str">
        <x:v>16:00-20:00</x:v>
      </x:c>
      <x:c r="C360" s="80" t="n">
        <x:v>97.17592471032685</x:v>
      </x:c>
      <x:c r="D360" s="80" t="n">
        <x:v>4607.707998974352</x:v>
      </x:c>
      <x:c r="E360" s="81"/>
      <x:c r="F360" s="80"/>
    </x:row>
    <x:row r="361">
      <x:c r="A361" s="98"/>
      <x:c r="B361" s="99" t="str">
        <x:v>20:00-24:00</x:v>
      </x:c>
      <x:c r="C361" s="100" t="n">
        <x:v>5403.988185159465</x:v>
      </x:c>
      <x:c r="D361" s="100" t="n">
        <x:v>57.347912049478694</x:v>
      </x:c>
      <x:c r="E361" s="101"/>
      <x:c r="F361" s="100"/>
    </x:row>
    <x:row r="362">
      <x:c r="A362" s="102" t="n">
        <x:v>45749</x:v>
      </x:c>
      <x:c r="B362" s="103" t="str">
        <x:v>0:00-4:00</x:v>
      </x:c>
      <x:c r="C362" s="104" t="n">
        <x:v>4492.017415960165</x:v>
      </x:c>
      <x:c r="D362" s="104" t="n">
        <x:v>152.12233880208328</x:v>
      </x:c>
      <x:c r="E362" s="105" t="str">
        <x:v>0:00</x:v>
      </x:c>
      <x:c r="F362" s="104" t="n">
        <x:v>6031.896143077257</x:v>
      </x:c>
    </x:row>
    <x:row r="363">
      <x:c r="A363" s="78"/>
      <x:c r="B363" s="79" t="str">
        <x:v>4:00-8:00</x:v>
      </x:c>
      <x:c r="C363" s="80" t="n">
        <x:v>798.9221110952949</x:v>
      </x:c>
      <x:c r="D363" s="80" t="n">
        <x:v>7473.850404221111</x:v>
      </x:c>
      <x:c r="E363" s="81" t="str">
        <x:v>24:00</x:v>
      </x:c>
      <x:c r="F363" s="80" t="n">
        <x:v>6025.4782367447915</x:v>
      </x:c>
    </x:row>
    <x:row r="364">
      <x:c r="A364" s="78"/>
      <x:c r="B364" s="79" t="str">
        <x:v>8:00-12:00</x:v>
      </x:c>
      <x:c r="C364" s="80" t="n">
        <x:v>3225.2032440457806</x:v>
      </x:c>
      <x:c r="D364" s="80" t="n">
        <x:v>1008.3948026612578</x:v>
      </x:c>
      <x:c r="E364" s="81"/>
      <x:c r="F364" s="80"/>
    </x:row>
    <x:row r="365">
      <x:c r="A365" s="78"/>
      <x:c r="B365" s="79" t="str">
        <x:v>12:00-16:00</x:v>
      </x:c>
      <x:c r="C365" s="80" t="n">
        <x:v>4730.065268983223</x:v>
      </x:c>
      <x:c r="D365" s="80" t="n">
        <x:v>0</x:v>
      </x:c>
      <x:c r="E365" s="81"/>
      <x:c r="F365" s="80"/>
    </x:row>
    <x:row r="366">
      <x:c r="A366" s="78"/>
      <x:c r="B366" s="79" t="str">
        <x:v>16:00-20:00</x:v>
      </x:c>
      <x:c r="C366" s="80" t="n">
        <x:v>481.8970918601923</x:v>
      </x:c>
      <x:c r="D366" s="80" t="n">
        <x:v>6530.262807904365</x:v>
      </x:c>
      <x:c r="E366" s="81"/>
      <x:c r="F366" s="80"/>
    </x:row>
    <x:row r="367">
      <x:c r="A367" s="98"/>
      <x:c r="B367" s="99" t="str">
        <x:v>20:00-24:00</x:v>
      </x:c>
      <x:c r="C367" s="100" t="n">
        <x:v>5378.870923768647</x:v>
      </x:c>
      <x:c r="D367" s="100" t="n">
        <x:v>317.7963672381745</x:v>
      </x:c>
      <x:c r="E367" s="101"/>
      <x:c r="F367" s="100"/>
    </x:row>
    <x:row r="368">
      <x:c r="A368" s="102" t="n">
        <x:v>45750</x:v>
      </x:c>
      <x:c r="B368" s="103" t="str">
        <x:v>0:00-4:00</x:v>
      </x:c>
      <x:c r="C368" s="104" t="n">
        <x:v>3650.8804919415506</x:v>
      </x:c>
      <x:c r="D368" s="104" t="n">
        <x:v>166.2044695312502</x:v>
      </x:c>
      <x:c r="E368" s="105" t="str">
        <x:v>0:00</x:v>
      </x:c>
      <x:c r="F368" s="104" t="n">
        <x:v>6025.4782367447915</x:v>
      </x:c>
    </x:row>
    <x:row r="369">
      <x:c r="A369" s="78"/>
      <x:c r="B369" s="79" t="str">
        <x:v>4:00-8:00</x:v>
      </x:c>
      <x:c r="C369" s="80" t="n">
        <x:v>1660.4560880852719</x:v>
      </x:c>
      <x:c r="D369" s="80" t="n">
        <x:v>6709.3180420871595</x:v>
      </x:c>
      <x:c r="E369" s="81" t="str">
        <x:v>24:00</x:v>
      </x:c>
      <x:c r="F369" s="80" t="n">
        <x:v>5889.636757942937</x:v>
      </x:c>
    </x:row>
    <x:row r="370">
      <x:c r="A370" s="78"/>
      <x:c r="B370" s="79" t="str">
        <x:v>8:00-12:00</x:v>
      </x:c>
      <x:c r="C370" s="80" t="n">
        <x:v>5776.505666666665</x:v>
      </x:c>
      <x:c r="D370" s="80" t="n">
        <x:v>1769.5905312736247</x:v>
      </x:c>
      <x:c r="E370" s="81"/>
      <x:c r="F370" s="80"/>
    </x:row>
    <x:row r="371">
      <x:c r="A371" s="78"/>
      <x:c r="B371" s="79" t="str">
        <x:v>12:00-16:00</x:v>
      </x:c>
      <x:c r="C371" s="80" t="n">
        <x:v>4941.137451147841</x:v>
      </x:c>
      <x:c r="D371" s="80" t="n">
        <x:v>181.14546402528754</x:v>
      </x:c>
      <x:c r="E371" s="81"/>
      <x:c r="F371" s="80"/>
    </x:row>
    <x:row r="372">
      <x:c r="A372" s="78"/>
      <x:c r="B372" s="79" t="str">
        <x:v>16:00-20:00</x:v>
      </x:c>
      <x:c r="C372" s="80" t="n">
        <x:v>66.97220984452531</x:v>
      </x:c>
      <x:c r="D372" s="80" t="n">
        <x:v>6628.0854214395185</x:v>
      </x:c>
      <x:c r="E372" s="81"/>
      <x:c r="F372" s="80"/>
    </x:row>
    <x:row r="373">
      <x:c r="A373" s="98"/>
      <x:c r="B373" s="99" t="str">
        <x:v>20:00-24:00</x:v>
      </x:c>
      <x:c r="C373" s="100" t="n">
        <x:v>5312.444660733025</x:v>
      </x:c>
      <x:c r="D373" s="100" t="n">
        <x:v>2008.7146229841173</x:v>
      </x:c>
      <x:c r="E373" s="101"/>
      <x:c r="F373" s="100"/>
    </x:row>
    <x:row r="374">
      <x:c r="A374" s="102" t="n">
        <x:v>45751</x:v>
      </x:c>
      <x:c r="B374" s="103" t="str">
        <x:v>0:00-4:00</x:v>
      </x:c>
      <x:c r="C374" s="104" t="n">
        <x:v>231.57158502604153</x:v>
      </x:c>
      <x:c r="D374" s="104" t="n">
        <x:v>1129.46241325952</x:v>
      </x:c>
      <x:c r="E374" s="105" t="str">
        <x:v>0:00</x:v>
      </x:c>
      <x:c r="F374" s="104" t="n">
        <x:v>5889.636757942937</x:v>
      </x:c>
    </x:row>
    <x:row r="375">
      <x:c r="A375" s="78"/>
      <x:c r="B375" s="79" t="str">
        <x:v>4:00-8:00</x:v>
      </x:c>
      <x:c r="C375" s="80" t="n">
        <x:v>1068.4254855468748</x:v>
      </x:c>
      <x:c r="D375" s="80" t="n">
        <x:v>3849.0934078776045</x:v>
      </x:c>
      <x:c r="E375" s="81" t="str">
        <x:v>24:00</x:v>
      </x:c>
      <x:c r="F375" s="80" t="n">
        <x:v>6161.980046697548</x:v>
      </x:c>
    </x:row>
    <x:row r="376">
      <x:c r="A376" s="78"/>
      <x:c r="B376" s="79" t="str">
        <x:v>8:00-12:00</x:v>
      </x:c>
      <x:c r="C376" s="80" t="n">
        <x:v>10302.32729854866</x:v>
      </x:c>
      <x:c r="D376" s="80" t="n">
        <x:v>0</x:v>
      </x:c>
      <x:c r="E376" s="81"/>
      <x:c r="F376" s="80"/>
    </x:row>
    <x:row r="377">
      <x:c r="A377" s="78"/>
      <x:c r="B377" s="79" t="str">
        <x:v>12:00-16:00</x:v>
      </x:c>
      <x:c r="C377" s="80" t="n">
        <x:v>0</x:v>
      </x:c>
      <x:c r="D377" s="80" t="n">
        <x:v>0</x:v>
      </x:c>
      <x:c r="E377" s="81"/>
      <x:c r="F377" s="80"/>
    </x:row>
    <x:row r="378">
      <x:c r="A378" s="78"/>
      <x:c r="B378" s="79" t="str">
        <x:v>16:00-20:00</x:v>
      </x:c>
      <x:c r="C378" s="80" t="n">
        <x:v>0</x:v>
      </x:c>
      <x:c r="D378" s="80" t="n">
        <x:v>6110.555833333333</x:v>
      </x:c>
      <x:c r="E378" s="81"/>
      <x:c r="F378" s="80"/>
    </x:row>
    <x:row r="379">
      <x:c r="A379" s="98"/>
      <x:c r="B379" s="99" t="str">
        <x:v>20:00-24:00</x:v>
      </x:c>
      <x:c r="C379" s="100" t="n">
        <x:v>5404.061004383037</x:v>
      </x:c>
      <x:c r="D379" s="100" t="n">
        <x:v>2440.951538189134</x:v>
      </x:c>
      <x:c r="E379" s="101"/>
      <x:c r="F379" s="100"/>
    </x:row>
    <x:row r="380">
      <x:c r="A380" s="102" t="n">
        <x:v>45752</x:v>
      </x:c>
      <x:c r="B380" s="103" t="str">
        <x:v>0:00-4:00</x:v>
      </x:c>
      <x:c r="C380" s="104" t="n">
        <x:v>57.14653684895836</x:v>
      </x:c>
      <x:c r="D380" s="104" t="n">
        <x:v>1804.8061715941035</x:v>
      </x:c>
      <x:c r="E380" s="105" t="str">
        <x:v>0:00</x:v>
      </x:c>
      <x:c r="F380" s="104" t="n">
        <x:v>6161.980046697548</x:v>
      </x:c>
    </x:row>
    <x:row r="381">
      <x:c r="A381" s="78"/>
      <x:c r="B381" s="79" t="str">
        <x:v>4:00-8:00</x:v>
      </x:c>
      <x:c r="C381" s="80" t="n">
        <x:v>301.7364847656249</x:v>
      </x:c>
      <x:c r="D381" s="80" t="n">
        <x:v>2712.4215799415015</x:v>
      </x:c>
      <x:c r="E381" s="81" t="str">
        <x:v>24:00</x:v>
      </x:c>
      <x:c r="F381" s="80" t="n">
        <x:v>5872.130191061197</x:v>
      </x:c>
    </x:row>
    <x:row r="382">
      <x:c r="A382" s="78"/>
      <x:c r="B382" s="79" t="str">
        <x:v>8:00-12:00</x:v>
      </x:c>
      <x:c r="C382" s="80" t="n">
        <x:v>10371.296866666667</x:v>
      </x:c>
      <x:c r="D382" s="80" t="n">
        <x:v>0</x:v>
      </x:c>
      <x:c r="E382" s="81"/>
      <x:c r="F382" s="80"/>
    </x:row>
    <x:row r="383">
      <x:c r="A383" s="78"/>
      <x:c r="B383" s="79" t="str">
        <x:v>12:00-16:00</x:v>
      </x:c>
      <x:c r="C383" s="80" t="n">
        <x:v>0</x:v>
      </x:c>
      <x:c r="D383" s="80" t="n">
        <x:v>0</x:v>
      </x:c>
      <x:c r="E383" s="81"/>
      <x:c r="F383" s="80"/>
    </x:row>
    <x:row r="384">
      <x:c r="A384" s="78"/>
      <x:c r="B384" s="79" t="str">
        <x:v>16:00-20:00</x:v>
      </x:c>
      <x:c r="C384" s="80" t="n">
        <x:v>11.0046650073363</x:v>
      </x:c>
      <x:c r="D384" s="80" t="n">
        <x:v>6360.09775195484</x:v>
      </x:c>
      <x:c r="E384" s="81"/>
      <x:c r="F384" s="80"/>
    </x:row>
    <x:row r="385">
      <x:c r="A385" s="98"/>
      <x:c r="B385" s="99" t="str">
        <x:v>20:00-24:00</x:v>
      </x:c>
      <x:c r="C385" s="100" t="n">
        <x:v>5276.589501830954</x:v>
      </x:c>
      <x:c r="D385" s="100" t="n">
        <x:v>2357.936351229096</x:v>
      </x:c>
      <x:c r="E385" s="101"/>
      <x:c r="F385" s="100"/>
    </x:row>
    <x:row r="386">
      <x:c r="A386" s="102" t="n">
        <x:v>45753</x:v>
      </x:c>
      <x:c r="B386" s="103" t="str">
        <x:v>0:00-4:00</x:v>
      </x:c>
      <x:c r="C386" s="104" t="n">
        <x:v>3777.6887865162034</x:v>
      </x:c>
      <x:c r="D386" s="104" t="n">
        <x:v>480.9819827473956</x:v>
      </x:c>
      <x:c r="E386" s="105" t="str">
        <x:v>0:00</x:v>
      </x:c>
      <x:c r="F386" s="104" t="n">
        <x:v>5872.130191061197</x:v>
      </x:c>
    </x:row>
    <x:row r="387">
      <x:c r="A387" s="78"/>
      <x:c r="B387" s="79" t="str">
        <x:v>4:00-8:00</x:v>
      </x:c>
      <x:c r="C387" s="80" t="n">
        <x:v>1636.2073034644823</x:v>
      </x:c>
      <x:c r="D387" s="80" t="n">
        <x:v>7305.030272721355</x:v>
      </x:c>
      <x:c r="E387" s="81" t="str">
        <x:v>24:00</x:v>
      </x:c>
      <x:c r="F387" s="80" t="n">
        <x:v>5898.809822685185</x:v>
      </x:c>
    </x:row>
    <x:row r="388">
      <x:c r="A388" s="78"/>
      <x:c r="B388" s="79" t="str">
        <x:v>8:00-12:00</x:v>
      </x:c>
      <x:c r="C388" s="80" t="n">
        <x:v>3696.6868271015237</x:v>
      </x:c>
      <x:c r="D388" s="80" t="n">
        <x:v>804.1607493706825</x:v>
      </x:c>
      <x:c r="E388" s="81"/>
      <x:c r="F388" s="80"/>
    </x:row>
    <x:row r="389">
      <x:c r="A389" s="78"/>
      <x:c r="B389" s="79" t="str">
        <x:v>12:00-16:00</x:v>
      </x:c>
      <x:c r="C389" s="80" t="n">
        <x:v>5028.002045422879</x:v>
      </x:c>
      <x:c r="D389" s="80" t="n">
        <x:v>424.8838864736955</x:v>
      </x:c>
      <x:c r="E389" s="81"/>
      <x:c r="F389" s="80"/>
    </x:row>
    <x:row r="390">
      <x:c r="A390" s="78"/>
      <x:c r="B390" s="79" t="str">
        <x:v>16:00-20:00</x:v>
      </x:c>
      <x:c r="C390" s="80" t="n">
        <x:v>139.59757548607342</x:v>
      </x:c>
      <x:c r="D390" s="80" t="n">
        <x:v>6755.18813641479</x:v>
      </x:c>
      <x:c r="E390" s="81"/>
      <x:c r="F390" s="80"/>
    </x:row>
    <x:row r="391">
      <x:c r="A391" s="98"/>
      <x:c r="B391" s="99" t="str">
        <x:v>20:00-24:00</x:v>
      </x:c>
      <x:c r="C391" s="100" t="n">
        <x:v>5248.8296239663705</x:v>
      </x:c>
      <x:c r="D391" s="100" t="n">
        <x:v>22.62315499609374</x:v>
      </x:c>
      <x:c r="E391" s="101"/>
      <x:c r="F391" s="100"/>
    </x:row>
    <x:row r="392">
      <x:c r="A392" s="102" t="n">
        <x:v>45754</x:v>
      </x:c>
      <x:c r="B392" s="103" t="str">
        <x:v>0:00-4:00</x:v>
      </x:c>
      <x:c r="C392" s="104" t="n">
        <x:v>3796.9676152456273</x:v>
      </x:c>
      <x:c r="D392" s="104" t="n">
        <x:v>129.59711132812504</x:v>
      </x:c>
      <x:c r="E392" s="105" t="str">
        <x:v>0:00</x:v>
      </x:c>
      <x:c r="F392" s="104" t="n">
        <x:v>5898.809822685185</x:v>
      </x:c>
    </x:row>
    <x:row r="393">
      <x:c r="A393" s="78"/>
      <x:c r="B393" s="79" t="str">
        <x:v>4:00-8:00</x:v>
      </x:c>
      <x:c r="C393" s="80" t="n">
        <x:v>1679.2040972416307</x:v>
      </x:c>
      <x:c r="D393" s="80" t="n">
        <x:v>6160.227878082323</x:v>
      </x:c>
      <x:c r="E393" s="81" t="str">
        <x:v>24:00</x:v>
      </x:c>
      <x:c r="F393" s="80" t="n">
        <x:v>6000.957585756768</x:v>
      </x:c>
    </x:row>
    <x:row r="394">
      <x:c r="A394" s="78"/>
      <x:c r="B394" s="79" t="str">
        <x:v>8:00-12:00</x:v>
      </x:c>
      <x:c r="C394" s="80" t="n">
        <x:v>6044.171269308268</x:v>
      </x:c>
      <x:c r="D394" s="80" t="n">
        <x:v>1375.9573333333335</x:v>
      </x:c>
      <x:c r="E394" s="81"/>
      <x:c r="F394" s="80"/>
    </x:row>
    <x:row r="395">
      <x:c r="A395" s="78"/>
      <x:c r="B395" s="79" t="str">
        <x:v>12:00-16:00</x:v>
      </x:c>
      <x:c r="C395" s="80" t="n">
        <x:v>3464.8777680215767</x:v>
      </x:c>
      <x:c r="D395" s="80" t="n">
        <x:v>163.50037988370076</x:v>
      </x:c>
      <x:c r="E395" s="81"/>
      <x:c r="F395" s="80"/>
    </x:row>
    <x:row r="396">
      <x:c r="A396" s="78"/>
      <x:c r="B396" s="79" t="str">
        <x:v>16:00-20:00</x:v>
      </x:c>
      <x:c r="C396" s="80" t="n">
        <x:v>162.94163902822694</x:v>
      </x:c>
      <x:c r="D396" s="80" t="n">
        <x:v>6456.049926944463</x:v>
      </x:c>
      <x:c r="E396" s="81"/>
      <x:c r="F396" s="80"/>
    </x:row>
    <x:row r="397">
      <x:c r="A397" s="98"/>
      <x:c r="B397" s="99" t="str">
        <x:v>20:00-24:00</x:v>
      </x:c>
      <x:c r="C397" s="100" t="n">
        <x:v>5357.545508708687</x:v>
      </x:c>
      <x:c r="D397" s="100" t="n">
        <x:v>2232.357780682388</x:v>
      </x:c>
      <x:c r="E397" s="101"/>
      <x:c r="F397" s="100"/>
    </x:row>
    <x:row r="398">
      <x:c r="A398" s="102" t="n">
        <x:v>45755</x:v>
      </x:c>
      <x:c r="B398" s="103" t="str">
        <x:v>0:00-4:00</x:v>
      </x:c>
      <x:c r="C398" s="104" t="n">
        <x:v>3429.909355533854</x:v>
      </x:c>
      <x:c r="D398" s="104" t="n">
        <x:v>93.3683812500002</x:v>
      </x:c>
      <x:c r="E398" s="105" t="str">
        <x:v>0:00</x:v>
      </x:c>
      <x:c r="F398" s="104" t="n">
        <x:v>6000.957585756768</x:v>
      </x:c>
    </x:row>
    <x:row r="399">
      <x:c r="A399" s="78"/>
      <x:c r="B399" s="79" t="str">
        <x:v>4:00-8:00</x:v>
      </x:c>
      <x:c r="C399" s="80" t="n">
        <x:v>2003.8503760115482</x:v>
      </x:c>
      <x:c r="D399" s="80" t="n">
        <x:v>6526.292463646358</x:v>
      </x:c>
      <x:c r="E399" s="81" t="str">
        <x:v>24:00</x:v>
      </x:c>
      <x:c r="F399" s="80" t="n">
        <x:v>5908.930238564526</x:v>
      </x:c>
    </x:row>
    <x:row r="400">
      <x:c r="A400" s="78"/>
      <x:c r="B400" s="79" t="str">
        <x:v>8:00-12:00</x:v>
      </x:c>
      <x:c r="C400" s="80" t="n">
        <x:v>4330.638152502155</x:v>
      </x:c>
      <x:c r="D400" s="80" t="n">
        <x:v>2102.546364836512</x:v>
      </x:c>
      <x:c r="E400" s="81"/>
      <x:c r="F400" s="80"/>
    </x:row>
    <x:row r="401">
      <x:c r="A401" s="78"/>
      <x:c r="B401" s="79" t="str">
        <x:v>12:00-16:00</x:v>
      </x:c>
      <x:c r="C401" s="80" t="n">
        <x:v>6198.393816135738</x:v>
      </x:c>
      <x:c r="D401" s="80" t="n">
        <x:v>71.66779132786333</x:v>
      </x:c>
      <x:c r="E401" s="81"/>
      <x:c r="F401" s="80"/>
    </x:row>
    <x:row r="402">
      <x:c r="A402" s="78"/>
      <x:c r="B402" s="79" t="str">
        <x:v>16:00-20:00</x:v>
      </x:c>
      <x:c r="C402" s="80" t="n">
        <x:v>1.7085880643134033</x:v>
      </x:c>
      <x:c r="D402" s="80" t="n">
        <x:v>6184.769392827867</x:v>
      </x:c>
      <x:c r="E402" s="81"/>
      <x:c r="F402" s="80"/>
    </x:row>
    <x:row r="403">
      <x:c r="A403" s="98"/>
      <x:c r="B403" s="99" t="str">
        <x:v>20:00-24:00</x:v>
      </x:c>
      <x:c r="C403" s="100" t="n">
        <x:v>5323.1403656214625</x:v>
      </x:c>
      <x:c r="D403" s="100" t="n">
        <x:v>2347.169148218369</x:v>
      </x:c>
      <x:c r="E403" s="101"/>
      <x:c r="F403" s="100"/>
    </x:row>
    <x:row r="404">
      <x:c r="A404" s="102" t="n">
        <x:v>45756</x:v>
      </x:c>
      <x:c r="B404" s="103" t="str">
        <x:v>0:00-4:00</x:v>
      </x:c>
      <x:c r="C404" s="104" t="n">
        <x:v>3825.0251009005265</x:v>
      </x:c>
      <x:c r="D404" s="104" t="n">
        <x:v>153.15937024739583</x:v>
      </x:c>
      <x:c r="E404" s="105" t="str">
        <x:v>0:00</x:v>
      </x:c>
      <x:c r="F404" s="104" t="n">
        <x:v>5908.930238564526</x:v>
      </x:c>
    </x:row>
    <x:row r="405">
      <x:c r="A405" s="78"/>
      <x:c r="B405" s="79" t="str">
        <x:v>4:00-8:00</x:v>
      </x:c>
      <x:c r="C405" s="80" t="n">
        <x:v>1700.7817243140498</x:v>
      </x:c>
      <x:c r="D405" s="80" t="n">
        <x:v>7245.774657682292</x:v>
      </x:c>
      <x:c r="E405" s="81" t="str">
        <x:v>24:00</x:v>
      </x:c>
      <x:c r="F405" s="80" t="n">
        <x:v>5917.2928712912335</x:v>
      </x:c>
    </x:row>
    <x:row r="406">
      <x:c r="A406" s="78"/>
      <x:c r="B406" s="79" t="str">
        <x:v>8:00-12:00</x:v>
      </x:c>
      <x:c r="C406" s="80" t="n">
        <x:v>2655.7788912693522</x:v>
      </x:c>
      <x:c r="D406" s="80" t="n">
        <x:v>1315.0067152021943</x:v>
      </x:c>
      <x:c r="E406" s="81"/>
      <x:c r="F406" s="80"/>
    </x:row>
    <x:row r="407">
      <x:c r="A407" s="78"/>
      <x:c r="B407" s="79" t="str">
        <x:v>12:00-16:00</x:v>
      </x:c>
      <x:c r="C407" s="80" t="n">
        <x:v>3704.197024496839</x:v>
      </x:c>
      <x:c r="D407" s="80" t="n">
        <x:v>875.9773858263302</x:v>
      </x:c>
      <x:c r="E407" s="81"/>
      <x:c r="F407" s="80"/>
    </x:row>
    <x:row r="408">
      <x:c r="A408" s="78"/>
      <x:c r="B408" s="79" t="str">
        <x:v>16:00-20:00</x:v>
      </x:c>
      <x:c r="C408" s="80" t="n">
        <x:v>276.74158954469135</x:v>
      </x:c>
      <x:c r="D408" s="80" t="n">
        <x:v>4499.763793475484</x:v>
      </x:c>
      <x:c r="E408" s="81"/>
      <x:c r="F408" s="80"/>
    </x:row>
    <x:row r="409">
      <x:c r="A409" s="98"/>
      <x:c r="B409" s="99" t="str">
        <x:v>20:00-24:00</x:v>
      </x:c>
      <x:c r="C409" s="100" t="n">
        <x:v>5312.211067959908</x:v>
      </x:c>
      <x:c r="D409" s="100" t="n">
        <x:v>57.327380885416574</x:v>
      </x:c>
      <x:c r="E409" s="101"/>
      <x:c r="F409" s="100"/>
    </x:row>
    <x:row r="410">
      <x:c r="A410" s="102" t="n">
        <x:v>45757</x:v>
      </x:c>
      <x:c r="B410" s="103" t="str">
        <x:v>0:00-4:00</x:v>
      </x:c>
      <x:c r="C410" s="104" t="n">
        <x:v>4614.435200431616</x:v>
      </x:c>
      <x:c r="D410" s="104" t="n">
        <x:v>126.41986354166647</x:v>
      </x:c>
      <x:c r="E410" s="105" t="str">
        <x:v>0:00</x:v>
      </x:c>
      <x:c r="F410" s="104" t="n">
        <x:v>5917.2928712912335</x:v>
      </x:c>
    </x:row>
    <x:row r="411">
      <x:c r="A411" s="78"/>
      <x:c r="B411" s="79" t="str">
        <x:v>4:00-8:00</x:v>
      </x:c>
      <x:c r="C411" s="80" t="n">
        <x:v>851.5769673177083</x:v>
      </x:c>
      <x:c r="D411" s="80" t="n">
        <x:v>6588.780950957465</x:v>
      </x:c>
      <x:c r="E411" s="81" t="str">
        <x:v>24:00</x:v>
      </x:c>
      <x:c r="F411" s="80" t="n">
        <x:v>6035.769089348958</x:v>
      </x:c>
    </x:row>
    <x:row r="412">
      <x:c r="A412" s="78"/>
      <x:c r="B412" s="79" t="str">
        <x:v>8:00-12:00</x:v>
      </x:c>
      <x:c r="C412" s="80" t="n">
        <x:v>4151.795566666666</x:v>
      </x:c>
      <x:c r="D412" s="80" t="n">
        <x:v>1957.8326255399334</x:v>
      </x:c>
      <x:c r="E412" s="81"/>
      <x:c r="F412" s="80"/>
    </x:row>
    <x:row r="413">
      <x:c r="A413" s="78"/>
      <x:c r="B413" s="79" t="str">
        <x:v>12:00-16:00</x:v>
      </x:c>
      <x:c r="C413" s="80" t="n">
        <x:v>5755.0726462057555</x:v>
      </x:c>
      <x:c r="D413" s="80" t="n">
        <x:v>165.38007035020706</x:v>
      </x:c>
      <x:c r="E413" s="81"/>
      <x:c r="F413" s="80"/>
    </x:row>
    <x:row r="414">
      <x:c r="A414" s="78"/>
      <x:c r="B414" s="79" t="str">
        <x:v>16:00-20:00</x:v>
      </x:c>
      <x:c r="C414" s="80" t="n">
        <x:v>56.72308211644065</x:v>
      </x:c>
      <x:c r="D414" s="80" t="n">
        <x:v>6813.167695550853</x:v>
      </x:c>
      <x:c r="E414" s="81"/>
      <x:c r="F414" s="80"/>
    </x:row>
    <x:row r="415">
      <x:c r="A415" s="98"/>
      <x:c r="B415" s="99" t="str">
        <x:v>20:00-24:00</x:v>
      </x:c>
      <x:c r="C415" s="100" t="n">
        <x:v>5396.392252920846</x:v>
      </x:c>
      <x:c r="D415" s="100" t="n">
        <x:v>1110.8467274917446</x:v>
      </x:c>
      <x:c r="E415" s="101"/>
      <x:c r="F415" s="100"/>
    </x:row>
    <x:row r="416">
      <x:c r="A416" s="102" t="n">
        <x:v>45758</x:v>
      </x:c>
      <x:c r="B416" s="103" t="str">
        <x:v>0:00-4:00</x:v>
      </x:c>
      <x:c r="C416" s="104" t="n">
        <x:v>156.88136822916664</x:v>
      </x:c>
      <x:c r="D416" s="104" t="n">
        <x:v>1849.354247721354</x:v>
      </x:c>
      <x:c r="E416" s="105" t="str">
        <x:v>0:00</x:v>
      </x:c>
      <x:c r="F416" s="104" t="n">
        <x:v>6035.769089348958</x:v>
      </x:c>
    </x:row>
    <x:row r="417">
      <x:c r="A417" s="78"/>
      <x:c r="B417" s="79" t="str">
        <x:v>4:00-8:00</x:v>
      </x:c>
      <x:c r="C417" s="80" t="n">
        <x:v>855.0730739147368</x:v>
      </x:c>
      <x:c r="D417" s="80" t="n">
        <x:v>3010.9849193292703</x:v>
      </x:c>
      <x:c r="E417" s="81" t="str">
        <x:v>24:00</x:v>
      </x:c>
      <x:c r="F417" s="80" t="n">
        <x:v>5860.672739388022</x:v>
      </x:c>
    </x:row>
    <x:row r="418">
      <x:c r="A418" s="78"/>
      <x:c r="B418" s="79" t="str">
        <x:v>8:00-12:00</x:v>
      </x:c>
      <x:c r="C418" s="80" t="n">
        <x:v>10282.054183333334</x:v>
      </x:c>
      <x:c r="D418" s="80" t="n">
        <x:v>0</x:v>
      </x:c>
      <x:c r="E418" s="81"/>
      <x:c r="F418" s="80"/>
    </x:row>
    <x:row r="419">
      <x:c r="A419" s="78"/>
      <x:c r="B419" s="79" t="str">
        <x:v>12:00-16:00</x:v>
      </x:c>
      <x:c r="C419" s="80" t="n">
        <x:v>0</x:v>
      </x:c>
      <x:c r="D419" s="80" t="n">
        <x:v>0</x:v>
      </x:c>
      <x:c r="E419" s="81"/>
      <x:c r="F419" s="80"/>
    </x:row>
    <x:row r="420">
      <x:c r="A420" s="78"/>
      <x:c r="B420" s="79" t="str">
        <x:v>16:00-20:00</x:v>
      </x:c>
      <x:c r="C420" s="80" t="n">
        <x:v>16.923467284417477</x:v>
      </x:c>
      <x:c r="D420" s="80" t="n">
        <x:v>6242.735126941382</x:v>
      </x:c>
      <x:c r="E420" s="81"/>
      <x:c r="F420" s="80"/>
    </x:row>
    <x:row r="421">
      <x:c r="A421" s="98"/>
      <x:c r="B421" s="99" t="str">
        <x:v>20:00-24:00</x:v>
      </x:c>
      <x:c r="C421" s="100" t="n">
        <x:v>5358.53935233089</x:v>
      </x:c>
      <x:c r="D421" s="100" t="n">
        <x:v>2556.7842914977964</x:v>
      </x:c>
      <x:c r="E421" s="101"/>
      <x:c r="F421" s="100"/>
    </x:row>
    <x:row r="422">
      <x:c r="A422" s="102" t="n">
        <x:v>45759</x:v>
      </x:c>
      <x:c r="B422" s="103" t="str">
        <x:v>0:00-4:00</x:v>
      </x:c>
      <x:c r="C422" s="104" t="n">
        <x:v>169.6259475911458</x:v>
      </x:c>
      <x:c r="D422" s="104" t="n">
        <x:v>942.0588675132627</x:v>
      </x:c>
      <x:c r="E422" s="105" t="str">
        <x:v>0:00</x:v>
      </x:c>
      <x:c r="F422" s="104" t="n">
        <x:v>5860.672739388022</x:v>
      </x:c>
    </x:row>
    <x:row r="423">
      <x:c r="A423" s="78"/>
      <x:c r="B423" s="79" t="str">
        <x:v>4:00-8:00</x:v>
      </x:c>
      <x:c r="C423" s="80" t="n">
        <x:v>622.3668248046874</x:v>
      </x:c>
      <x:c r="D423" s="80" t="n">
        <x:v>2916.1526210682014</x:v>
      </x:c>
      <x:c r="E423" s="81" t="str">
        <x:v>24:00</x:v>
      </x:c>
      <x:c r="F423" s="80" t="n">
        <x:v>5979.239612791041</x:v>
      </x:c>
    </x:row>
    <x:row r="424">
      <x:c r="A424" s="78"/>
      <x:c r="B424" s="79" t="str">
        <x:v>8:00-12:00</x:v>
      </x:c>
      <x:c r="C424" s="80" t="n">
        <x:v>9459.372688261257</x:v>
      </x:c>
      <x:c r="D424" s="80" t="n">
        <x:v>0</x:v>
      </x:c>
      <x:c r="E424" s="81"/>
      <x:c r="F424" s="80"/>
    </x:row>
    <x:row r="425">
      <x:c r="A425" s="78"/>
      <x:c r="B425" s="79" t="str">
        <x:v>12:00-16:00</x:v>
      </x:c>
      <x:c r="C425" s="80" t="n">
        <x:v>0</x:v>
      </x:c>
      <x:c r="D425" s="80" t="n">
        <x:v>0</x:v>
      </x:c>
      <x:c r="E425" s="81"/>
      <x:c r="F425" s="80"/>
    </x:row>
    <x:row r="426">
      <x:c r="A426" s="78"/>
      <x:c r="B426" s="79" t="str">
        <x:v>16:00-20:00</x:v>
      </x:c>
      <x:c r="C426" s="80" t="n">
        <x:v>97.31022607452164</x:v>
      </x:c>
      <x:c r="D426" s="80" t="n">
        <x:v>5879.977108879257</x:v>
      </x:c>
      <x:c r="E426" s="81"/>
      <x:c r="F426" s="80"/>
    </x:row>
    <x:row r="427">
      <x:c r="A427" s="98"/>
      <x:c r="B427" s="99" t="str">
        <x:v>20:00-24:00</x:v>
      </x:c>
      <x:c r="C427" s="100" t="n">
        <x:v>6056.575055063657</x:v>
      </x:c>
      <x:c r="D427" s="100" t="n">
        <x:v>3443.354317330729</x:v>
      </x:c>
      <x:c r="E427" s="101"/>
      <x:c r="F427" s="100"/>
    </x:row>
    <x:row r="428">
      <x:c r="A428" s="102" t="n">
        <x:v>45760</x:v>
      </x:c>
      <x:c r="B428" s="103" t="str">
        <x:v>0:00-4:00</x:v>
      </x:c>
      <x:c r="C428" s="104" t="n">
        <x:v>4599.686815518636</x:v>
      </x:c>
      <x:c r="D428" s="104" t="n">
        <x:v>102.24380800781273</x:v>
      </x:c>
      <x:c r="E428" s="105" t="str">
        <x:v>0:00</x:v>
      </x:c>
      <x:c r="F428" s="104" t="n">
        <x:v>5979.239612791041</x:v>
      </x:c>
    </x:row>
    <x:row r="429">
      <x:c r="A429" s="78"/>
      <x:c r="B429" s="79" t="str">
        <x:v>4:00-8:00</x:v>
      </x:c>
      <x:c r="C429" s="80" t="n">
        <x:v>935.2801033203125</x:v>
      </x:c>
      <x:c r="D429" s="80" t="n">
        <x:v>6891.400413814562</x:v>
      </x:c>
      <x:c r="E429" s="81" t="str">
        <x:v>24:00</x:v>
      </x:c>
      <x:c r="F429" s="80" t="n">
        <x:v>5946.482779448062</x:v>
      </x:c>
    </x:row>
    <x:row r="430">
      <x:c r="A430" s="78"/>
      <x:c r="B430" s="79" t="str">
        <x:v>8:00-12:00</x:v>
      </x:c>
      <x:c r="C430" s="80" t="n">
        <x:v>2831.527133333333</x:v>
      </x:c>
      <x:c r="D430" s="80" t="n">
        <x:v>1701.580983333333</x:v>
      </x:c>
      <x:c r="E430" s="81"/>
      <x:c r="F430" s="80"/>
    </x:row>
    <x:row r="431">
      <x:c r="A431" s="78"/>
      <x:c r="B431" s="79" t="str">
        <x:v>12:00-16:00</x:v>
      </x:c>
      <x:c r="C431" s="80" t="n">
        <x:v>5750.280162290417</x:v>
      </x:c>
      <x:c r="D431" s="80" t="n">
        <x:v>28.53402816743653</x:v>
      </x:c>
      <x:c r="E431" s="81"/>
      <x:c r="F431" s="80"/>
    </x:row>
    <x:row r="432">
      <x:c r="A432" s="78"/>
      <x:c r="B432" s="79" t="str">
        <x:v>16:00-20:00</x:v>
      </x:c>
      <x:c r="C432" s="80" t="n">
        <x:v>62.871015134167465</x:v>
      </x:c>
      <x:c r="D432" s="80" t="n">
        <x:v>6033.989165108376</x:v>
      </x:c>
      <x:c r="E432" s="81"/>
      <x:c r="F432" s="80"/>
    </x:row>
    <x:row r="433">
      <x:c r="A433" s="98"/>
      <x:c r="B433" s="99" t="str">
        <x:v>20:00-24:00</x:v>
      </x:c>
      <x:c r="C433" s="100" t="n">
        <x:v>5345.313988398759</x:v>
      </x:c>
      <x:c r="D433" s="100" t="n">
        <x:v>1086.9497181536199</x:v>
      </x:c>
      <x:c r="E433" s="101"/>
      <x:c r="F433" s="100"/>
    </x:row>
    <x:row r="434">
      <x:c r="A434" s="102" t="n">
        <x:v>45761</x:v>
      </x:c>
      <x:c r="B434" s="103" t="str">
        <x:v>0:00-4:00</x:v>
      </x:c>
      <x:c r="C434" s="104" t="n">
        <x:v>4573.377270513437</x:v>
      </x:c>
      <x:c r="D434" s="104" t="n">
        <x:v>248.25898216145856</x:v>
      </x:c>
      <x:c r="E434" s="105" t="str">
        <x:v>0:00</x:v>
      </x:c>
      <x:c r="F434" s="104" t="n">
        <x:v>5946.482779448062</x:v>
      </x:c>
    </x:row>
    <x:row r="435">
      <x:c r="A435" s="78"/>
      <x:c r="B435" s="79" t="str">
        <x:v>4:00-8:00</x:v>
      </x:c>
      <x:c r="C435" s="80" t="n">
        <x:v>833.3557731119791</x:v>
      </x:c>
      <x:c r="D435" s="80" t="n">
        <x:v>6908.732405584265</x:v>
      </x:c>
      <x:c r="E435" s="81" t="str">
        <x:v>24:00</x:v>
      </x:c>
      <x:c r="F435" s="80" t="n">
        <x:v>5923.626239921152</x:v>
      </x:c>
    </x:row>
    <x:row r="436">
      <x:c r="A436" s="78"/>
      <x:c r="B436" s="79" t="str">
        <x:v>8:00-12:00</x:v>
      </x:c>
      <x:c r="C436" s="80" t="n">
        <x:v>4535.936059623124</x:v>
      </x:c>
      <x:c r="D436" s="80" t="n">
        <x:v>1491.0585999999998</x:v>
      </x:c>
      <x:c r="E436" s="81"/>
      <x:c r="F436" s="80"/>
    </x:row>
    <x:row r="437">
      <x:c r="A437" s="78"/>
      <x:c r="B437" s="79" t="str">
        <x:v>12:00-16:00</x:v>
      </x:c>
      <x:c r="C437" s="80" t="n">
        <x:v>5008.455907105657</x:v>
      </x:c>
      <x:c r="D437" s="80" t="n">
        <x:v>0</x:v>
      </x:c>
      <x:c r="E437" s="81"/>
      <x:c r="F437" s="80"/>
    </x:row>
    <x:row r="438">
      <x:c r="A438" s="78"/>
      <x:c r="B438" s="79" t="str">
        <x:v>16:00-20:00</x:v>
      </x:c>
      <x:c r="C438" s="80" t="n">
        <x:v>599.235382383338</x:v>
      </x:c>
      <x:c r="D438" s="80" t="n">
        <x:v>5913.807233717235</x:v>
      </x:c>
      <x:c r="E438" s="81"/>
      <x:c r="F438" s="80"/>
    </x:row>
    <x:row r="439">
      <x:c r="A439" s="98"/>
      <x:c r="B439" s="99" t="str">
        <x:v>20:00-24:00</x:v>
      </x:c>
      <x:c r="C439" s="100" t="n">
        <x:v>5363.570198198784</x:v>
      </x:c>
      <x:c r="D439" s="100" t="n">
        <x:v>2398.997442769676</x:v>
      </x:c>
      <x:c r="E439" s="101"/>
      <x:c r="F439" s="100"/>
    </x:row>
    <x:row r="440">
      <x:c r="A440" s="102" t="n">
        <x:v>45762</x:v>
      </x:c>
      <x:c r="B440" s="103" t="str">
        <x:v>0:00-4:00</x:v>
      </x:c>
      <x:c r="C440" s="104" t="n">
        <x:v>5465.195118901909</x:v>
      </x:c>
      <x:c r="D440" s="104" t="n">
        <x:v>52.689266406249885</x:v>
      </x:c>
      <x:c r="E440" s="105" t="str">
        <x:v>0:00</x:v>
      </x:c>
      <x:c r="F440" s="104" t="n">
        <x:v>5923.626239921152</x:v>
      </x:c>
    </x:row>
    <x:row r="441">
      <x:c r="A441" s="78"/>
      <x:c r="B441" s="79" t="str">
        <x:v>4:00-8:00</x:v>
      </x:c>
      <x:c r="C441" s="80" t="n">
        <x:v>20.60007615704012</x:v>
      </x:c>
      <x:c r="D441" s="80" t="n">
        <x:v>6326.1914711118425</x:v>
      </x:c>
      <x:c r="E441" s="81" t="str">
        <x:v>24:00</x:v>
      </x:c>
      <x:c r="F441" s="80" t="n">
        <x:v>6030.2155300470195</x:v>
      </x:c>
    </x:row>
    <x:row r="442">
      <x:c r="A442" s="78"/>
      <x:c r="B442" s="79" t="str">
        <x:v>8:00-12:00</x:v>
      </x:c>
      <x:c r="C442" s="80" t="n">
        <x:v>6581.058099999999</x:v>
      </x:c>
      <x:c r="D442" s="80" t="n">
        <x:v>845.3337499999999</x:v>
      </x:c>
      <x:c r="E442" s="81"/>
      <x:c r="F442" s="80"/>
    </x:row>
    <x:row r="443">
      <x:c r="A443" s="78"/>
      <x:c r="B443" s="79" t="str">
        <x:v>12:00-16:00</x:v>
      </x:c>
      <x:c r="C443" s="80" t="n">
        <x:v>2270.1230896188936</x:v>
      </x:c>
      <x:c r="D443" s="80" t="n">
        <x:v>401.9863457508871</x:v>
      </x:c>
      <x:c r="E443" s="81"/>
      <x:c r="F443" s="80"/>
    </x:row>
    <x:row r="444">
      <x:c r="A444" s="78"/>
      <x:c r="B444" s="79" t="str">
        <x:v>16:00-20:00</x:v>
      </x:c>
      <x:c r="C444" s="80" t="n">
        <x:v>216.77942633654936</x:v>
      </x:c>
      <x:c r="D444" s="80" t="n">
        <x:v>5826.633246034131</x:v>
      </x:c>
      <x:c r="E444" s="81"/>
      <x:c r="F444" s="80"/>
    </x:row>
    <x:row r="445">
      <x:c r="A445" s="98"/>
      <x:c r="B445" s="99" t="str">
        <x:v>20:00-24:00</x:v>
      </x:c>
      <x:c r="C445" s="100" t="n">
        <x:v>5431.605819453285</x:v>
      </x:c>
      <x:c r="D445" s="100" t="n">
        <x:v>2639.3784802624305</x:v>
      </x:c>
      <x:c r="E445" s="101"/>
      <x:c r="F445" s="100"/>
    </x:row>
    <x:row r="446">
      <x:c r="A446" s="102" t="n">
        <x:v>45763</x:v>
      </x:c>
      <x:c r="B446" s="103" t="str">
        <x:v>0:00-4:00</x:v>
      </x:c>
      <x:c r="C446" s="104" t="n">
        <x:v>1991.9335816751868</x:v>
      </x:c>
      <x:c r="D446" s="104" t="n">
        <x:v>270.97774694010434</x:v>
      </x:c>
      <x:c r="E446" s="105" t="str">
        <x:v>0:00</x:v>
      </x:c>
      <x:c r="F446" s="104" t="n">
        <x:v>6030.2155300470195</x:v>
      </x:c>
    </x:row>
    <x:row r="447">
      <x:c r="A447" s="78"/>
      <x:c r="B447" s="79" t="str">
        <x:v>4:00-8:00</x:v>
      </x:c>
      <x:c r="C447" s="80" t="n">
        <x:v>3301.572492061395</x:v>
      </x:c>
      <x:c r="D447" s="80" t="n">
        <x:v>6004.616050962756</x:v>
      </x:c>
      <x:c r="E447" s="81" t="str">
        <x:v>24:00</x:v>
      </x:c>
      <x:c r="F447" s="80" t="n">
        <x:v>5896.061816969039</x:v>
      </x:c>
    </x:row>
    <x:row r="448">
      <x:c r="A448" s="78"/>
      <x:c r="B448" s="79" t="str">
        <x:v>8:00-12:00</x:v>
      </x:c>
      <x:c r="C448" s="80" t="n">
        <x:v>2086.5597166666666</x:v>
      </x:c>
      <x:c r="D448" s="80" t="n">
        <x:v>1550.03925</x:v>
      </x:c>
      <x:c r="E448" s="81"/>
      <x:c r="F448" s="80"/>
    </x:row>
    <x:row r="449">
      <x:c r="A449" s="78"/>
      <x:c r="B449" s="79" t="str">
        <x:v>12:00-16:00</x:v>
      </x:c>
      <x:c r="C449" s="80" t="n">
        <x:v>4197.334371744753</x:v>
      </x:c>
      <x:c r="D449" s="80" t="n">
        <x:v>463.95427515918914</x:v>
      </x:c>
      <x:c r="E449" s="81"/>
      <x:c r="F449" s="80"/>
    </x:row>
    <x:row r="450">
      <x:c r="A450" s="78"/>
      <x:c r="B450" s="79" t="str">
        <x:v>16:00-20:00</x:v>
      </x:c>
      <x:c r="C450" s="80" t="n">
        <x:v>198.31000427434708</x:v>
      </x:c>
      <x:c r="D450" s="80" t="n">
        <x:v>5595.931888782371</x:v>
      </x:c>
      <x:c r="E450" s="81"/>
      <x:c r="F450" s="80"/>
    </x:row>
    <x:row r="451">
      <x:c r="A451" s="98"/>
      <x:c r="B451" s="99" t="str">
        <x:v>20:00-24:00</x:v>
      </x:c>
      <x:c r="C451" s="100" t="n">
        <x:v>5267.547927110661</x:v>
      </x:c>
      <x:c r="D451" s="100" t="n">
        <x:v>40.25818568749992</x:v>
      </x:c>
      <x:c r="E451" s="101"/>
      <x:c r="F451" s="100"/>
    </x:row>
    <x:row r="452">
      <x:c r="A452" s="102" t="n">
        <x:v>45764</x:v>
      </x:c>
      <x:c r="B452" s="103" t="str">
        <x:v>0:00-4:00</x:v>
      </x:c>
      <x:c r="C452" s="104" t="n">
        <x:v>4517.654562583127</x:v>
      </x:c>
      <x:c r="D452" s="104" t="n">
        <x:v>720.824580924479</x:v>
      </x:c>
      <x:c r="E452" s="105" t="str">
        <x:v>0:00</x:v>
      </x:c>
      <x:c r="F452" s="104" t="n">
        <x:v>5896.061816969039</x:v>
      </x:c>
    </x:row>
    <x:row r="453">
      <x:c r="A453" s="78"/>
      <x:c r="B453" s="79" t="str">
        <x:v>4:00-8:00</x:v>
      </x:c>
      <x:c r="C453" s="80" t="n">
        <x:v>1675.6706561670205</x:v>
      </x:c>
      <x:c r="D453" s="80" t="n">
        <x:v>7017.885356510416</x:v>
      </x:c>
      <x:c r="E453" s="81" t="str">
        <x:v>24:00</x:v>
      </x:c>
      <x:c r="F453" s="80" t="n">
        <x:v>6093.797881084057</x:v>
      </x:c>
    </x:row>
    <x:row r="454">
      <x:c r="A454" s="78"/>
      <x:c r="B454" s="79" t="str">
        <x:v>8:00-12:00</x:v>
      </x:c>
      <x:c r="C454" s="80" t="n">
        <x:v>4190.896049999999</x:v>
      </x:c>
      <x:c r="D454" s="80" t="n">
        <x:v>1400.9938499999998</x:v>
      </x:c>
      <x:c r="E454" s="81"/>
      <x:c r="F454" s="80"/>
    </x:row>
    <x:row r="455">
      <x:c r="A455" s="78"/>
      <x:c r="B455" s="79" t="str">
        <x:v>12:00-16:00</x:v>
      </x:c>
      <x:c r="C455" s="80" t="n">
        <x:v>5014.899113176874</x:v>
      </x:c>
      <x:c r="D455" s="80" t="n">
        <x:v>103.74905081882628</x:v>
      </x:c>
      <x:c r="E455" s="81"/>
      <x:c r="F455" s="80"/>
    </x:row>
    <x:row r="456">
      <x:c r="A456" s="78"/>
      <x:c r="B456" s="79" t="str">
        <x:v>16:00-20:00</x:v>
      </x:c>
      <x:c r="C456" s="80" t="n">
        <x:v>74.94729893834369</x:v>
      </x:c>
      <x:c r="D456" s="80" t="n">
        <x:v>6804.955126428591</x:v>
      </x:c>
      <x:c r="E456" s="81"/>
      <x:c r="F456" s="80"/>
    </x:row>
    <x:row r="457">
      <x:c r="A457" s="98"/>
      <x:c r="B457" s="99" t="str">
        <x:v>20:00-24:00</x:v>
      </x:c>
      <x:c r="C457" s="100" t="n">
        <x:v>5499.512129159111</x:v>
      </x:c>
      <x:c r="D457" s="100" t="n">
        <x:v>762.2292237340005</x:v>
      </x:c>
      <x:c r="E457" s="101"/>
      <x:c r="F457" s="100"/>
    </x:row>
    <x:row r="458">
      <x:c r="A458" s="102" t="n">
        <x:v>45765</x:v>
      </x:c>
      <x:c r="B458" s="103" t="str">
        <x:v>0:00-4:00</x:v>
      </x:c>
      <x:c r="C458" s="104" t="n">
        <x:v>872.4213572916667</x:v>
      </x:c>
      <x:c r="D458" s="104" t="n">
        <x:v>1302.7503020349563</x:v>
      </x:c>
      <x:c r="E458" s="105" t="str">
        <x:v>0:00</x:v>
      </x:c>
      <x:c r="F458" s="104" t="n">
        <x:v>6093.797881084057</x:v>
      </x:c>
    </x:row>
    <x:row r="459">
      <x:c r="A459" s="78"/>
      <x:c r="B459" s="79" t="str">
        <x:v>4:00-8:00</x:v>
      </x:c>
      <x:c r="C459" s="80" t="n">
        <x:v>549.3871139973959</x:v>
      </x:c>
      <x:c r="D459" s="80" t="n">
        <x:v>3811.485874184834</x:v>
      </x:c>
      <x:c r="E459" s="81" t="str">
        <x:v>24:00</x:v>
      </x:c>
      <x:c r="F459" s="80" t="n">
        <x:v>6191.354273161283</x:v>
      </x:c>
    </x:row>
    <x:row r="460">
      <x:c r="A460" s="78"/>
      <x:c r="B460" s="79" t="str">
        <x:v>8:00-12:00</x:v>
      </x:c>
      <x:c r="C460" s="80" t="n">
        <x:v>10121.176816666666</x:v>
      </x:c>
      <x:c r="D460" s="80" t="n">
        <x:v>0</x:v>
      </x:c>
      <x:c r="E460" s="81"/>
      <x:c r="F460" s="80"/>
    </x:row>
    <x:row r="461">
      <x:c r="A461" s="78"/>
      <x:c r="B461" s="79" t="str">
        <x:v>12:00-16:00</x:v>
      </x:c>
      <x:c r="C461" s="80" t="n">
        <x:v>0</x:v>
      </x:c>
      <x:c r="D461" s="80" t="n">
        <x:v>0</x:v>
      </x:c>
      <x:c r="E461" s="81"/>
      <x:c r="F461" s="80"/>
    </x:row>
    <x:row r="462">
      <x:c r="A462" s="78"/>
      <x:c r="B462" s="79" t="str">
        <x:v>16:00-20:00</x:v>
      </x:c>
      <x:c r="C462" s="80" t="n">
        <x:v>0</x:v>
      </x:c>
      <x:c r="D462" s="80" t="n">
        <x:v>5998.8515</x:v>
      </x:c>
      <x:c r="E462" s="81"/>
      <x:c r="F462" s="80"/>
    </x:row>
    <x:row r="463">
      <x:c r="A463" s="98"/>
      <x:c r="B463" s="99" t="str">
        <x:v>20:00-24:00</x:v>
      </x:c>
      <x:c r="C463" s="100" t="n">
        <x:v>5501.347629414222</x:v>
      </x:c>
      <x:c r="D463" s="100" t="n">
        <x:v>2605.0212339803675</x:v>
      </x:c>
      <x:c r="E463" s="101"/>
      <x:c r="F463" s="100"/>
    </x:row>
    <x:row r="464">
      <x:c r="A464" s="102" t="n">
        <x:v>45766</x:v>
      </x:c>
      <x:c r="B464" s="103" t="str">
        <x:v>0:00-4:00</x:v>
      </x:c>
      <x:c r="C464" s="104" t="n">
        <x:v>962.2511916015624</x:v>
      </x:c>
      <x:c r="D464" s="104" t="n">
        <x:v>2648.570398372396</x:v>
      </x:c>
      <x:c r="E464" s="105" t="str">
        <x:v>0:00</x:v>
      </x:c>
      <x:c r="F464" s="104" t="n">
        <x:v>6191.354273161283</x:v>
      </x:c>
    </x:row>
    <x:row r="465">
      <x:c r="A465" s="78"/>
      <x:c r="B465" s="79" t="str">
        <x:v>4:00-8:00</x:v>
      </x:c>
      <x:c r="C465" s="80" t="n">
        <x:v>198.8415833431059</x:v>
      </x:c>
      <x:c r="D465" s="80" t="n">
        <x:v>2622.521520989986</x:v>
      </x:c>
      <x:c r="E465" s="81" t="str">
        <x:v>24:00</x:v>
      </x:c>
      <x:c r="F465" s="80" t="n">
        <x:v>6074.140158632164</x:v>
      </x:c>
    </x:row>
    <x:row r="466">
      <x:c r="A466" s="78"/>
      <x:c r="B466" s="79" t="str">
        <x:v>8:00-12:00</x:v>
      </x:c>
      <x:c r="C466" s="80" t="n">
        <x:v>10467.145587422277</x:v>
      </x:c>
      <x:c r="D466" s="80" t="n">
        <x:v>0</x:v>
      </x:c>
      <x:c r="E466" s="81"/>
      <x:c r="F466" s="80"/>
    </x:row>
    <x:row r="467">
      <x:c r="A467" s="78"/>
      <x:c r="B467" s="79" t="str">
        <x:v>12:00-16:00</x:v>
      </x:c>
      <x:c r="C467" s="80" t="n">
        <x:v>0</x:v>
      </x:c>
      <x:c r="D467" s="80" t="n">
        <x:v>0</x:v>
      </x:c>
      <x:c r="E467" s="81"/>
      <x:c r="F467" s="80"/>
    </x:row>
    <x:row r="468">
      <x:c r="A468" s="78"/>
      <x:c r="B468" s="79" t="str">
        <x:v>16:00-20:00</x:v>
      </x:c>
      <x:c r="C468" s="80" t="n">
        <x:v>6.203479339108323</x:v>
      </x:c>
      <x:c r="D468" s="80" t="n">
        <x:v>5929.748718264678</x:v>
      </x:c>
      <x:c r="E468" s="81"/>
      <x:c r="F468" s="80"/>
    </x:row>
    <x:row r="469">
      <x:c r="A469" s="98"/>
      <x:c r="B469" s="99" t="str">
        <x:v>20:00-24:00</x:v>
      </x:c>
      <x:c r="C469" s="100" t="n">
        <x:v>6039.698149985693</x:v>
      </x:c>
      <x:c r="D469" s="100" t="n">
        <x:v>3220.7054587194625</x:v>
      </x:c>
      <x:c r="E469" s="101"/>
      <x:c r="F469" s="100"/>
    </x:row>
    <x:row r="470">
      <x:c r="A470" s="102" t="n">
        <x:v>45767</x:v>
      </x:c>
      <x:c r="B470" s="103" t="str">
        <x:v>0:00-4:00</x:v>
      </x:c>
      <x:c r="C470" s="104" t="n">
        <x:v>4517.986802084056</x:v>
      </x:c>
      <x:c r="D470" s="104" t="n">
        <x:v>97.61473235677079</x:v>
      </x:c>
      <x:c r="E470" s="105" t="str">
        <x:v>0:00</x:v>
      </x:c>
      <x:c r="F470" s="104" t="n">
        <x:v>6074.140158632164</x:v>
      </x:c>
    </x:row>
    <x:row r="471">
      <x:c r="A471" s="78"/>
      <x:c r="B471" s="79" t="str">
        <x:v>4:00-8:00</x:v>
      </x:c>
      <x:c r="C471" s="80" t="n">
        <x:v>846.1673758197937</x:v>
      </x:c>
      <x:c r="D471" s="80" t="n">
        <x:v>6478.300643123494</x:v>
      </x:c>
      <x:c r="E471" s="81" t="str">
        <x:v>24:00</x:v>
      </x:c>
      <x:c r="F471" s="80" t="n">
        <x:v>5938.122467665655</x:v>
      </x:c>
    </x:row>
    <x:row r="472">
      <x:c r="A472" s="78"/>
      <x:c r="B472" s="79" t="str">
        <x:v>8:00-12:00</x:v>
      </x:c>
      <x:c r="C472" s="80" t="n">
        <x:v>4350.714683333334</x:v>
      </x:c>
      <x:c r="D472" s="80" t="n">
        <x:v>1957.4118166666667</x:v>
      </x:c>
      <x:c r="E472" s="81"/>
      <x:c r="F472" s="80"/>
    </x:row>
    <x:row r="473">
      <x:c r="A473" s="78"/>
      <x:c r="B473" s="79" t="str">
        <x:v>12:00-16:00</x:v>
      </x:c>
      <x:c r="C473" s="80" t="n">
        <x:v>4833.300613144187</x:v>
      </x:c>
      <x:c r="D473" s="80" t="n">
        <x:v>49.14677486612537</x:v>
      </x:c>
      <x:c r="E473" s="81"/>
      <x:c r="F473" s="80"/>
    </x:row>
    <x:row r="474">
      <x:c r="A474" s="78"/>
      <x:c r="B474" s="79" t="str">
        <x:v>16:00-20:00</x:v>
      </x:c>
      <x:c r="C474" s="80" t="n">
        <x:v>40.99048779425715</x:v>
      </x:c>
      <x:c r="D474" s="80" t="n">
        <x:v>6476.959989246777</x:v>
      </x:c>
      <x:c r="E474" s="81"/>
      <x:c r="F474" s="80"/>
    </x:row>
    <x:row r="475">
      <x:c r="A475" s="98"/>
      <x:c r="B475" s="99" t="str">
        <x:v>20:00-24:00</x:v>
      </x:c>
      <x:c r="C475" s="100" t="n">
        <x:v>5366.626987386671</x:v>
      </x:c>
      <x:c r="D475" s="100" t="n">
        <x:v>1227.1693947554943</x:v>
      </x:c>
      <x:c r="E475" s="101"/>
      <x:c r="F475" s="100"/>
    </x:row>
    <x:row r="476">
      <x:c r="A476" s="102" t="n">
        <x:v>45768</x:v>
      </x:c>
      <x:c r="B476" s="103" t="str">
        <x:v>0:00-4:00</x:v>
      </x:c>
      <x:c r="C476" s="104" t="n">
        <x:v>4549.471298144932</x:v>
      </x:c>
      <x:c r="D476" s="104" t="n">
        <x:v>150.04684511718733</x:v>
      </x:c>
      <x:c r="E476" s="105" t="str">
        <x:v>0:00</x:v>
      </x:c>
      <x:c r="F476" s="104" t="n">
        <x:v>5938.122467665655</x:v>
      </x:c>
    </x:row>
    <x:row r="477">
      <x:c r="A477" s="78"/>
      <x:c r="B477" s="79" t="str">
        <x:v>4:00-8:00</x:v>
      </x:c>
      <x:c r="C477" s="80" t="n">
        <x:v>815.1252808857137</x:v>
      </x:c>
      <x:c r="D477" s="80" t="n">
        <x:v>6106.76299429351</x:v>
      </x:c>
      <x:c r="E477" s="81" t="str">
        <x:v>24:00</x:v>
      </x:c>
      <x:c r="F477" s="80" t="n">
        <x:v>5885.700834117911</x:v>
      </x:c>
    </x:row>
    <x:row r="478">
      <x:c r="A478" s="78"/>
      <x:c r="B478" s="79" t="str">
        <x:v>8:00-12:00</x:v>
      </x:c>
      <x:c r="C478" s="80" t="n">
        <x:v>4100.588007229982</x:v>
      </x:c>
      <x:c r="D478" s="80" t="n">
        <x:v>1148.3090333333332</x:v>
      </x:c>
      <x:c r="E478" s="81"/>
      <x:c r="F478" s="80"/>
    </x:row>
    <x:row r="479">
      <x:c r="A479" s="78"/>
      <x:c r="B479" s="79" t="str">
        <x:v>12:00-16:00</x:v>
      </x:c>
      <x:c r="C479" s="80" t="n">
        <x:v>5116.707224520785</x:v>
      </x:c>
      <x:c r="D479" s="80" t="n">
        <x:v>30.52371488800233</x:v>
      </x:c>
      <x:c r="E479" s="81"/>
      <x:c r="F479" s="80"/>
    </x:row>
    <x:row r="480">
      <x:c r="A480" s="78"/>
      <x:c r="B480" s="79" t="str">
        <x:v>16:00-20:00</x:v>
      </x:c>
      <x:c r="C480" s="80" t="n">
        <x:v>0</x:v>
      </x:c>
      <x:c r="D480" s="80" t="n">
        <x:v>6438.18072357609</x:v>
      </x:c>
      <x:c r="E480" s="81"/>
      <x:c r="F480" s="80"/>
    </x:row>
    <x:row r="481">
      <x:c r="A481" s="98"/>
      <x:c r="B481" s="99" t="str">
        <x:v>20:00-24:00</x:v>
      </x:c>
      <x:c r="C481" s="100" t="n">
        <x:v>5243.396132317869</x:v>
      </x:c>
      <x:c r="D481" s="100" t="n">
        <x:v>2231.8393928952655</x:v>
      </x:c>
      <x:c r="E481" s="101"/>
      <x:c r="F481" s="100"/>
    </x:row>
    <x:row r="482">
      <x:c r="A482" s="102" t="n">
        <x:v>45769</x:v>
      </x:c>
      <x:c r="B482" s="103" t="str">
        <x:v>0:00-4:00</x:v>
      </x:c>
      <x:c r="C482" s="104" t="n">
        <x:v>3138.1940596953873</x:v>
      </x:c>
      <x:c r="D482" s="104" t="n">
        <x:v>143.86476627604168</x:v>
      </x:c>
      <x:c r="E482" s="105" t="str">
        <x:v>0:00</x:v>
      </x:c>
      <x:c r="F482" s="104" t="n">
        <x:v>5885.700834117911</x:v>
      </x:c>
    </x:row>
    <x:row r="483">
      <x:c r="A483" s="78"/>
      <x:c r="B483" s="79" t="str">
        <x:v>4:00-8:00</x:v>
      </x:c>
      <x:c r="C483" s="80" t="n">
        <x:v>857.3265899739582</x:v>
      </x:c>
      <x:c r="D483" s="80" t="n">
        <x:v>6358.945055416641</x:v>
      </x:c>
      <x:c r="E483" s="81" t="str">
        <x:v>24:00</x:v>
      </x:c>
      <x:c r="F483" s="80" t="n">
        <x:v>5917.302823896123</x:v>
      </x:c>
    </x:row>
    <x:row r="484">
      <x:c r="A484" s="78"/>
      <x:c r="B484" s="79" t="str">
        <x:v>8:00-12:00</x:v>
      </x:c>
      <x:c r="C484" s="80" t="n">
        <x:v>4595.175990641614</x:v>
      </x:c>
      <x:c r="D484" s="80" t="n">
        <x:v>950.6926552456075</x:v>
      </x:c>
      <x:c r="E484" s="81"/>
      <x:c r="F484" s="80"/>
    </x:row>
    <x:row r="485">
      <x:c r="A485" s="78"/>
      <x:c r="B485" s="79" t="str">
        <x:v>12:00-16:00</x:v>
      </x:c>
      <x:c r="C485" s="80" t="n">
        <x:v>4174.269010908248</x:v>
      </x:c>
      <x:c r="D485" s="80" t="n">
        <x:v>507.2965181732941</x:v>
      </x:c>
      <x:c r="E485" s="81"/>
      <x:c r="F485" s="80"/>
    </x:row>
    <x:row r="486">
      <x:c r="A486" s="78"/>
      <x:c r="B486" s="79" t="str">
        <x:v>16:00-20:00</x:v>
      </x:c>
      <x:c r="C486" s="80" t="n">
        <x:v>464.4194932994329</x:v>
      </x:c>
      <x:c r="D486" s="80" t="n">
        <x:v>6972.133722654637</x:v>
      </x:c>
      <x:c r="E486" s="81"/>
      <x:c r="F486" s="80"/>
    </x:row>
    <x:row r="487">
      <x:c r="A487" s="98"/>
      <x:c r="B487" s="99" t="str">
        <x:v>20:00-24:00</x:v>
      </x:c>
      <x:c r="C487" s="100" t="n">
        <x:v>5349.088843295075</x:v>
      </x:c>
      <x:c r="D487" s="100" t="n">
        <x:v>87.18942156250009</x:v>
      </x:c>
      <x:c r="E487" s="101"/>
      <x:c r="F487" s="100"/>
    </x:row>
    <x:row r="488">
      <x:c r="A488" s="102" t="n">
        <x:v>45770</x:v>
      </x:c>
      <x:c r="B488" s="103" t="str">
        <x:v>0:00-4:00</x:v>
      </x:c>
      <x:c r="C488" s="104" t="n">
        <x:v>4147.591689778646</x:v>
      </x:c>
      <x:c r="D488" s="104" t="n">
        <x:v>292.46716569010414</x:v>
      </x:c>
      <x:c r="E488" s="105" t="str">
        <x:v>0:00</x:v>
      </x:c>
      <x:c r="F488" s="104" t="n">
        <x:v>5917.302823896123</x:v>
      </x:c>
    </x:row>
    <x:row r="489">
      <x:c r="A489" s="78"/>
      <x:c r="B489" s="79" t="str">
        <x:v>4:00-8:00</x:v>
      </x:c>
      <x:c r="C489" s="80" t="n">
        <x:v>1253.7423330160304</x:v>
      </x:c>
      <x:c r="D489" s="80" t="n">
        <x:v>6142.060206840934</x:v>
      </x:c>
      <x:c r="E489" s="81" t="str">
        <x:v>24:00</x:v>
      </x:c>
      <x:c r="F489" s="80" t="n">
        <x:v>6053.653590078849</x:v>
      </x:c>
    </x:row>
    <x:row r="490">
      <x:c r="A490" s="78"/>
      <x:c r="B490" s="79" t="str">
        <x:v>8:00-12:00</x:v>
      </x:c>
      <x:c r="C490" s="80" t="n">
        <x:v>4226.415516666666</x:v>
      </x:c>
      <x:c r="D490" s="80" t="n">
        <x:v>1185.8100666666664</x:v>
      </x:c>
      <x:c r="E490" s="81"/>
      <x:c r="F490" s="80"/>
    </x:row>
    <x:row r="491">
      <x:c r="A491" s="78"/>
      <x:c r="B491" s="79" t="str">
        <x:v>12:00-16:00</x:v>
      </x:c>
      <x:c r="C491" s="80" t="n">
        <x:v>3562.2124010558014</x:v>
      </x:c>
      <x:c r="D491" s="80" t="n">
        <x:v>49.152287872524994</x:v>
      </x:c>
      <x:c r="E491" s="81"/>
      <x:c r="F491" s="80"/>
    </x:row>
    <x:row r="492">
      <x:c r="A492" s="78"/>
      <x:c r="B492" s="79" t="str">
        <x:v>16:00-20:00</x:v>
      </x:c>
      <x:c r="C492" s="80" t="n">
        <x:v>240.25983736646447</x:v>
      </x:c>
      <x:c r="D492" s="80" t="n">
        <x:v>6982.0612828529165</x:v>
      </x:c>
      <x:c r="E492" s="81"/>
      <x:c r="F492" s="80"/>
    </x:row>
    <x:row r="493">
      <x:c r="A493" s="98"/>
      <x:c r="B493" s="99" t="str">
        <x:v>20:00-24:00</x:v>
      </x:c>
      <x:c r="C493" s="100" t="n">
        <x:v>5429.306453697112</x:v>
      </x:c>
      <x:c r="D493" s="100" t="n">
        <x:v>501.9511680927836</x:v>
      </x:c>
      <x:c r="E493" s="101"/>
      <x:c r="F493" s="100"/>
    </x:row>
    <x:row r="494">
      <x:c r="A494" s="102" t="n">
        <x:v>45771</x:v>
      </x:c>
      <x:c r="B494" s="103" t="str">
        <x:v>0:00-4:00</x:v>
      </x:c>
      <x:c r="C494" s="104" t="n">
        <x:v>3365.564861067708</x:v>
      </x:c>
      <x:c r="D494" s="104" t="n">
        <x:v>210.4721036458336</x:v>
      </x:c>
      <x:c r="E494" s="105" t="str">
        <x:v>0:00</x:v>
      </x:c>
      <x:c r="F494" s="104" t="n">
        <x:v>6053.653590078849</x:v>
      </x:c>
    </x:row>
    <x:row r="495">
      <x:c r="A495" s="78"/>
      <x:c r="B495" s="79" t="str">
        <x:v>4:00-8:00</x:v>
      </x:c>
      <x:c r="C495" s="80" t="n">
        <x:v>886.3615066701458</x:v>
      </x:c>
      <x:c r="D495" s="80" t="n">
        <x:v>5851.992776053046</x:v>
      </x:c>
      <x:c r="E495" s="81" t="str">
        <x:v>24:00</x:v>
      </x:c>
      <x:c r="F495" s="80" t="n">
        <x:v>5948.395978231337</x:v>
      </x:c>
    </x:row>
    <x:row r="496">
      <x:c r="A496" s="78"/>
      <x:c r="B496" s="79" t="str">
        <x:v>8:00-12:00</x:v>
      </x:c>
      <x:c r="C496" s="80" t="n">
        <x:v>4307.7928833333335</x:v>
      </x:c>
      <x:c r="D496" s="80" t="n">
        <x:v>1077.0290499999999</x:v>
      </x:c>
      <x:c r="E496" s="81"/>
      <x:c r="F496" s="80"/>
    </x:row>
    <x:row r="497">
      <x:c r="A497" s="78"/>
      <x:c r="B497" s="79" t="str">
        <x:v>12:00-16:00</x:v>
      </x:c>
      <x:c r="C497" s="80" t="n">
        <x:v>5528.189018839821</x:v>
      </x:c>
      <x:c r="D497" s="80" t="n">
        <x:v>0</x:v>
      </x:c>
      <x:c r="E497" s="81"/>
      <x:c r="F497" s="80"/>
    </x:row>
    <x:row r="498">
      <x:c r="A498" s="78"/>
      <x:c r="B498" s="79" t="str">
        <x:v>16:00-20:00</x:v>
      </x:c>
      <x:c r="C498" s="80" t="n">
        <x:v>4.630998387688919</x:v>
      </x:c>
      <x:c r="D498" s="80" t="n">
        <x:v>7311.364683621737</x:v>
      </x:c>
      <x:c r="E498" s="81"/>
      <x:c r="F498" s="80"/>
    </x:row>
    <x:row r="499">
      <x:c r="A499" s="98"/>
      <x:c r="B499" s="99" t="str">
        <x:v>20:00-24:00</x:v>
      </x:c>
      <x:c r="C499" s="100" t="n">
        <x:v>5356.241959917534</x:v>
      </x:c>
      <x:c r="D499" s="100" t="n">
        <x:v>1397.3860321972898</x:v>
      </x:c>
      <x:c r="E499" s="101"/>
      <x:c r="F499" s="100"/>
    </x:row>
    <x:row r="500">
      <x:c r="A500" s="102" t="n">
        <x:v>45772</x:v>
      </x:c>
      <x:c r="B500" s="103" t="str">
        <x:v>0:00-4:00</x:v>
      </x:c>
      <x:c r="C500" s="104" t="n">
        <x:v>1040.3708534505206</x:v>
      </x:c>
      <x:c r="D500" s="104" t="n">
        <x:v>1312.5007172345984</x:v>
      </x:c>
      <x:c r="E500" s="105" t="str">
        <x:v>0:00</x:v>
      </x:c>
      <x:c r="F500" s="104" t="n">
        <x:v>5948.395978231337</x:v>
      </x:c>
    </x:row>
    <x:row r="501">
      <x:c r="A501" s="78"/>
      <x:c r="B501" s="79" t="str">
        <x:v>4:00-8:00</x:v>
      </x:c>
      <x:c r="C501" s="80" t="n">
        <x:v>502.86331483105596</x:v>
      </x:c>
      <x:c r="D501" s="80" t="n">
        <x:v>3513.868728123102</x:v>
      </x:c>
      <x:c r="E501" s="81" t="str">
        <x:v>24:00</x:v>
      </x:c>
      <x:c r="F501" s="80" t="n">
        <x:v>5947.334885803531</x:v>
      </x:c>
    </x:row>
    <x:row r="502">
      <x:c r="A502" s="78"/>
      <x:c r="B502" s="79" t="str">
        <x:v>8:00-12:00</x:v>
      </x:c>
      <x:c r="C502" s="80" t="n">
        <x:v>9805.917763754836</x:v>
      </x:c>
      <x:c r="D502" s="80" t="n">
        <x:v>0</x:v>
      </x:c>
      <x:c r="E502" s="81"/>
      <x:c r="F502" s="80"/>
    </x:row>
    <x:row r="503">
      <x:c r="A503" s="78"/>
      <x:c r="B503" s="79" t="str">
        <x:v>12:00-16:00</x:v>
      </x:c>
      <x:c r="C503" s="80" t="n">
        <x:v>0</x:v>
      </x:c>
      <x:c r="D503" s="80" t="n">
        <x:v>0</x:v>
      </x:c>
      <x:c r="E503" s="81"/>
      <x:c r="F503" s="80"/>
    </x:row>
    <x:row r="504">
      <x:c r="A504" s="78"/>
      <x:c r="B504" s="79" t="str">
        <x:v>16:00-20:00</x:v>
      </x:c>
      <x:c r="C504" s="80" t="n">
        <x:v>0</x:v>
      </x:c>
      <x:c r="D504" s="80" t="n">
        <x:v>5898.928445019195</x:v>
      </x:c>
      <x:c r="E504" s="81"/>
      <x:c r="F504" s="80"/>
    </x:row>
    <x:row r="505">
      <x:c r="A505" s="98"/>
      <x:c r="B505" s="99" t="str">
        <x:v>20:00-24:00</x:v>
      </x:c>
      <x:c r="C505" s="100" t="n">
        <x:v>5320.9644328075165</x:v>
      </x:c>
      <x:c r="D505" s="100" t="n">
        <x:v>2778.451348331716</x:v>
      </x:c>
      <x:c r="E505" s="101"/>
      <x:c r="F505" s="100"/>
    </x:row>
    <x:row r="506">
      <x:c r="A506" s="102" t="n">
        <x:v>45773</x:v>
      </x:c>
      <x:c r="B506" s="103" t="str">
        <x:v>0:00-4:00</x:v>
      </x:c>
      <x:c r="C506" s="104" t="n">
        <x:v>134.0536868489583</x:v>
      </x:c>
      <x:c r="D506" s="104" t="n">
        <x:v>1735.9735002737957</x:v>
      </x:c>
      <x:c r="E506" s="105" t="str">
        <x:v>0:00</x:v>
      </x:c>
      <x:c r="F506" s="104" t="n">
        <x:v>5947.334885803531</x:v>
      </x:c>
    </x:row>
    <x:row r="507">
      <x:c r="A507" s="78"/>
      <x:c r="B507" s="79" t="str">
        <x:v>4:00-8:00</x:v>
      </x:c>
      <x:c r="C507" s="80" t="n">
        <x:v>898.765761667217</x:v>
      </x:c>
      <x:c r="D507" s="80" t="n">
        <x:v>2487.7300775792028</x:v>
      </x:c>
      <x:c r="E507" s="81" t="str">
        <x:v>24:00</x:v>
      </x:c>
      <x:c r="F507" s="80" t="n">
        <x:v>5888.583093884549</x:v>
      </x:c>
    </x:row>
    <x:row r="508">
      <x:c r="A508" s="78"/>
      <x:c r="B508" s="79" t="str">
        <x:v>8:00-12:00</x:v>
      </x:c>
      <x:c r="C508" s="80" t="n">
        <x:v>9573.4795399157</x:v>
      </x:c>
      <x:c r="D508" s="80" t="n">
        <x:v>0</x:v>
      </x:c>
      <x:c r="E508" s="81"/>
      <x:c r="F508" s="80"/>
    </x:row>
    <x:row r="509">
      <x:c r="A509" s="78"/>
      <x:c r="B509" s="79" t="str">
        <x:v>12:00-16:00</x:v>
      </x:c>
      <x:c r="C509" s="80" t="n">
        <x:v>0</x:v>
      </x:c>
      <x:c r="D509" s="80" t="n">
        <x:v>0</x:v>
      </x:c>
      <x:c r="E509" s="81"/>
      <x:c r="F509" s="80"/>
    </x:row>
    <x:row r="510">
      <x:c r="A510" s="78"/>
      <x:c r="B510" s="79" t="str">
        <x:v>16:00-20:00</x:v>
      </x:c>
      <x:c r="C510" s="80" t="n">
        <x:v>0</x:v>
      </x:c>
      <x:c r="D510" s="80" t="n">
        <x:v>6117.66882368245</x:v>
      </x:c>
      <x:c r="E510" s="81"/>
      <x:c r="F510" s="80"/>
    </x:row>
    <x:row r="511">
      <x:c r="A511" s="98"/>
      <x:c r="B511" s="99" t="str">
        <x:v>20:00-24:00</x:v>
      </x:c>
      <x:c r="C511" s="100" t="n">
        <x:v>6024.474158265013</x:v>
      </x:c>
      <x:c r="D511" s="100" t="n">
        <x:v>3182.4304600161186</x:v>
      </x:c>
      <x:c r="E511" s="101"/>
      <x:c r="F511" s="100"/>
    </x:row>
    <x:row r="512">
      <x:c r="A512" s="102" t="n">
        <x:v>45774</x:v>
      </x:c>
      <x:c r="B512" s="103" t="str">
        <x:v>0:00-4:00</x:v>
      </x:c>
      <x:c r="C512" s="104" t="n">
        <x:v>2460.90227179218</x:v>
      </x:c>
      <x:c r="D512" s="104" t="n">
        <x:v>302.4329881510415</x:v>
      </x:c>
      <x:c r="E512" s="105" t="str">
        <x:v>0:00</x:v>
      </x:c>
      <x:c r="F512" s="104" t="n">
        <x:v>5888.583093884549</x:v>
      </x:c>
    </x:row>
    <x:row r="513">
      <x:c r="A513" s="78"/>
      <x:c r="B513" s="79" t="str">
        <x:v>4:00-8:00</x:v>
      </x:c>
      <x:c r="C513" s="80" t="n">
        <x:v>878.6878054807453</x:v>
      </x:c>
      <x:c r="D513" s="80" t="n">
        <x:v>6026.693834778596</x:v>
      </x:c>
      <x:c r="E513" s="81" t="str">
        <x:v>24:00</x:v>
      </x:c>
      <x:c r="F513" s="80" t="n">
        <x:v>5908.8193823408565</x:v>
      </x:c>
    </x:row>
    <x:row r="514">
      <x:c r="A514" s="78"/>
      <x:c r="B514" s="79" t="str">
        <x:v>8:00-12:00</x:v>
      </x:c>
      <x:c r="C514" s="80" t="n">
        <x:v>5463.75985</x:v>
      </x:c>
      <x:c r="D514" s="80" t="n">
        <x:v>595.6659241575273</x:v>
      </x:c>
      <x:c r="E514" s="81"/>
      <x:c r="F514" s="80"/>
    </x:row>
    <x:row r="515">
      <x:c r="A515" s="78"/>
      <x:c r="B515" s="79" t="str">
        <x:v>12:00-16:00</x:v>
      </x:c>
      <x:c r="C515" s="80" t="n">
        <x:v>5202.906816666669</x:v>
      </x:c>
      <x:c r="D515" s="80" t="n">
        <x:v>467.04769964022154</x:v>
      </x:c>
      <x:c r="E515" s="81"/>
      <x:c r="F515" s="80"/>
    </x:row>
    <x:row r="516">
      <x:c r="A516" s="78"/>
      <x:c r="B516" s="79" t="str">
        <x:v>16:00-20:00</x:v>
      </x:c>
      <x:c r="C516" s="80" t="n">
        <x:v>28.420117512221964</x:v>
      </x:c>
      <x:c r="D516" s="80" t="n">
        <x:v>7840.807560160905</x:v>
      </x:c>
      <x:c r="E516" s="81"/>
      <x:c r="F516" s="80"/>
    </x:row>
    <x:row r="517">
      <x:c r="A517" s="98"/>
      <x:c r="B517" s="99" t="str">
        <x:v>20:00-24:00</x:v>
      </x:c>
      <x:c r="C517" s="100" t="n">
        <x:v>5369.00955450119</x:v>
      </x:c>
      <x:c r="D517" s="100" t="n">
        <x:v>466.12533042296485</x:v>
      </x:c>
      <x:c r="E517" s="101"/>
      <x:c r="F517" s="100"/>
    </x:row>
    <x:row r="518">
      <x:c r="A518" s="102" t="n">
        <x:v>45775</x:v>
      </x:c>
      <x:c r="B518" s="103" t="str">
        <x:v>0:00-4:00</x:v>
      </x:c>
      <x:c r="C518" s="104" t="n">
        <x:v>2260.870815801215</x:v>
      </x:c>
      <x:c r="D518" s="104" t="n">
        <x:v>272.07331848958313</x:v>
      </x:c>
      <x:c r="E518" s="105" t="str">
        <x:v>0:00</x:v>
      </x:c>
      <x:c r="F518" s="104" t="n">
        <x:v>5908.8193823408565</x:v>
      </x:c>
    </x:row>
    <x:row r="519">
      <x:c r="A519" s="78"/>
      <x:c r="B519" s="79" t="str">
        <x:v>4:00-8:00</x:v>
      </x:c>
      <x:c r="C519" s="80" t="n">
        <x:v>887.7852655983132</x:v>
      </x:c>
      <x:c r="D519" s="80" t="n">
        <x:v>5639.28867596547</x:v>
      </x:c>
      <x:c r="E519" s="81" t="str">
        <x:v>24:00</x:v>
      </x:c>
      <x:c r="F519" s="80" t="n">
        <x:v>6031.365131784577</x:v>
      </x:c>
    </x:row>
    <x:row r="520">
      <x:c r="A520" s="78"/>
      <x:c r="B520" s="79" t="str">
        <x:v>8:00-12:00</x:v>
      </x:c>
      <x:c r="C520" s="80" t="n">
        <x:v>1210.4283833333334</x:v>
      </x:c>
      <x:c r="D520" s="80" t="n">
        <x:v>876.9868755853339</x:v>
      </x:c>
      <x:c r="E520" s="81"/>
      <x:c r="F520" s="80"/>
    </x:row>
    <x:row r="521">
      <x:c r="A521" s="78"/>
      <x:c r="B521" s="79" t="str">
        <x:v>12:00-16:00</x:v>
      </x:c>
      <x:c r="C521" s="80" t="n">
        <x:v>2605.1647000000003</x:v>
      </x:c>
      <x:c r="D521" s="80" t="n">
        <x:v>875.8847147030663</x:v>
      </x:c>
      <x:c r="E521" s="81"/>
      <x:c r="F521" s="80"/>
    </x:row>
    <x:row r="522">
      <x:c r="A522" s="78"/>
      <x:c r="B522" s="79" t="str">
        <x:v>16:00-20:00</x:v>
      </x:c>
      <x:c r="C522" s="80" t="n">
        <x:v>37.63240665545129</x:v>
      </x:c>
      <x:c r="D522" s="80" t="n">
        <x:v>2245.2279321878505</x:v>
      </x:c>
      <x:c r="E522" s="81"/>
      <x:c r="F522" s="80"/>
    </x:row>
    <x:row r="523">
      <x:c r="A523" s="98"/>
      <x:c r="B523" s="99" t="str">
        <x:v>20:00-24:00</x:v>
      </x:c>
      <x:c r="C523" s="100" t="n">
        <x:v>5397.786627286683</x:v>
      </x:c>
      <x:c r="D523" s="100" t="n">
        <x:v>23.978549496093933</x:v>
      </x:c>
      <x:c r="E523" s="101"/>
      <x:c r="F523" s="100"/>
    </x:row>
    <x:row r="524">
      <x:c r="A524" s="102" t="n">
        <x:v>45776</x:v>
      </x:c>
      <x:c r="B524" s="103" t="str">
        <x:v>0:00-4:00</x:v>
      </x:c>
      <x:c r="C524" s="104" t="n">
        <x:v>3327.75696603284</x:v>
      </x:c>
      <x:c r="D524" s="104" t="n">
        <x:v>82.3787731770833</x:v>
      </x:c>
      <x:c r="E524" s="105" t="str">
        <x:v>0:00</x:v>
      </x:c>
      <x:c r="F524" s="104" t="n">
        <x:v>6031.365131784577</x:v>
      </x:c>
    </x:row>
    <x:row r="525">
      <x:c r="A525" s="78"/>
      <x:c r="B525" s="79" t="str">
        <x:v>4:00-8:00</x:v>
      </x:c>
      <x:c r="C525" s="80" t="n">
        <x:v>833.3333333333333</x:v>
      </x:c>
      <x:c r="D525" s="80" t="n">
        <x:v>5181.873112551591</x:v>
      </x:c>
      <x:c r="E525" s="81" t="str">
        <x:v>24:00</x:v>
      </x:c>
      <x:c r="F525" s="80" t="n">
        <x:v>6098.209549136864</x:v>
      </x:c>
    </x:row>
    <x:row r="526">
      <x:c r="A526" s="78"/>
      <x:c r="B526" s="79" t="str">
        <x:v>8:00-12:00</x:v>
      </x:c>
      <x:c r="C526" s="80" t="n">
        <x:v>5595.506716666667</x:v>
      </x:c>
      <x:c r="D526" s="80" t="n">
        <x:v>748.44525</x:v>
      </x:c>
      <x:c r="E526" s="81"/>
      <x:c r="F526" s="80"/>
    </x:row>
    <x:row r="527">
      <x:c r="A527" s="78"/>
      <x:c r="B527" s="79" t="str">
        <x:v>12:00-16:00</x:v>
      </x:c>
      <x:c r="C527" s="80" t="n">
        <x:v>2964.9690544888276</x:v>
      </x:c>
      <x:c r="D527" s="80" t="n">
        <x:v>576.9182237601364</x:v>
      </x:c>
      <x:c r="E527" s="81"/>
      <x:c r="F527" s="80"/>
    </x:row>
    <x:row r="528">
      <x:c r="A528" s="78"/>
      <x:c r="B528" s="79" t="str">
        <x:v>16:00-20:00</x:v>
      </x:c>
      <x:c r="C528" s="80" t="n">
        <x:v>52.63545305518812</x:v>
      </x:c>
      <x:c r="D528" s="80" t="n">
        <x:v>7604.874917751162</x:v>
      </x:c>
      <x:c r="E528" s="81"/>
      <x:c r="F528" s="80"/>
    </x:row>
    <x:row r="529">
      <x:c r="A529" s="98"/>
      <x:c r="B529" s="99" t="str">
        <x:v>20:00-24:00</x:v>
      </x:c>
      <x:c r="C529" s="100" t="n">
        <x:v>5453.371650371978</x:v>
      </x:c>
      <x:c r="D529" s="100" t="n">
        <x:v>509.684018041529</x:v>
      </x:c>
      <x:c r="E529" s="101"/>
      <x:c r="F529" s="100"/>
    </x:row>
    <x:row r="530">
      <x:c r="A530" s="102" t="n">
        <x:v>45777</x:v>
      </x:c>
      <x:c r="B530" s="103" t="str">
        <x:v>0:00-4:00</x:v>
      </x:c>
      <x:c r="C530" s="104" t="n">
        <x:v>3413.4412171856466</x:v>
      </x:c>
      <x:c r="D530" s="104" t="n">
        <x:v>132.8218170572917</x:v>
      </x:c>
      <x:c r="E530" s="105" t="str">
        <x:v>0:00</x:v>
      </x:c>
      <x:c r="F530" s="104" t="n">
        <x:v>6098.209549136864</x:v>
      </x:c>
    </x:row>
    <x:row r="531">
      <x:c r="A531" s="78"/>
      <x:c r="B531" s="79" t="str">
        <x:v>4:00-8:00</x:v>
      </x:c>
      <x:c r="C531" s="80" t="n">
        <x:v>929.394005391989</x:v>
      </x:c>
      <x:c r="D531" s="80" t="n">
        <x:v>5668.101871354166</x:v>
      </x:c>
      <x:c r="E531" s="81" t="str">
        <x:v>24:00</x:v>
      </x:c>
      <x:c r="F531" s="80" t="n">
        <x:v>5936.484808662326</x:v>
      </x:c>
    </x:row>
    <x:row r="532">
      <x:c r="A532" s="78"/>
      <x:c r="B532" s="79" t="str">
        <x:v>8:00-12:00</x:v>
      </x:c>
      <x:c r="C532" s="80" t="n">
        <x:v>4016.6458166666666</x:v>
      </x:c>
      <x:c r="D532" s="80" t="n">
        <x:v>583.3332666666663</x:v>
      </x:c>
      <x:c r="E532" s="81"/>
      <x:c r="F532" s="80"/>
    </x:row>
    <x:row r="533">
      <x:c r="A533" s="78"/>
      <x:c r="B533" s="79" t="str">
        <x:v>12:00-16:00</x:v>
      </x:c>
      <x:c r="C533" s="80" t="n">
        <x:v>4746.529282798839</x:v>
      </x:c>
      <x:c r="D533" s="80" t="n">
        <x:v>0</x:v>
      </x:c>
      <x:c r="E533" s="81"/>
      <x:c r="F533" s="80"/>
    </x:row>
    <x:row r="534">
      <x:c r="A534" s="78"/>
      <x:c r="B534" s="79" t="str">
        <x:v>16:00-20:00</x:v>
      </x:c>
      <x:c r="C534" s="80" t="n">
        <x:v>9.64862812499996</x:v>
      </x:c>
      <x:c r="D534" s="80" t="n">
        <x:v>6342.4965703125</x:v>
      </x:c>
      <x:c r="E534" s="81"/>
      <x:c r="F534" s="80"/>
    </x:row>
    <x:row r="535">
      <x:c r="A535" s="98"/>
      <x:c r="B535" s="99" t="str">
        <x:v>20:00-24:00</x:v>
      </x:c>
      <x:c r="C535" s="100" t="n">
        <x:v>5365.446505268454</x:v>
      </x:c>
      <x:c r="D535" s="100" t="n">
        <x:v>2388.494159940106</x:v>
      </x:c>
      <x:c r="E535" s="101"/>
      <x:c r="F535" s="100"/>
    </x:row>
    <x:row r="536">
      <x:c r="A536" s="102" t="n">
        <x:v>45778</x:v>
      </x:c>
      <x:c r="B536" s="103" t="str">
        <x:v>0:00-4:00</x:v>
      </x:c>
      <x:c r="C536" s="104" t="n">
        <x:v>2236.542886910307</x:v>
      </x:c>
      <x:c r="D536" s="104" t="n">
        <x:v>484.97823938802026</x:v>
      </x:c>
      <x:c r="E536" s="105" t="str">
        <x:v>0:00</x:v>
      </x:c>
      <x:c r="F536" s="104" t="n">
        <x:v>5936.484808662326</x:v>
      </x:c>
    </x:row>
    <x:row r="537">
      <x:c r="A537" s="78"/>
      <x:c r="B537" s="79" t="str">
        <x:v>4:00-8:00</x:v>
      </x:c>
      <x:c r="C537" s="80" t="n">
        <x:v>892.7523764765966</x:v>
      </x:c>
      <x:c r="D537" s="80" t="n">
        <x:v>6294.6666420317315</x:v>
      </x:c>
      <x:c r="E537" s="81" t="str">
        <x:v>24:00</x:v>
      </x:c>
      <x:c r="F537" s="80" t="n">
        <x:v>5015.011535203268</x:v>
      </x:c>
    </x:row>
    <x:row r="538">
      <x:c r="A538" s="78"/>
      <x:c r="B538" s="79" t="str">
        <x:v>8:00-12:00</x:v>
      </x:c>
      <x:c r="C538" s="80" t="n">
        <x:v>5582.56205</x:v>
      </x:c>
      <x:c r="D538" s="80" t="n">
        <x:v>17.92060971973417</x:v>
      </x:c>
      <x:c r="E538" s="81"/>
      <x:c r="F538" s="80"/>
    </x:row>
    <x:row r="539">
      <x:c r="A539" s="78"/>
      <x:c r="B539" s="79" t="str">
        <x:v>12:00-16:00</x:v>
      </x:c>
      <x:c r="C539" s="80" t="n">
        <x:v>5084.104616666669</x:v>
      </x:c>
      <x:c r="D539" s="80" t="n">
        <x:v>241.83422097947744</x:v>
      </x:c>
      <x:c r="E539" s="81"/>
      <x:c r="F539" s="80"/>
    </x:row>
    <x:row r="540">
      <x:c r="A540" s="78"/>
      <x:c r="B540" s="79" t="str">
        <x:v>16:00-20:00</x:v>
      </x:c>
      <x:c r="C540" s="80" t="n">
        <x:v>0</x:v>
      </x:c>
      <x:c r="D540" s="80" t="n">
        <x:v>8398.165779020524</x:v>
      </x:c>
      <x:c r="E540" s="81"/>
      <x:c r="F540" s="80"/>
    </x:row>
    <x:row r="541">
      <x:c r="A541" s="98"/>
      <x:c r="B541" s="99" t="str">
        <x:v>20:00-24:00</x:v>
      </x:c>
      <x:c r="C541" s="100" t="n">
        <x:v>4803.523972290541</x:v>
      </x:c>
      <x:c r="D541" s="100" t="n">
        <x:v>457.34403587239603</x:v>
      </x:c>
      <x:c r="E541" s="101"/>
      <x:c r="F541" s="100"/>
    </x:row>
    <x:row r="542">
      <x:c r="A542" s="102" t="n">
        <x:v>45779</x:v>
      </x:c>
      <x:c r="B542" s="103" t="str">
        <x:v>0:00-4:00</x:v>
      </x:c>
      <x:c r="C542" s="104" t="n">
        <x:v>179.88738873697918</x:v>
      </x:c>
      <x:c r="D542" s="104" t="n">
        <x:v>562.9951557291666</x:v>
      </x:c>
      <x:c r="E542" s="105" t="str">
        <x:v>0:00</x:v>
      </x:c>
      <x:c r="F542" s="104" t="n">
        <x:v>5015.011535203268</x:v>
      </x:c>
    </x:row>
    <x:row r="543">
      <x:c r="A543" s="78"/>
      <x:c r="B543" s="79" t="str">
        <x:v>4:00-8:00</x:v>
      </x:c>
      <x:c r="C543" s="80" t="n">
        <x:v>1093.3402592626123</x:v>
      </x:c>
      <x:c r="D543" s="80" t="n">
        <x:v>3680.799898833444</x:v>
      </x:c>
      <x:c r="E543" s="81" t="str">
        <x:v>24:00</x:v>
      </x:c>
      <x:c r="F543" s="80" t="n">
        <x:v>5450.339252517361</x:v>
      </x:c>
    </x:row>
    <x:row r="544">
      <x:c r="A544" s="78"/>
      <x:c r="B544" s="79" t="str">
        <x:v>8:00-12:00</x:v>
      </x:c>
      <x:c r="C544" s="80" t="n">
        <x:v>10393.790466666665</x:v>
      </x:c>
      <x:c r="D544" s="80" t="n">
        <x:v>0</x:v>
      </x:c>
      <x:c r="E544" s="81"/>
      <x:c r="F544" s="80"/>
    </x:row>
    <x:row r="545">
      <x:c r="A545" s="78"/>
      <x:c r="B545" s="79" t="str">
        <x:v>12:00-16:00</x:v>
      </x:c>
      <x:c r="C545" s="80" t="n">
        <x:v>0</x:v>
      </x:c>
      <x:c r="D545" s="80" t="n">
        <x:v>0</x:v>
      </x:c>
      <x:c r="E545" s="81"/>
      <x:c r="F545" s="80"/>
    </x:row>
    <x:row r="546">
      <x:c r="A546" s="78"/>
      <x:c r="B546" s="79" t="str">
        <x:v>16:00-20:00</x:v>
      </x:c>
      <x:c r="C546" s="80" t="n">
        <x:v>0</x:v>
      </x:c>
      <x:c r="D546" s="80" t="n">
        <x:v>7703.948634765622</x:v>
      </x:c>
      <x:c r="E546" s="81"/>
      <x:c r="F546" s="80"/>
    </x:row>
    <x:row r="547">
      <x:c r="A547" s="98"/>
      <x:c r="B547" s="99" t="str">
        <x:v>20:00-24:00</x:v>
      </x:c>
      <x:c r="C547" s="100" t="n">
        <x:v>5033.034799848893</x:v>
      </x:c>
      <x:c r="D547" s="100" t="n">
        <x:v>1187.5042258463554</x:v>
      </x:c>
      <x:c r="E547" s="101"/>
      <x:c r="F547" s="100"/>
    </x:row>
    <x:row r="548">
      <x:c r="A548" s="102" t="n">
        <x:v>45780</x:v>
      </x:c>
      <x:c r="B548" s="103" t="str">
        <x:v>0:00-4:00</x:v>
      </x:c>
      <x:c r="C548" s="104" t="n">
        <x:v>103.34648880208329</x:v>
      </x:c>
      <x:c r="D548" s="104" t="n">
        <x:v>1936.2099589151221</x:v>
      </x:c>
      <x:c r="E548" s="105" t="str">
        <x:v>0:00</x:v>
      </x:c>
      <x:c r="F548" s="104" t="n">
        <x:v>5450.339252517361</x:v>
      </x:c>
    </x:row>
    <x:row r="549">
      <x:c r="A549" s="78"/>
      <x:c r="B549" s="79" t="str">
        <x:v>4:00-8:00</x:v>
      </x:c>
      <x:c r="C549" s="80" t="n">
        <x:v>440.08302400656635</x:v>
      </x:c>
      <x:c r="D549" s="80" t="n">
        <x:v>1981.6443047255102</x:v>
      </x:c>
      <x:c r="E549" s="81" t="str">
        <x:v>24:00</x:v>
      </x:c>
      <x:c r="F549" s="80" t="n">
        <x:v>5543.157356771556</x:v>
      </x:c>
    </x:row>
    <x:row r="550">
      <x:c r="A550" s="78"/>
      <x:c r="B550" s="79" t="str">
        <x:v>8:00-12:00</x:v>
      </x:c>
      <x:c r="C550" s="80" t="n">
        <x:v>10237.4951</x:v>
      </x:c>
      <x:c r="D550" s="80" t="n">
        <x:v>0</x:v>
      </x:c>
      <x:c r="E550" s="81"/>
      <x:c r="F550" s="80"/>
    </x:row>
    <x:row r="551">
      <x:c r="A551" s="78"/>
      <x:c r="B551" s="79" t="str">
        <x:v>12:00-16:00</x:v>
      </x:c>
      <x:c r="C551" s="80" t="n">
        <x:v>0</x:v>
      </x:c>
      <x:c r="D551" s="80" t="n">
        <x:v>0</x:v>
      </x:c>
      <x:c r="E551" s="81"/>
      <x:c r="F551" s="80"/>
    </x:row>
    <x:row r="552">
      <x:c r="A552" s="78"/>
      <x:c r="B552" s="79" t="str">
        <x:v>16:00-20:00</x:v>
      </x:c>
      <x:c r="C552" s="80" t="n">
        <x:v>0</x:v>
      </x:c>
      <x:c r="D552" s="80" t="n">
        <x:v>7136.289107055843</x:v>
      </x:c>
      <x:c r="E552" s="81"/>
      <x:c r="F552" s="80"/>
    </x:row>
    <x:row r="553">
      <x:c r="A553" s="98"/>
      <x:c r="B553" s="99" t="str">
        <x:v>20:00-24:00</x:v>
      </x:c>
      <x:c r="C553" s="100" t="n">
        <x:v>5139.849889002218</x:v>
      </x:c>
      <x:c r="D553" s="100" t="n">
        <x:v>1758.1476819415561</x:v>
      </x:c>
      <x:c r="E553" s="101"/>
      <x:c r="F553" s="100"/>
    </x:row>
    <x:row r="554">
      <x:c r="A554" s="102" t="n">
        <x:v>45781</x:v>
      </x:c>
      <x:c r="B554" s="103" t="str">
        <x:v>0:00-4:00</x:v>
      </x:c>
      <x:c r="C554" s="104" t="n">
        <x:v>1765.887592773437</x:v>
      </x:c>
      <x:c r="D554" s="104" t="n">
        <x:v>590.3269887946749</x:v>
      </x:c>
      <x:c r="E554" s="105" t="str">
        <x:v>0:00</x:v>
      </x:c>
      <x:c r="F554" s="104" t="n">
        <x:v>5543.157356771556</x:v>
      </x:c>
    </x:row>
    <x:row r="555">
      <x:c r="A555" s="78"/>
      <x:c r="B555" s="79" t="str">
        <x:v>4:00-8:00</x:v>
      </x:c>
      <x:c r="C555" s="80" t="n">
        <x:v>1640.8610223562005</x:v>
      </x:c>
      <x:c r="D555" s="80" t="n">
        <x:v>5023.977655674173</x:v>
      </x:c>
      <x:c r="E555" s="81" t="str">
        <x:v>24:00</x:v>
      </x:c>
      <x:c r="F555" s="80" t="n">
        <x:v>5238.058563938078</x:v>
      </x:c>
    </x:row>
    <x:row r="556">
      <x:c r="A556" s="78"/>
      <x:c r="B556" s="79" t="str">
        <x:v>8:00-12:00</x:v>
      </x:c>
      <x:c r="C556" s="80" t="n">
        <x:v>4375.97755</x:v>
      </x:c>
      <x:c r="D556" s="80" t="n">
        <x:v>844.7216666666666</x:v>
      </x:c>
      <x:c r="E556" s="81"/>
      <x:c r="F556" s="80"/>
    </x:row>
    <x:row r="557">
      <x:c r="A557" s="78"/>
      <x:c r="B557" s="79" t="str">
        <x:v>12:00-16:00</x:v>
      </x:c>
      <x:c r="C557" s="80" t="n">
        <x:v>4404.91412551607</x:v>
      </x:c>
      <x:c r="D557" s="80" t="n">
        <x:v>45.49611492365909</x:v>
      </x:c>
      <x:c r="E557" s="81"/>
      <x:c r="F557" s="80"/>
    </x:row>
    <x:row r="558">
      <x:c r="A558" s="78"/>
      <x:c r="B558" s="79" t="str">
        <x:v>16:00-20:00</x:v>
      </x:c>
      <x:c r="C558" s="80" t="n">
        <x:v>0</x:v>
      </x:c>
      <x:c r="D558" s="80" t="n">
        <x:v>7276.307830458252</x:v>
      </x:c>
      <x:c r="E558" s="81"/>
      <x:c r="F558" s="80"/>
    </x:row>
    <x:row r="559">
      <x:c r="A559" s="98"/>
      <x:c r="B559" s="99" t="str">
        <x:v>20:00-24:00</x:v>
      </x:c>
      <x:c r="C559" s="100" t="n">
        <x:v>4796.691570045654</x:v>
      </x:c>
      <x:c r="D559" s="100" t="n">
        <x:v>251.06746419270848</x:v>
      </x:c>
      <x:c r="E559" s="101"/>
      <x:c r="F559" s="100"/>
    </x:row>
    <x:row r="560">
      <x:c r="A560" s="102" t="n">
        <x:v>45782</x:v>
      </x:c>
      <x:c r="B560" s="103" t="str">
        <x:v>0:00-4:00</x:v>
      </x:c>
      <x:c r="C560" s="104" t="n">
        <x:v>3333.076035485844</x:v>
      </x:c>
      <x:c r="D560" s="104" t="n">
        <x:v>425.0324242187497</x:v>
      </x:c>
      <x:c r="E560" s="105" t="str">
        <x:v>0:00</x:v>
      </x:c>
      <x:c r="F560" s="104" t="n">
        <x:v>5238.058563938078</x:v>
      </x:c>
    </x:row>
    <x:row r="561">
      <x:c r="A561" s="78"/>
      <x:c r="B561" s="79" t="str">
        <x:v>4:00-8:00</x:v>
      </x:c>
      <x:c r="C561" s="80" t="n">
        <x:v>1673.322046020979</x:v>
      </x:c>
      <x:c r="D561" s="80" t="n">
        <x:v>6659.393659842543</x:v>
      </x:c>
      <x:c r="E561" s="81" t="str">
        <x:v>24:00</x:v>
      </x:c>
      <x:c r="F561" s="80" t="n">
        <x:v>5237.179003409289</x:v>
      </x:c>
    </x:row>
    <x:row r="562">
      <x:c r="A562" s="78"/>
      <x:c r="B562" s="79" t="str">
        <x:v>8:00-12:00</x:v>
      </x:c>
      <x:c r="C562" s="80" t="n">
        <x:v>3914.4812333333334</x:v>
      </x:c>
      <x:c r="D562" s="80" t="n">
        <x:v>605.009069503507</x:v>
      </x:c>
      <x:c r="E562" s="81"/>
      <x:c r="F562" s="80"/>
    </x:row>
    <x:row r="563">
      <x:c r="A563" s="78"/>
      <x:c r="B563" s="79" t="str">
        <x:v>12:00-16:00</x:v>
      </x:c>
      <x:c r="C563" s="80" t="n">
        <x:v>3805.1708047307334</x:v>
      </x:c>
      <x:c r="D563" s="80" t="n">
        <x:v>28.079299545299953</x:v>
      </x:c>
      <x:c r="E563" s="81"/>
      <x:c r="F563" s="80"/>
    </x:row>
    <x:row r="564">
      <x:c r="A564" s="78"/>
      <x:c r="B564" s="79" t="str">
        <x:v>16:00-20:00</x:v>
      </x:c>
      <x:c r="C564" s="80" t="n">
        <x:v>11.554090326383289</x:v>
      </x:c>
      <x:c r="D564" s="80" t="n">
        <x:v>6234.197664450963</x:v>
      </x:c>
      <x:c r="E564" s="81"/>
      <x:c r="F564" s="80"/>
    </x:row>
    <x:row r="565">
      <x:c r="A565" s="98"/>
      <x:c r="B565" s="99" t="str">
        <x:v>20:00-24:00</x:v>
      </x:c>
      <x:c r="C565" s="100" t="n">
        <x:v>4867.692141776781</x:v>
      </x:c>
      <x:c r="D565" s="100" t="n">
        <x:v>309.3695317708334</x:v>
      </x:c>
      <x:c r="E565" s="101"/>
      <x:c r="F565" s="100"/>
    </x:row>
    <x:row r="566">
      <x:c r="A566" s="102" t="n">
        <x:v>45783</x:v>
      </x:c>
      <x:c r="B566" s="103" t="str">
        <x:v>0:00-4:00</x:v>
      </x:c>
      <x:c r="C566" s="104" t="n">
        <x:v>4041.354151246681</x:v>
      </x:c>
      <x:c r="D566" s="104" t="n">
        <x:v>207.95662519531243</x:v>
      </x:c>
      <x:c r="E566" s="105" t="str">
        <x:v>0:00</x:v>
      </x:c>
      <x:c r="F566" s="104" t="n">
        <x:v>5237.179003409289</x:v>
      </x:c>
    </x:row>
    <x:row r="567">
      <x:c r="A567" s="78"/>
      <x:c r="B567" s="79" t="str">
        <x:v>4:00-8:00</x:v>
      </x:c>
      <x:c r="C567" s="80" t="n">
        <x:v>840.3587972005207</x:v>
      </x:c>
      <x:c r="D567" s="80" t="n">
        <x:v>6418.611842778108</x:v>
      </x:c>
      <x:c r="E567" s="81" t="str">
        <x:v>24:00</x:v>
      </x:c>
      <x:c r="F567" s="80" t="n">
        <x:v>5279.895257083333</x:v>
      </x:c>
    </x:row>
    <x:row r="568">
      <x:c r="A568" s="78"/>
      <x:c r="B568" s="79" t="str">
        <x:v>8:00-12:00</x:v>
      </x:c>
      <x:c r="C568" s="80" t="n">
        <x:v>4356.686783333333</x:v>
      </x:c>
      <x:c r="D568" s="80" t="n">
        <x:v>961.0801233371735</x:v>
      </x:c>
      <x:c r="E568" s="81"/>
      <x:c r="F568" s="80"/>
    </x:row>
    <x:row r="569">
      <x:c r="A569" s="78"/>
      <x:c r="B569" s="79" t="str">
        <x:v>12:00-16:00</x:v>
      </x:c>
      <x:c r="C569" s="80" t="n">
        <x:v>5513.171837550498</x:v>
      </x:c>
      <x:c r="D569" s="80" t="n">
        <x:v>46.82421421335067</x:v>
      </x:c>
      <x:c r="E569" s="81"/>
      <x:c r="F569" s="80"/>
    </x:row>
    <x:row r="570">
      <x:c r="A570" s="78"/>
      <x:c r="B570" s="79" t="str">
        <x:v>16:00-20:00</x:v>
      </x:c>
      <x:c r="C570" s="80" t="n">
        <x:v>146.20618071388316</x:v>
      </x:c>
      <x:c r="D570" s="80" t="n">
        <x:v>8066.188275080802</x:v>
      </x:c>
      <x:c r="E570" s="81"/>
      <x:c r="F570" s="80"/>
    </x:row>
    <x:row r="571">
      <x:c r="A571" s="98"/>
      <x:c r="B571" s="99" t="str">
        <x:v>20:00-24:00</x:v>
      </x:c>
      <x:c r="C571" s="100" t="n">
        <x:v>4991.251412753986</x:v>
      </x:c>
      <x:c r="D571" s="100" t="n">
        <x:v>371.00791295572935</x:v>
      </x:c>
      <x:c r="E571" s="101"/>
      <x:c r="F571" s="100"/>
    </x:row>
    <x:row r="572">
      <x:c r="A572" s="102" t="n">
        <x:v>45784</x:v>
      </x:c>
      <x:c r="B572" s="103" t="str">
        <x:v>0:00-4:00</x:v>
      </x:c>
      <x:c r="C572" s="104" t="n">
        <x:v>3389.365217708333</x:v>
      </x:c>
      <x:c r="D572" s="104" t="n">
        <x:v>236.73499101562481</x:v>
      </x:c>
      <x:c r="E572" s="105" t="str">
        <x:v>0:00</x:v>
      </x:c>
      <x:c r="F572" s="104" t="n">
        <x:v>5279.895257083333</x:v>
      </x:c>
    </x:row>
    <x:row r="573">
      <x:c r="A573" s="78"/>
      <x:c r="B573" s="79" t="str">
        <x:v>4:00-8:00</x:v>
      </x:c>
      <x:c r="C573" s="80" t="n">
        <x:v>1522.7153220144032</x:v>
      </x:c>
      <x:c r="D573" s="80" t="n">
        <x:v>6152.13845084879</x:v>
      </x:c>
      <x:c r="E573" s="81" t="str">
        <x:v>24:00</x:v>
      </x:c>
      <x:c r="F573" s="80" t="n">
        <x:v>5430.568797730758</x:v>
      </x:c>
    </x:row>
    <x:row r="574">
      <x:c r="A574" s="78"/>
      <x:c r="B574" s="79" t="str">
        <x:v>8:00-12:00</x:v>
      </x:c>
      <x:c r="C574" s="80" t="n">
        <x:v>3766.226733333333</x:v>
      </x:c>
      <x:c r="D574" s="80" t="n">
        <x:v>1261.8175266860037</x:v>
      </x:c>
      <x:c r="E574" s="81"/>
      <x:c r="F574" s="80"/>
    </x:row>
    <x:row r="575">
      <x:c r="A575" s="78"/>
      <x:c r="B575" s="79" t="str">
        <x:v>12:00-16:00</x:v>
      </x:c>
      <x:c r="C575" s="80" t="n">
        <x:v>4422.386883333333</x:v>
      </x:c>
      <x:c r="D575" s="80" t="n">
        <x:v>760.2324877943729</x:v>
      </x:c>
      <x:c r="E575" s="81"/>
      <x:c r="F575" s="80"/>
    </x:row>
    <x:row r="576">
      <x:c r="A576" s="78"/>
      <x:c r="B576" s="79" t="str">
        <x:v>16:00-20:00</x:v>
      </x:c>
      <x:c r="C576" s="80" t="n">
        <x:v>0</x:v>
      </x:c>
      <x:c r="D576" s="80" t="n">
        <x:v>5872.544541705625</x:v>
      </x:c>
      <x:c r="E576" s="81"/>
      <x:c r="F576" s="80"/>
    </x:row>
    <x:row r="577">
      <x:c r="A577" s="98"/>
      <x:c r="B577" s="99" t="str">
        <x:v>20:00-24:00</x:v>
      </x:c>
      <x:c r="C577" s="100" t="n">
        <x:v>4942.886129824942</x:v>
      </x:c>
      <x:c r="D577" s="100" t="n">
        <x:v>196.2258472005209</x:v>
      </x:c>
      <x:c r="E577" s="101"/>
      <x:c r="F577" s="100"/>
    </x:row>
    <x:row r="578">
      <x:c r="A578" s="102" t="n">
        <x:v>45785</x:v>
      </x:c>
      <x:c r="B578" s="103" t="str">
        <x:v>0:00-4:00</x:v>
      </x:c>
      <x:c r="C578" s="104" t="n">
        <x:v>4150.947431081949</x:v>
      </x:c>
      <x:c r="D578" s="104" t="n">
        <x:v>178.8701025390627</x:v>
      </x:c>
      <x:c r="E578" s="105" t="str">
        <x:v>0:00</x:v>
      </x:c>
      <x:c r="F578" s="104" t="n">
        <x:v>5430.568797730758</x:v>
      </x:c>
    </x:row>
    <x:row r="579">
      <x:c r="A579" s="78"/>
      <x:c r="B579" s="79" t="str">
        <x:v>4:00-8:00</x:v>
      </x:c>
      <x:c r="C579" s="80" t="n">
        <x:v>960.1468417317707</x:v>
      </x:c>
      <x:c r="D579" s="80" t="n">
        <x:v>5740.498674938099</x:v>
      </x:c>
      <x:c r="E579" s="81" t="str">
        <x:v>24:00</x:v>
      </x:c>
      <x:c r="F579" s="80" t="n">
        <x:v>5666.900002380643</x:v>
      </x:c>
    </x:row>
    <x:row r="580">
      <x:c r="A580" s="78"/>
      <x:c r="B580" s="79" t="str">
        <x:v>8:00-12:00</x:v>
      </x:c>
      <x:c r="C580" s="80" t="n">
        <x:v>2959.9689499999995</x:v>
      </x:c>
      <x:c r="D580" s="80" t="n">
        <x:v>1345.9257333333335</x:v>
      </x:c>
      <x:c r="E580" s="81"/>
      <x:c r="F580" s="80"/>
    </x:row>
    <x:row r="581">
      <x:c r="A581" s="78"/>
      <x:c r="B581" s="79" t="str">
        <x:v>12:00-16:00</x:v>
      </x:c>
      <x:c r="C581" s="80" t="n">
        <x:v>2650.046483333333</x:v>
      </x:c>
      <x:c r="D581" s="80" t="n">
        <x:v>850.5133967967977</x:v>
      </x:c>
      <x:c r="E581" s="81"/>
      <x:c r="F581" s="80"/>
    </x:row>
    <x:row r="582">
      <x:c r="A582" s="78"/>
      <x:c r="B582" s="79" t="str">
        <x:v>16:00-20:00</x:v>
      </x:c>
      <x:c r="C582" s="80" t="n">
        <x:v>471.44487209371056</x:v>
      </x:c>
      <x:c r="D582" s="80" t="n">
        <x:v>4757.673218725404</x:v>
      </x:c>
      <x:c r="E582" s="81"/>
      <x:c r="F582" s="80"/>
    </x:row>
    <x:row r="583">
      <x:c r="A583" s="98"/>
      <x:c r="B583" s="99" t="str">
        <x:v>20:00-24:00</x:v>
      </x:c>
      <x:c r="C583" s="100" t="n">
        <x:v>5045.985681101305</x:v>
      </x:c>
      <x:c r="D583" s="100" t="n">
        <x:v>67.03839954947894</x:v>
      </x:c>
      <x:c r="E583" s="101"/>
      <x:c r="F583" s="100"/>
    </x:row>
    <x:row r="584">
      <x:c r="A584" s="102" t="n">
        <x:v>45786</x:v>
      </x:c>
      <x:c r="B584" s="103" t="str">
        <x:v>0:00-4:00</x:v>
      </x:c>
      <x:c r="C584" s="104" t="n">
        <x:v>123.39404277343743</x:v>
      </x:c>
      <x:c r="D584" s="104" t="n">
        <x:v>1079.675901236979</x:v>
      </x:c>
      <x:c r="E584" s="105" t="str">
        <x:v>0:00</x:v>
      </x:c>
      <x:c r="F584" s="104" t="n">
        <x:v>5666.900002380643</x:v>
      </x:c>
    </x:row>
    <x:row r="585">
      <x:c r="A585" s="78"/>
      <x:c r="B585" s="79" t="str">
        <x:v>4:00-8:00</x:v>
      </x:c>
      <x:c r="C585" s="80" t="n">
        <x:v>1187.4973610758607</x:v>
      </x:c>
      <x:c r="D585" s="80" t="n">
        <x:v>3726.3221645235317</x:v>
      </x:c>
      <x:c r="E585" s="81" t="str">
        <x:v>24:00</x:v>
      </x:c>
      <x:c r="F585" s="80" t="n">
        <x:v>6144.170288579283</x:v>
      </x:c>
    </x:row>
    <x:row r="586">
      <x:c r="A586" s="78"/>
      <x:c r="B586" s="79" t="str">
        <x:v>8:00-12:00</x:v>
      </x:c>
      <x:c r="C586" s="80" t="n">
        <x:v>10325.883983333333</x:v>
      </x:c>
      <x:c r="D586" s="80" t="n">
        <x:v>0</x:v>
      </x:c>
      <x:c r="E586" s="81"/>
      <x:c r="F586" s="80"/>
    </x:row>
    <x:row r="587">
      <x:c r="A587" s="78"/>
      <x:c r="B587" s="79" t="str">
        <x:v>12:00-16:00</x:v>
      </x:c>
      <x:c r="C587" s="80" t="n">
        <x:v>0</x:v>
      </x:c>
      <x:c r="D587" s="80" t="n">
        <x:v>0</x:v>
      </x:c>
      <x:c r="E587" s="81"/>
      <x:c r="F587" s="80"/>
    </x:row>
    <x:row r="588">
      <x:c r="A588" s="78"/>
      <x:c r="B588" s="79" t="str">
        <x:v>16:00-20:00</x:v>
      </x:c>
      <x:c r="C588" s="80" t="n">
        <x:v>5.719650205761961</x:v>
      </x:c>
      <x:c r="D588" s="80" t="n">
        <x:v>6526.473377284645</x:v>
      </x:c>
      <x:c r="E588" s="81"/>
      <x:c r="F588" s="80"/>
    </x:row>
    <x:row r="589">
      <x:c r="A589" s="98"/>
      <x:c r="B589" s="99" t="str">
        <x:v>20:00-24:00</x:v>
      </x:c>
      <x:c r="C589" s="100" t="n">
        <x:v>5499.714720720807</x:v>
      </x:c>
      <x:c r="D589" s="100" t="n">
        <x:v>2123.175203444521</x:v>
      </x:c>
      <x:c r="E589" s="101"/>
      <x:c r="F589" s="100"/>
    </x:row>
    <x:row r="590">
      <x:c r="A590" s="102" t="n">
        <x:v>45787</x:v>
      </x:c>
      <x:c r="B590" s="103" t="str">
        <x:v>0:00-4:00</x:v>
      </x:c>
      <x:c r="C590" s="104" t="n">
        <x:v>302.25300260416674</x:v>
      </x:c>
      <x:c r="D590" s="104" t="n">
        <x:v>2363.1599514191885</x:v>
      </x:c>
      <x:c r="E590" s="105" t="str">
        <x:v>0:00</x:v>
      </x:c>
      <x:c r="F590" s="104" t="n">
        <x:v>6144.170288579283</x:v>
      </x:c>
    </x:row>
    <x:row r="591">
      <x:c r="A591" s="78"/>
      <x:c r="B591" s="79" t="str">
        <x:v>4:00-8:00</x:v>
      </x:c>
      <x:c r="C591" s="80" t="n">
        <x:v>80.27513587447393</x:v>
      </x:c>
      <x:c r="D591" s="80" t="n">
        <x:v>2197.4368162949168</x:v>
      </x:c>
      <x:c r="E591" s="81" t="str">
        <x:v>24:00</x:v>
      </x:c>
      <x:c r="F591" s="80" t="n">
        <x:v>5666.880881421442</x:v>
      </x:c>
    </x:row>
    <x:row r="592">
      <x:c r="A592" s="78"/>
      <x:c r="B592" s="79" t="str">
        <x:v>8:00-12:00</x:v>
      </x:c>
      <x:c r="C592" s="80" t="n">
        <x:v>10420.982365216114</x:v>
      </x:c>
      <x:c r="D592" s="80" t="n">
        <x:v>0</x:v>
      </x:c>
      <x:c r="E592" s="81"/>
      <x:c r="F592" s="80"/>
    </x:row>
    <x:row r="593">
      <x:c r="A593" s="78"/>
      <x:c r="B593" s="79" t="str">
        <x:v>12:00-16:00</x:v>
      </x:c>
      <x:c r="C593" s="80" t="n">
        <x:v>0</x:v>
      </x:c>
      <x:c r="D593" s="80" t="n">
        <x:v>0</x:v>
      </x:c>
      <x:c r="E593" s="81"/>
      <x:c r="F593" s="80"/>
    </x:row>
    <x:row r="594">
      <x:c r="A594" s="78"/>
      <x:c r="B594" s="79" t="str">
        <x:v>16:00-20:00</x:v>
      </x:c>
      <x:c r="C594" s="80" t="n">
        <x:v>86.93903112044</x:v>
      </x:c>
      <x:c r="D594" s="80" t="n">
        <x:v>6564.457610425648</x:v>
      </x:c>
      <x:c r="E594" s="81"/>
      <x:c r="F594" s="80"/>
    </x:row>
    <x:row r="595">
      <x:c r="A595" s="98"/>
      <x:c r="B595" s="99" t="str">
        <x:v>20:00-24:00</x:v>
      </x:c>
      <x:c r="C595" s="100" t="n">
        <x:v>5110.856952045557</x:v>
      </x:c>
      <x:c r="D595" s="100" t="n">
        <x:v>2265.5643426595097</x:v>
      </x:c>
      <x:c r="E595" s="101"/>
      <x:c r="F595" s="100"/>
    </x:row>
    <x:row r="596">
      <x:c r="A596" s="102" t="n">
        <x:v>45788</x:v>
      </x:c>
      <x:c r="B596" s="103" t="str">
        <x:v>0:00-4:00</x:v>
      </x:c>
      <x:c r="C596" s="104" t="n">
        <x:v>4601.946716037519</x:v>
      </x:c>
      <x:c r="D596" s="104" t="n">
        <x:v>258.7372227213541</x:v>
      </x:c>
      <x:c r="E596" s="105" t="str">
        <x:v>0:00</x:v>
      </x:c>
      <x:c r="F596" s="104" t="n">
        <x:v>5666.880881421442</x:v>
      </x:c>
    </x:row>
    <x:row r="597">
      <x:c r="A597" s="78"/>
      <x:c r="B597" s="79" t="str">
        <x:v>4:00-8:00</x:v>
      </x:c>
      <x:c r="C597" s="80" t="n">
        <x:v>841.8200994412131</x:v>
      </x:c>
      <x:c r="D597" s="80" t="n">
        <x:v>5521.276384462242</x:v>
      </x:c>
      <x:c r="E597" s="81" t="str">
        <x:v>24:00</x:v>
      </x:c>
      <x:c r="F597" s="80" t="n">
        <x:v>5629.434109123987</x:v>
      </x:c>
    </x:row>
    <x:row r="598">
      <x:c r="A598" s="78"/>
      <x:c r="B598" s="79" t="str">
        <x:v>8:00-12:00</x:v>
      </x:c>
      <x:c r="C598" s="80" t="n">
        <x:v>2370.3726000000006</x:v>
      </x:c>
      <x:c r="D598" s="80" t="n">
        <x:v>1309.333466666667</x:v>
      </x:c>
      <x:c r="E598" s="81"/>
      <x:c r="F598" s="80"/>
    </x:row>
    <x:row r="599">
      <x:c r="A599" s="78"/>
      <x:c r="B599" s="79" t="str">
        <x:v>12:00-16:00</x:v>
      </x:c>
      <x:c r="C599" s="80" t="n">
        <x:v>3924.350033333333</x:v>
      </x:c>
      <x:c r="D599" s="80" t="n">
        <x:v>458.3475711435478</x:v>
      </x:c>
      <x:c r="E599" s="81"/>
      <x:c r="F599" s="80"/>
    </x:row>
    <x:row r="600">
      <x:c r="A600" s="78"/>
      <x:c r="B600" s="79" t="str">
        <x:v>16:00-20:00</x:v>
      </x:c>
      <x:c r="C600" s="80" t="n">
        <x:v>226.6478815158207</x:v>
      </x:c>
      <x:c r="D600" s="80" t="n">
        <x:v>6164.259385851072</x:v>
      </x:c>
      <x:c r="E600" s="81"/>
      <x:c r="F600" s="80"/>
    </x:row>
    <x:row r="601">
      <x:c r="A601" s="98"/>
      <x:c r="B601" s="99" t="str">
        <x:v>20:00-24:00</x:v>
      </x:c>
      <x:c r="C601" s="100" t="n">
        <x:v>5091.71039942853</x:v>
      </x:c>
      <x:c r="D601" s="100" t="n">
        <x:v>137.79472532552086</x:v>
      </x:c>
      <x:c r="E601" s="101"/>
      <x:c r="F601" s="100"/>
    </x:row>
    <x:row r="602">
      <x:c r="A602" s="102" t="n">
        <x:v>45789</x:v>
      </x:c>
      <x:c r="B602" s="103" t="str">
        <x:v>0:00-4:00</x:v>
      </x:c>
      <x:c r="C602" s="104" t="n">
        <x:v>4925.249408568834</x:v>
      </x:c>
      <x:c r="D602" s="104" t="n">
        <x:v>258.7101888020834</x:v>
      </x:c>
      <x:c r="E602" s="105" t="str">
        <x:v>0:00</x:v>
      </x:c>
      <x:c r="F602" s="104" t="n">
        <x:v>5629.434109123987</x:v>
      </x:c>
    </x:row>
    <x:row r="603">
      <x:c r="A603" s="78"/>
      <x:c r="B603" s="79" t="str">
        <x:v>4:00-8:00</x:v>
      </x:c>
      <x:c r="C603" s="80" t="n">
        <x:v>849.3391293045378</x:v>
      </x:c>
      <x:c r="D603" s="80" t="n">
        <x:v>4169.190261633995</x:v>
      </x:c>
      <x:c r="E603" s="81" t="str">
        <x:v>24:00</x:v>
      </x:c>
      <x:c r="F603" s="80" t="n">
        <x:v>5878.383854984808</x:v>
      </x:c>
    </x:row>
    <x:row r="604">
      <x:c r="A604" s="78"/>
      <x:c r="B604" s="79" t="str">
        <x:v>8:00-12:00</x:v>
      </x:c>
      <x:c r="C604" s="80" t="n">
        <x:v>4255.581383333333</x:v>
      </x:c>
      <x:c r="D604" s="80" t="n">
        <x:v>533.2459833333331</x:v>
      </x:c>
      <x:c r="E604" s="81"/>
      <x:c r="F604" s="80"/>
    </x:row>
    <x:row r="605">
      <x:c r="A605" s="78"/>
      <x:c r="B605" s="79" t="str">
        <x:v>12:00-16:00</x:v>
      </x:c>
      <x:c r="C605" s="80" t="n">
        <x:v>1839.77543133382</x:v>
      </x:c>
      <x:c r="D605" s="80" t="n">
        <x:v>0</x:v>
      </x:c>
      <x:c r="E605" s="81"/>
      <x:c r="F605" s="80"/>
    </x:row>
    <x:row r="606">
      <x:c r="A606" s="78"/>
      <x:c r="B606" s="79" t="str">
        <x:v>16:00-20:00</x:v>
      </x:c>
      <x:c r="C606" s="80" t="n">
        <x:v>11.288705694750888</x:v>
      </x:c>
      <x:c r="D606" s="80" t="n">
        <x:v>7476.499368303381</x:v>
      </x:c>
      <x:c r="E606" s="81"/>
      <x:c r="F606" s="80"/>
    </x:row>
    <x:row r="607">
      <x:c r="A607" s="98"/>
      <x:c r="B607" s="99" t="str">
        <x:v>20:00-24:00</x:v>
      </x:c>
      <x:c r="C607" s="100" t="n">
        <x:v>5303.066066535654</x:v>
      </x:c>
      <x:c r="D607" s="100" t="n">
        <x:v>1257.5825277169206</x:v>
      </x:c>
      <x:c r="E607" s="101"/>
      <x:c r="F607" s="100"/>
    </x:row>
    <x:row r="608">
      <x:c r="A608" s="102" t="n">
        <x:v>45790</x:v>
      </x:c>
      <x:c r="B608" s="103" t="str">
        <x:v>0:00-4:00</x:v>
      </x:c>
      <x:c r="C608" s="104" t="n">
        <x:v>3217.4402605725386</x:v>
      </x:c>
      <x:c r="D608" s="104" t="n">
        <x:v>41.010591601562396</x:v>
      </x:c>
      <x:c r="E608" s="105" t="str">
        <x:v>0:00</x:v>
      </x:c>
      <x:c r="F608" s="104" t="n">
        <x:v>5878.383854984808</x:v>
      </x:c>
    </x:row>
    <x:row r="609">
      <x:c r="A609" s="78"/>
      <x:c r="B609" s="79" t="str">
        <x:v>4:00-8:00</x:v>
      </x:c>
      <x:c r="C609" s="80" t="n">
        <x:v>859.9222348853087</x:v>
      </x:c>
      <x:c r="D609" s="80" t="n">
        <x:v>5435.252523264782</x:v>
      </x:c>
      <x:c r="E609" s="81" t="str">
        <x:v>24:00</x:v>
      </x:c>
      <x:c r="F609" s="80" t="n">
        <x:v>5911.7126073509835</x:v>
      </x:c>
    </x:row>
    <x:row r="610">
      <x:c r="A610" s="78"/>
      <x:c r="B610" s="79" t="str">
        <x:v>8:00-12:00</x:v>
      </x:c>
      <x:c r="C610" s="80" t="n">
        <x:v>2965.9498999999996</x:v>
      </x:c>
      <x:c r="D610" s="80" t="n">
        <x:v>1461.5088166666665</x:v>
      </x:c>
      <x:c r="E610" s="81"/>
      <x:c r="F610" s="80"/>
    </x:row>
    <x:row r="611">
      <x:c r="A611" s="78"/>
      <x:c r="B611" s="79" t="str">
        <x:v>12:00-16:00</x:v>
      </x:c>
      <x:c r="C611" s="80" t="n">
        <x:v>5340.9165405694275</x:v>
      </x:c>
      <x:c r="D611" s="80" t="n">
        <x:v>19.799047071340283</x:v>
      </x:c>
      <x:c r="E611" s="81"/>
      <x:c r="F611" s="80"/>
    </x:row>
    <x:row r="612">
      <x:c r="A612" s="78"/>
      <x:c r="B612" s="79" t="str">
        <x:v>16:00-20:00</x:v>
      </x:c>
      <x:c r="C612" s="80" t="n">
        <x:v>152.06947115412805</x:v>
      </x:c>
      <x:c r="D612" s="80" t="n">
        <x:v>6936.276521607373</x:v>
      </x:c>
      <x:c r="E612" s="81"/>
      <x:c r="F612" s="80"/>
    </x:row>
    <x:row r="613">
      <x:c r="A613" s="98"/>
      <x:c r="B613" s="99" t="str">
        <x:v>20:00-24:00</x:v>
      </x:c>
      <x:c r="C613" s="100" t="n">
        <x:v>5287.210496722286</x:v>
      </x:c>
      <x:c r="D613" s="100" t="n">
        <x:v>513.1988348207105</x:v>
      </x:c>
      <x:c r="E613" s="101"/>
      <x:c r="F613" s="100"/>
    </x:row>
    <x:row r="614">
      <x:c r="A614" s="102" t="n">
        <x:v>45791</x:v>
      </x:c>
      <x:c r="B614" s="103" t="str">
        <x:v>0:00-4:00</x:v>
      </x:c>
      <x:c r="C614" s="104" t="n">
        <x:v>3456.7828152994794</x:v>
      </x:c>
      <x:c r="D614" s="104" t="n">
        <x:v>129.5896590494791</x:v>
      </x:c>
      <x:c r="E614" s="105" t="str">
        <x:v>0:00</x:v>
      </x:c>
      <x:c r="F614" s="104" t="n">
        <x:v>5911.7126073509835</x:v>
      </x:c>
    </x:row>
    <x:row r="615">
      <x:c r="A615" s="78"/>
      <x:c r="B615" s="79" t="str">
        <x:v>4:00-8:00</x:v>
      </x:c>
      <x:c r="C615" s="80" t="n">
        <x:v>2097.264559649082</x:v>
      </x:c>
      <x:c r="D615" s="80" t="n">
        <x:v>5680.755676054492</x:v>
      </x:c>
      <x:c r="E615" s="81" t="str">
        <x:v>24:00</x:v>
      </x:c>
      <x:c r="F615" s="80" t="n">
        <x:v>5731.394388350694</x:v>
      </x:c>
    </x:row>
    <x:row r="616">
      <x:c r="A616" s="78"/>
      <x:c r="B616" s="79" t="str">
        <x:v>8:00-12:00</x:v>
      </x:c>
      <x:c r="C616" s="80" t="n">
        <x:v>3164.2490500000004</x:v>
      </x:c>
      <x:c r="D616" s="80" t="n">
        <x:v>933.5707999999998</x:v>
      </x:c>
      <x:c r="E616" s="81"/>
      <x:c r="F616" s="80"/>
    </x:row>
    <x:row r="617">
      <x:c r="A617" s="78"/>
      <x:c r="B617" s="79" t="str">
        <x:v>12:00-16:00</x:v>
      </x:c>
      <x:c r="C617" s="80" t="n">
        <x:v>4227.618554702089</x:v>
      </x:c>
      <x:c r="D617" s="80" t="n">
        <x:v>2.9016362410134775</x:v>
      </x:c>
      <x:c r="E617" s="81"/>
      <x:c r="F617" s="80"/>
    </x:row>
    <x:row r="618">
      <x:c r="A618" s="78"/>
      <x:c r="B618" s="79" t="str">
        <x:v>16:00-20:00</x:v>
      </x:c>
      <x:c r="C618" s="80" t="n">
        <x:v>195.16095941788302</x:v>
      </x:c>
      <x:c r="D618" s="80" t="n">
        <x:v>6319.052597553078</x:v>
      </x:c>
      <x:c r="E618" s="81"/>
      <x:c r="F618" s="80"/>
    </x:row>
    <x:row r="619">
      <x:c r="A619" s="98"/>
      <x:c r="B619" s="99" t="str">
        <x:v>20:00-24:00</x:v>
      </x:c>
      <x:c r="C619" s="100" t="n">
        <x:v>5084.480629144161</x:v>
      </x:c>
      <x:c r="D619" s="100" t="n">
        <x:v>1859.1168484544787</x:v>
      </x:c>
      <x:c r="E619" s="101"/>
      <x:c r="F619" s="100"/>
    </x:row>
    <x:row r="620">
      <x:c r="A620" s="102" t="n">
        <x:v>45792</x:v>
      </x:c>
      <x:c r="B620" s="103" t="str">
        <x:v>0:00-4:00</x:v>
      </x:c>
      <x:c r="C620" s="104" t="n">
        <x:v>4918.846085730132</x:v>
      </x:c>
      <x:c r="D620" s="104" t="n">
        <x:v>134.0452812499999</x:v>
      </x:c>
      <x:c r="E620" s="105" t="str">
        <x:v>0:00</x:v>
      </x:c>
      <x:c r="F620" s="104" t="n">
        <x:v>5731.394388350694</x:v>
      </x:c>
    </x:row>
    <x:row r="621">
      <x:c r="A621" s="78"/>
      <x:c r="B621" s="79" t="str">
        <x:v>4:00-8:00</x:v>
      </x:c>
      <x:c r="C621" s="80" t="n">
        <x:v>881.5900409505207</x:v>
      </x:c>
      <x:c r="D621" s="80" t="n">
        <x:v>5882.7199608848605</x:v>
      </x:c>
      <x:c r="E621" s="81" t="str">
        <x:v>24:00</x:v>
      </x:c>
      <x:c r="F621" s="80" t="n">
        <x:v>5912.7842254817715</x:v>
      </x:c>
    </x:row>
    <x:row r="622">
      <x:c r="A622" s="78"/>
      <x:c r="B622" s="79" t="str">
        <x:v>8:00-12:00</x:v>
      </x:c>
      <x:c r="C622" s="80" t="n">
        <x:v>4406.010133333333</x:v>
      </x:c>
      <x:c r="D622" s="80" t="n">
        <x:v>858.7055833333337</x:v>
      </x:c>
      <x:c r="E622" s="81"/>
      <x:c r="F622" s="80"/>
    </x:row>
    <x:row r="623">
      <x:c r="A623" s="78"/>
      <x:c r="B623" s="79" t="str">
        <x:v>12:00-16:00</x:v>
      </x:c>
      <x:c r="C623" s="80" t="n">
        <x:v>3590.1489500000002</x:v>
      </x:c>
      <x:c r="D623" s="80" t="n">
        <x:v>538.0605994941127</x:v>
      </x:c>
      <x:c r="E623" s="81"/>
      <x:c r="F623" s="80"/>
    </x:row>
    <x:row r="624">
      <x:c r="A624" s="78"/>
      <x:c r="B624" s="79" t="str">
        <x:v>16:00-20:00</x:v>
      </x:c>
      <x:c r="C624" s="80" t="n">
        <x:v>128.83554349566236</x:v>
      </x:c>
      <x:c r="D624" s="80" t="n">
        <x:v>6768.672805264825</x:v>
      </x:c>
      <x:c r="E624" s="81"/>
      <x:c r="F624" s="80"/>
    </x:row>
    <x:row r="625">
      <x:c r="A625" s="98"/>
      <x:c r="B625" s="99" t="str">
        <x:v>20:00-24:00</x:v>
      </x:c>
      <x:c r="C625" s="100" t="n">
        <x:v>5303.587373482511</x:v>
      </x:c>
      <x:c r="D625" s="100" t="n">
        <x:v>1230.0495992185456</x:v>
      </x:c>
      <x:c r="E625" s="101"/>
      <x:c r="F625" s="100"/>
    </x:row>
    <x:row r="626">
      <x:c r="A626" s="102" t="n">
        <x:v>45793</x:v>
      </x:c>
      <x:c r="B626" s="103" t="str">
        <x:v>0:00-4:00</x:v>
      </x:c>
      <x:c r="C626" s="104" t="n">
        <x:v>985.0681804687498</x:v>
      </x:c>
      <x:c r="D626" s="104" t="n">
        <x:v>2477.0271485022013</x:v>
      </x:c>
      <x:c r="E626" s="105" t="str">
        <x:v>0:00</x:v>
      </x:c>
      <x:c r="F626" s="104" t="n">
        <x:v>5912.7842254817715</x:v>
      </x:c>
    </x:row>
    <x:row r="627">
      <x:c r="A627" s="78"/>
      <x:c r="B627" s="79" t="str">
        <x:v>4:00-8:00</x:v>
      </x:c>
      <x:c r="C627" s="80" t="n">
        <x:v>1643.0811402343752</x:v>
      </x:c>
      <x:c r="D627" s="80" t="n">
        <x:v>2969.542170832217</x:v>
      </x:c>
      <x:c r="E627" s="81" t="str">
        <x:v>24:00</x:v>
      </x:c>
      <x:c r="F627" s="80" t="n">
        <x:v>5669.880867771267</x:v>
      </x:c>
    </x:row>
    <x:row r="628">
      <x:c r="A628" s="78"/>
      <x:c r="B628" s="79" t="str">
        <x:v>8:00-12:00</x:v>
      </x:c>
      <x:c r="C628" s="80" t="n">
        <x:v>9526.250082260856</x:v>
      </x:c>
      <x:c r="D628" s="80" t="n">
        <x:v>0</x:v>
      </x:c>
      <x:c r="E628" s="81"/>
      <x:c r="F628" s="80"/>
    </x:row>
    <x:row r="629">
      <x:c r="A629" s="78"/>
      <x:c r="B629" s="79" t="str">
        <x:v>12:00-16:00</x:v>
      </x:c>
      <x:c r="C629" s="80" t="n">
        <x:v>0</x:v>
      </x:c>
      <x:c r="D629" s="80" t="n">
        <x:v>0</x:v>
      </x:c>
      <x:c r="E629" s="81"/>
      <x:c r="F629" s="80"/>
    </x:row>
    <x:row r="630">
      <x:c r="A630" s="78"/>
      <x:c r="B630" s="79" t="str">
        <x:v>16:00-20:00</x:v>
      </x:c>
      <x:c r="C630" s="80" t="n">
        <x:v>0</x:v>
      </x:c>
      <x:c r="D630" s="80" t="n">
        <x:v>6050.2102735210865</x:v>
      </x:c>
      <x:c r="E630" s="81"/>
      <x:c r="F630" s="80"/>
    </x:row>
    <x:row r="631">
      <x:c r="A631" s="98"/>
      <x:c r="B631" s="99" t="str">
        <x:v>20:00-24:00</x:v>
      </x:c>
      <x:c r="C631" s="100" t="n">
        <x:v>5280.015982857511</x:v>
      </x:c>
      <x:c r="D631" s="100" t="n">
        <x:v>2843.709891599354</x:v>
      </x:c>
      <x:c r="E631" s="101"/>
      <x:c r="F631" s="100"/>
    </x:row>
    <x:row r="632">
      <x:c r="A632" s="102" t="n">
        <x:v>45794</x:v>
      </x:c>
      <x:c r="B632" s="103" t="str">
        <x:v>0:00-4:00</x:v>
      </x:c>
      <x:c r="C632" s="104" t="n">
        <x:v>96.17629667968748</x:v>
      </x:c>
      <x:c r="D632" s="104" t="n">
        <x:v>3056.0715553119435</x:v>
      </x:c>
      <x:c r="E632" s="105" t="str">
        <x:v>0:00</x:v>
      </x:c>
      <x:c r="F632" s="104" t="n">
        <x:v>5669.880867771267</x:v>
      </x:c>
    </x:row>
    <x:row r="633">
      <x:c r="A633" s="78"/>
      <x:c r="B633" s="79" t="str">
        <x:v>4:00-8:00</x:v>
      </x:c>
      <x:c r="C633" s="80" t="n">
        <x:v>1744.4874386054462</x:v>
      </x:c>
      <x:c r="D633" s="80" t="n">
        <x:v>1603.1928341587554</x:v>
      </x:c>
      <x:c r="E633" s="81" t="str">
        <x:v>24:00</x:v>
      </x:c>
      <x:c r="F633" s="80" t="n">
        <x:v>5844.936390810908</x:v>
      </x:c>
    </x:row>
    <x:row r="634">
      <x:c r="A634" s="78"/>
      <x:c r="B634" s="79" t="str">
        <x:v>8:00-12:00</x:v>
      </x:c>
      <x:c r="C634" s="80" t="n">
        <x:v>9611.646892463701</x:v>
      </x:c>
      <x:c r="D634" s="80" t="n">
        <x:v>0</x:v>
      </x:c>
      <x:c r="E634" s="81"/>
      <x:c r="F634" s="80"/>
    </x:row>
    <x:row r="635">
      <x:c r="A635" s="78"/>
      <x:c r="B635" s="79" t="str">
        <x:v>12:00-16:00</x:v>
      </x:c>
      <x:c r="C635" s="80" t="n">
        <x:v>0</x:v>
      </x:c>
      <x:c r="D635" s="80" t="n">
        <x:v>0</x:v>
      </x:c>
      <x:c r="E635" s="81"/>
      <x:c r="F635" s="80"/>
    </x:row>
    <x:row r="636">
      <x:c r="A636" s="78"/>
      <x:c r="B636" s="79" t="str">
        <x:v>16:00-20:00</x:v>
      </x:c>
      <x:c r="C636" s="80" t="n">
        <x:v>0</x:v>
      </x:c>
      <x:c r="D636" s="80" t="n">
        <x:v>6724.7100068324835</x:v>
      </x:c>
      <x:c r="E636" s="81"/>
      <x:c r="F636" s="80"/>
    </x:row>
    <x:row r="637">
      <x:c r="A637" s="98"/>
      <x:c r="B637" s="99" t="str">
        <x:v>20:00-24:00</x:v>
      </x:c>
      <x:c r="C637" s="100" t="n">
        <x:v>5273.4482083952225</x:v>
      </x:c>
      <x:c r="D637" s="100" t="n">
        <x:v>2006.34029023783</x:v>
      </x:c>
      <x:c r="E637" s="101"/>
      <x:c r="F637" s="100"/>
    </x:row>
    <x:row r="638">
      <x:c r="A638" s="102" t="n">
        <x:v>45795</x:v>
      </x:c>
      <x:c r="B638" s="103" t="str">
        <x:v>0:00-4:00</x:v>
      </x:c>
      <x:c r="C638" s="104" t="n">
        <x:v>4028.2707290212443</x:v>
      </x:c>
      <x:c r="D638" s="104" t="n">
        <x:v>317.3590453124999</x:v>
      </x:c>
      <x:c r="E638" s="105" t="str">
        <x:v>0:00</x:v>
      </x:c>
      <x:c r="F638" s="104" t="n">
        <x:v>5844.936390810908</x:v>
      </x:c>
    </x:row>
    <x:row r="639">
      <x:c r="A639" s="78"/>
      <x:c r="B639" s="79" t="str">
        <x:v>4:00-8:00</x:v>
      </x:c>
      <x:c r="C639" s="80" t="n">
        <x:v>831.6468001627148</x:v>
      </x:c>
      <x:c r="D639" s="80" t="n">
        <x:v>5742.202118037753</x:v>
      </x:c>
      <x:c r="E639" s="81" t="str">
        <x:v>24:00</x:v>
      </x:c>
      <x:c r="F639" s="80" t="n">
        <x:v>5867.840147973814</x:v>
      </x:c>
    </x:row>
    <x:row r="640">
      <x:c r="A640" s="78"/>
      <x:c r="B640" s="79" t="str">
        <x:v>8:00-12:00</x:v>
      </x:c>
      <x:c r="C640" s="80" t="n">
        <x:v>3765.8223</x:v>
      </x:c>
      <x:c r="D640" s="80" t="n">
        <x:v>1330.2297166666665</x:v>
      </x:c>
      <x:c r="E640" s="81"/>
      <x:c r="F640" s="80"/>
    </x:row>
    <x:row r="641">
      <x:c r="A641" s="78"/>
      <x:c r="B641" s="79" t="str">
        <x:v>12:00-16:00</x:v>
      </x:c>
      <x:c r="C641" s="80" t="n">
        <x:v>2913.324457344835</x:v>
      </x:c>
      <x:c r="D641" s="80" t="n">
        <x:v>16.780795140496892</x:v>
      </x:c>
      <x:c r="E641" s="81"/>
      <x:c r="F641" s="80"/>
    </x:row>
    <x:row r="642">
      <x:c r="A642" s="78"/>
      <x:c r="B642" s="79" t="str">
        <x:v>16:00-20:00</x:v>
      </x:c>
      <x:c r="C642" s="80" t="n">
        <x:v>542.9578341389159</x:v>
      </x:c>
      <x:c r="D642" s="80" t="n">
        <x:v>6560.308994313241</x:v>
      </x:c>
      <x:c r="E642" s="81"/>
      <x:c r="F642" s="80"/>
    </x:row>
    <x:row r="643">
      <x:c r="A643" s="98"/>
      <x:c r="B643" s="99" t="str">
        <x:v>20:00-24:00</x:v>
      </x:c>
      <x:c r="C643" s="100" t="n">
        <x:v>5353.005003556617</x:v>
      </x:c>
      <x:c r="D643" s="100" t="n">
        <x:v>134.8779197044271</x:v>
      </x:c>
      <x:c r="E643" s="101"/>
      <x:c r="F643" s="100"/>
    </x:row>
    <x:row r="644">
      <x:c r="A644" s="102" t="n">
        <x:v>45796</x:v>
      </x:c>
      <x:c r="B644" s="103" t="str">
        <x:v>0:00-4:00</x:v>
      </x:c>
      <x:c r="C644" s="104" t="n">
        <x:v>4025.1976402197733</x:v>
      </x:c>
      <x:c r="D644" s="104" t="n">
        <x:v>136.2090446614584</x:v>
      </x:c>
      <x:c r="E644" s="105" t="str">
        <x:v>0:00</x:v>
      </x:c>
      <x:c r="F644" s="104" t="n">
        <x:v>5867.840147973814</x:v>
      </x:c>
    </x:row>
    <x:row r="645">
      <x:c r="A645" s="78"/>
      <x:c r="B645" s="79" t="str">
        <x:v>4:00-8:00</x:v>
      </x:c>
      <x:c r="C645" s="80" t="n">
        <x:v>884.0673589093293</x:v>
      </x:c>
      <x:c r="D645" s="80" t="n">
        <x:v>5154.931634799175</x:v>
      </x:c>
      <x:c r="E645" s="81" t="str">
        <x:v>24:00</x:v>
      </x:c>
      <x:c r="F645" s="80" t="n">
        <x:v>5887.9144822735825</x:v>
      </x:c>
    </x:row>
    <x:row r="646">
      <x:c r="A646" s="78"/>
      <x:c r="B646" s="79" t="str">
        <x:v>8:00-12:00</x:v>
      </x:c>
      <x:c r="C646" s="80" t="n">
        <x:v>4796.9792</x:v>
      </x:c>
      <x:c r="D646" s="80" t="n">
        <x:v>855.9667</x:v>
      </x:c>
      <x:c r="E646" s="81"/>
      <x:c r="F646" s="80"/>
    </x:row>
    <x:row r="647">
      <x:c r="A647" s="78"/>
      <x:c r="B647" s="79" t="str">
        <x:v>12:00-16:00</x:v>
      </x:c>
      <x:c r="C647" s="80" t="n">
        <x:v>3362.9548703575574</x:v>
      </x:c>
      <x:c r="D647" s="80" t="n">
        <x:v>54.05178875665783</x:v>
      </x:c>
      <x:c r="E647" s="81"/>
      <x:c r="F647" s="80"/>
    </x:row>
    <x:row r="648">
      <x:c r="A648" s="78"/>
      <x:c r="B648" s="79" t="str">
        <x:v>16:00-20:00</x:v>
      </x:c>
      <x:c r="C648" s="80" t="n">
        <x:v>201.85844133367533</x:v>
      </x:c>
      <x:c r="D648" s="80" t="n">
        <x:v>5843.354036051991</x:v>
      </x:c>
      <x:c r="E648" s="81"/>
      <x:c r="F648" s="80"/>
    </x:row>
    <x:row r="649">
      <x:c r="A649" s="98"/>
      <x:c r="B649" s="99" t="str">
        <x:v>20:00-24:00</x:v>
      </x:c>
      <x:c r="C649" s="100" t="n">
        <x:v>5291.593659547807</x:v>
      </x:c>
      <x:c r="D649" s="100" t="n">
        <x:v>2973.16734285913</x:v>
      </x:c>
      <x:c r="E649" s="101"/>
      <x:c r="F649" s="100"/>
    </x:row>
    <x:row r="650">
      <x:c r="A650" s="102" t="n">
        <x:v>45797</x:v>
      </x:c>
      <x:c r="B650" s="103" t="str">
        <x:v>0:00-4:00</x:v>
      </x:c>
      <x:c r="C650" s="104" t="n">
        <x:v>3751.158921538347</x:v>
      </x:c>
      <x:c r="D650" s="104" t="n">
        <x:v>90.60208678385436</x:v>
      </x:c>
      <x:c r="E650" s="105" t="str">
        <x:v>0:00</x:v>
      </x:c>
      <x:c r="F650" s="104" t="n">
        <x:v>5887.9144822735825</x:v>
      </x:c>
    </x:row>
    <x:row r="651">
      <x:c r="A651" s="78"/>
      <x:c r="B651" s="79" t="str">
        <x:v>4:00-8:00</x:v>
      </x:c>
      <x:c r="C651" s="80" t="n">
        <x:v>918.0344169064666</x:v>
      </x:c>
      <x:c r="D651" s="80" t="n">
        <x:v>5216.7192296604335</x:v>
      </x:c>
      <x:c r="E651" s="81" t="str">
        <x:v>24:00</x:v>
      </x:c>
      <x:c r="F651" s="80" t="n">
        <x:v>5732.745301895979</x:v>
      </x:c>
    </x:row>
    <x:row r="652">
      <x:c r="A652" s="78"/>
      <x:c r="B652" s="79" t="str">
        <x:v>8:00-12:00</x:v>
      </x:c>
      <x:c r="C652" s="80" t="n">
        <x:v>3681.308933333333</x:v>
      </x:c>
      <x:c r="D652" s="80" t="n">
        <x:v>976.4611333333334</x:v>
      </x:c>
      <x:c r="E652" s="81"/>
      <x:c r="F652" s="80"/>
    </x:row>
    <x:row r="653">
      <x:c r="A653" s="78"/>
      <x:c r="B653" s="79" t="str">
        <x:v>12:00-16:00</x:v>
      </x:c>
      <x:c r="C653" s="80" t="n">
        <x:v>1766.137533333333</x:v>
      </x:c>
      <x:c r="D653" s="80" t="n">
        <x:v>632.8866038537296</x:v>
      </x:c>
      <x:c r="E653" s="81"/>
      <x:c r="F653" s="80"/>
    </x:row>
    <x:row r="654">
      <x:c r="A654" s="78"/>
      <x:c r="B654" s="79" t="str">
        <x:v>16:00-20:00</x:v>
      </x:c>
      <x:c r="C654" s="80" t="n">
        <x:v>154.45928874528016</x:v>
      </x:c>
      <x:c r="D654" s="80" t="n">
        <x:v>5622.044246438849</x:v>
      </x:c>
      <x:c r="E654" s="81"/>
      <x:c r="F654" s="80"/>
    </x:row>
    <x:row r="655">
      <x:c r="A655" s="98"/>
      <x:c r="B655" s="99" t="str">
        <x:v>20:00-24:00</x:v>
      </x:c>
      <x:c r="C655" s="100" t="n">
        <x:v>5219.630080969489</x:v>
      </x:c>
      <x:c r="D655" s="100" t="n">
        <x:v>148.42959387890625</x:v>
      </x:c>
      <x:c r="E655" s="101"/>
      <x:c r="F655" s="100"/>
    </x:row>
    <x:row r="656">
      <x:c r="A656" s="102" t="n">
        <x:v>45798</x:v>
      </x:c>
      <x:c r="B656" s="103" t="str">
        <x:v>0:00-4:00</x:v>
      </x:c>
      <x:c r="C656" s="104" t="n">
        <x:v>639.7681041302587</x:v>
      </x:c>
      <x:c r="D656" s="104" t="n">
        <x:v>161.83189088541667</x:v>
      </x:c>
      <x:c r="E656" s="105" t="str">
        <x:v>0:00</x:v>
      </x:c>
      <x:c r="F656" s="104" t="n">
        <x:v>5732.745301895979</x:v>
      </x:c>
    </x:row>
    <x:row r="657">
      <x:c r="A657" s="78"/>
      <x:c r="B657" s="79" t="str">
        <x:v>4:00-8:00</x:v>
      </x:c>
      <x:c r="C657" s="80" t="n">
        <x:v>4153.902030841591</x:v>
      </x:c>
      <x:c r="D657" s="80" t="n">
        <x:v>4097.806639367567</x:v>
      </x:c>
      <x:c r="E657" s="81" t="str">
        <x:v>24:00</x:v>
      </x:c>
      <x:c r="F657" s="80" t="n">
        <x:v>5708.4805441984945</x:v>
      </x:c>
    </x:row>
    <x:row r="658">
      <x:c r="A658" s="78"/>
      <x:c r="B658" s="79" t="str">
        <x:v>8:00-12:00</x:v>
      </x:c>
      <x:c r="C658" s="80" t="n">
        <x:v>3132.923283333333</x:v>
      </x:c>
      <x:c r="D658" s="80" t="n">
        <x:v>833.2733666666666</x:v>
      </x:c>
      <x:c r="E658" s="81"/>
      <x:c r="F658" s="80"/>
    </x:row>
    <x:row r="659">
      <x:c r="A659" s="78"/>
      <x:c r="B659" s="79" t="str">
        <x:v>12:00-16:00</x:v>
      </x:c>
      <x:c r="C659" s="80" t="n">
        <x:v>3991.23513134083</x:v>
      </x:c>
      <x:c r="D659" s="80" t="n">
        <x:v>939.1687660013316</x:v>
      </x:c>
      <x:c r="E659" s="81"/>
      <x:c r="F659" s="80"/>
    </x:row>
    <x:row r="660">
      <x:c r="A660" s="78"/>
      <x:c r="B660" s="79" t="str">
        <x:v>16:00-20:00</x:v>
      </x:c>
      <x:c r="C660" s="80" t="n">
        <x:v>79.81133522302548</x:v>
      </x:c>
      <x:c r="D660" s="80" t="n">
        <x:v>6186.948413541098</x:v>
      </x:c>
      <x:c r="E660" s="81"/>
      <x:c r="F660" s="80"/>
    </x:row>
    <x:row r="661">
      <x:c r="A661" s="98"/>
      <x:c r="B661" s="99" t="str">
        <x:v>20:00-24:00</x:v>
      </x:c>
      <x:c r="C661" s="100" t="n">
        <x:v>5157.654686173804</x:v>
      </x:c>
      <x:c r="D661" s="100" t="n">
        <x:v>1698.59780801036</x:v>
      </x:c>
      <x:c r="E661" s="101"/>
      <x:c r="F661" s="100"/>
    </x:row>
    <x:row r="662">
      <x:c r="A662" s="102" t="n">
        <x:v>45799</x:v>
      </x:c>
      <x:c r="B662" s="103" t="str">
        <x:v>0:00-4:00</x:v>
      </x:c>
      <x:c r="C662" s="104" t="n">
        <x:v>3685.951862948864</x:v>
      </x:c>
      <x:c r="D662" s="104" t="n">
        <x:v>84.84560013020837</x:v>
      </x:c>
      <x:c r="E662" s="105" t="str">
        <x:v>0:00</x:v>
      </x:c>
      <x:c r="F662" s="104" t="n">
        <x:v>5708.4805441984945</x:v>
      </x:c>
    </x:row>
    <x:row r="663">
      <x:c r="A663" s="78"/>
      <x:c r="B663" s="79" t="str">
        <x:v>4:00-8:00</x:v>
      </x:c>
      <x:c r="C663" s="80" t="n">
        <x:v>927.922728281117</x:v>
      </x:c>
      <x:c r="D663" s="80" t="n">
        <x:v>5117.089494174064</x:v>
      </x:c>
      <x:c r="E663" s="81" t="str">
        <x:v>24:00</x:v>
      </x:c>
      <x:c r="F663" s="80" t="n">
        <x:v>6048.743705123698</x:v>
      </x:c>
    </x:row>
    <x:row r="664">
      <x:c r="A664" s="78"/>
      <x:c r="B664" s="79" t="str">
        <x:v>8:00-12:00</x:v>
      </x:c>
      <x:c r="C664" s="80" t="n">
        <x:v>4031.6289999999995</x:v>
      </x:c>
      <x:c r="D664" s="80" t="n">
        <x:v>942.0986999999999</x:v>
      </x:c>
      <x:c r="E664" s="81"/>
      <x:c r="F664" s="80"/>
    </x:row>
    <x:row r="665">
      <x:c r="A665" s="78"/>
      <x:c r="B665" s="79" t="str">
        <x:v>12:00-16:00</x:v>
      </x:c>
      <x:c r="C665" s="80" t="n">
        <x:v>4284.597433301139</x:v>
      </x:c>
      <x:c r="D665" s="80" t="n">
        <x:v>160.87595436447825</x:v>
      </x:c>
      <x:c r="E665" s="81"/>
      <x:c r="F665" s="80"/>
    </x:row>
    <x:row r="666">
      <x:c r="A666" s="78"/>
      <x:c r="B666" s="79" t="str">
        <x:v>16:00-20:00</x:v>
      </x:c>
      <x:c r="C666" s="80" t="n">
        <x:v>6.382864726370485</x:v>
      </x:c>
      <x:c r="D666" s="80" t="n">
        <x:v>6216.461738511219</x:v>
      </x:c>
      <x:c r="E666" s="81"/>
      <x:c r="F666" s="80"/>
    </x:row>
    <x:row r="667">
      <x:c r="A667" s="98"/>
      <x:c r="B667" s="99" t="str">
        <x:v>20:00-24:00</x:v>
      </x:c>
      <x:c r="C667" s="100" t="n">
        <x:v>5461.180051142136</x:v>
      </x:c>
      <x:c r="D667" s="100" t="n">
        <x:v>2074.4994597110453</x:v>
      </x:c>
      <x:c r="E667" s="101"/>
      <x:c r="F667" s="100"/>
    </x:row>
    <x:row r="668">
      <x:c r="A668" s="102" t="n">
        <x:v>45800</x:v>
      </x:c>
      <x:c r="B668" s="103" t="str">
        <x:v>0:00-4:00</x:v>
      </x:c>
      <x:c r="C668" s="104" t="n">
        <x:v>120.73994589843767</x:v>
      </x:c>
      <x:c r="D668" s="104" t="n">
        <x:v>3229.3672462630957</x:v>
      </x:c>
      <x:c r="E668" s="105" t="str">
        <x:v>0:00</x:v>
      </x:c>
      <x:c r="F668" s="104" t="n">
        <x:v>6048.743705123698</x:v>
      </x:c>
    </x:row>
    <x:row r="669">
      <x:c r="A669" s="78"/>
      <x:c r="B669" s="79" t="str">
        <x:v>4:00-8:00</x:v>
      </x:c>
      <x:c r="C669" s="80" t="n">
        <x:v>1597.2724791471637</x:v>
      </x:c>
      <x:c r="D669" s="80" t="n">
        <x:v>1897.3162201351695</x:v>
      </x:c>
      <x:c r="E669" s="81" t="str">
        <x:v>24:00</x:v>
      </x:c>
      <x:c r="F669" s="80" t="n">
        <x:v>6003.236950411604</x:v>
      </x:c>
    </x:row>
    <x:row r="670">
      <x:c r="A670" s="78"/>
      <x:c r="B670" s="79" t="str">
        <x:v>8:00-12:00</x:v>
      </x:c>
      <x:c r="C670" s="80" t="n">
        <x:v>9890.400083333332</x:v>
      </x:c>
      <x:c r="D670" s="80" t="n">
        <x:v>0</x:v>
      </x:c>
      <x:c r="E670" s="81"/>
      <x:c r="F670" s="80"/>
    </x:row>
    <x:row r="671">
      <x:c r="A671" s="78"/>
      <x:c r="B671" s="79" t="str">
        <x:v>12:00-16:00</x:v>
      </x:c>
      <x:c r="C671" s="80" t="n">
        <x:v>0</x:v>
      </x:c>
      <x:c r="D671" s="80" t="n">
        <x:v>0</x:v>
      </x:c>
      <x:c r="E671" s="81"/>
      <x:c r="F671" s="80"/>
    </x:row>
    <x:row r="672">
      <x:c r="A672" s="78"/>
      <x:c r="B672" s="79" t="str">
        <x:v>16:00-20:00</x:v>
      </x:c>
      <x:c r="C672" s="80" t="n">
        <x:v>29.94812397944787</x:v>
      </x:c>
      <x:c r="D672" s="80" t="n">
        <x:v>6293.536031575859</x:v>
      </x:c>
      <x:c r="E672" s="81"/>
      <x:c r="F672" s="80"/>
    </x:row>
    <x:row r="673">
      <x:c r="A673" s="98"/>
      <x:c r="B673" s="99" t="str">
        <x:v>20:00-24:00</x:v>
      </x:c>
      <x:c r="C673" s="100" t="n">
        <x:v>5512.761860722094</x:v>
      </x:c>
      <x:c r="D673" s="100" t="n">
        <x:v>2513.145800661947</x:v>
      </x:c>
      <x:c r="E673" s="101"/>
      <x:c r="F673" s="100"/>
    </x:row>
    <x:row r="674">
      <x:c r="A674" s="102" t="n">
        <x:v>45801</x:v>
      </x:c>
      <x:c r="B674" s="103" t="str">
        <x:v>0:00-4:00</x:v>
      </x:c>
      <x:c r="C674" s="104" t="n">
        <x:v>84.63536966145847</x:v>
      </x:c>
      <x:c r="D674" s="104" t="n">
        <x:v>3245.854933126928</x:v>
      </x:c>
      <x:c r="E674" s="105" t="str">
        <x:v>0:00</x:v>
      </x:c>
      <x:c r="F674" s="104" t="n">
        <x:v>6003.236950411604</x:v>
      </x:c>
    </x:row>
    <x:row r="675">
      <x:c r="A675" s="78"/>
      <x:c r="B675" s="79" t="str">
        <x:v>4:00-8:00</x:v>
      </x:c>
      <x:c r="C675" s="80" t="n">
        <x:v>1546.312402747069</x:v>
      </x:c>
      <x:c r="D675" s="80" t="n">
        <x:v>1843.4557568944228</x:v>
      </x:c>
      <x:c r="E675" s="81" t="str">
        <x:v>24:00</x:v>
      </x:c>
      <x:c r="F675" s="80" t="n">
        <x:v>5904.177956728153</x:v>
      </x:c>
    </x:row>
    <x:row r="676">
      <x:c r="A676" s="78"/>
      <x:c r="B676" s="79" t="str">
        <x:v>8:00-12:00</x:v>
      </x:c>
      <x:c r="C676" s="80" t="n">
        <x:v>9981.888566666665</x:v>
      </x:c>
      <x:c r="D676" s="80" t="n">
        <x:v>0</x:v>
      </x:c>
      <x:c r="E676" s="81"/>
      <x:c r="F676" s="80"/>
    </x:row>
    <x:row r="677">
      <x:c r="A677" s="78"/>
      <x:c r="B677" s="79" t="str">
        <x:v>12:00-16:00</x:v>
      </x:c>
      <x:c r="C677" s="80" t="n">
        <x:v>0</x:v>
      </x:c>
      <x:c r="D677" s="80" t="n">
        <x:v>0</x:v>
      </x:c>
      <x:c r="E677" s="81"/>
      <x:c r="F677" s="80"/>
    </x:row>
    <x:row r="678">
      <x:c r="A678" s="78"/>
      <x:c r="B678" s="79" t="str">
        <x:v>16:00-20:00</x:v>
      </x:c>
      <x:c r="C678" s="80" t="n">
        <x:v>39.990549962038926</x:v>
      </x:c>
      <x:c r="D678" s="80" t="n">
        <x:v>6112.208490812258</x:v>
      </x:c>
      <x:c r="E678" s="81"/>
      <x:c r="F678" s="80"/>
    </x:row>
    <x:row r="679">
      <x:c r="A679" s="98"/>
      <x:c r="B679" s="99" t="str">
        <x:v>20:00-24:00</x:v>
      </x:c>
      <x:c r="C679" s="100" t="n">
        <x:v>5319.2149340768065</x:v>
      </x:c>
      <x:c r="D679" s="100" t="n">
        <x:v>2634.9877902038675</x:v>
      </x:c>
      <x:c r="E679" s="101"/>
      <x:c r="F679" s="100"/>
    </x:row>
    <x:row r="680">
      <x:c r="A680" s="102" t="n">
        <x:v>45802</x:v>
      </x:c>
      <x:c r="B680" s="103" t="str">
        <x:v>0:00-4:00</x:v>
      </x:c>
      <x:c r="C680" s="104" t="n">
        <x:v>2470.6151138298756</x:v>
      </x:c>
      <x:c r="D680" s="104" t="n">
        <x:v>75.84770071614571</x:v>
      </x:c>
      <x:c r="E680" s="105" t="str">
        <x:v>0:00</x:v>
      </x:c>
      <x:c r="F680" s="104" t="n">
        <x:v>5904.177956728153</x:v>
      </x:c>
    </x:row>
    <x:row r="681">
      <x:c r="A681" s="78"/>
      <x:c r="B681" s="79" t="str">
        <x:v>4:00-8:00</x:v>
      </x:c>
      <x:c r="C681" s="80" t="n">
        <x:v>851.9655346114637</x:v>
      </x:c>
      <x:c r="D681" s="80" t="n">
        <x:v>4295.531849901774</x:v>
      </x:c>
      <x:c r="E681" s="81" t="str">
        <x:v>24:00</x:v>
      </x:c>
      <x:c r="F681" s="80" t="n">
        <x:v>6017.444769928386</x:v>
      </x:c>
    </x:row>
    <x:row r="682">
      <x:c r="A682" s="78"/>
      <x:c r="B682" s="79" t="str">
        <x:v>8:00-12:00</x:v>
      </x:c>
      <x:c r="C682" s="80" t="n">
        <x:v>4888.210683333333</x:v>
      </x:c>
      <x:c r="D682" s="80" t="n">
        <x:v>773.8803166666667</x:v>
      </x:c>
      <x:c r="E682" s="81"/>
      <x:c r="F682" s="80"/>
    </x:row>
    <x:row r="683">
      <x:c r="A683" s="78"/>
      <x:c r="B683" s="79" t="str">
        <x:v>12:00-16:00</x:v>
      </x:c>
      <x:c r="C683" s="80" t="n">
        <x:v>3581.1836141873646</x:v>
      </x:c>
      <x:c r="D683" s="80" t="n">
        <x:v>32.1829217980347</x:v>
      </x:c>
      <x:c r="E683" s="81"/>
      <x:c r="F683" s="80"/>
    </x:row>
    <x:row r="684">
      <x:c r="A684" s="78"/>
      <x:c r="B684" s="79" t="str">
        <x:v>16:00-20:00</x:v>
      </x:c>
      <x:c r="C684" s="80" t="n">
        <x:v>96.95359134954754</x:v>
      </x:c>
      <x:c r="D684" s="80" t="n">
        <x:v>6142.469550866283</x:v>
      </x:c>
      <x:c r="E684" s="81"/>
      <x:c r="F684" s="80"/>
    </x:row>
    <x:row r="685">
      <x:c r="A685" s="98"/>
      <x:c r="B685" s="99" t="str">
        <x:v>20:00-24:00</x:v>
      </x:c>
      <x:c r="C685" s="100" t="n">
        <x:v>5384.118546707015</x:v>
      </x:c>
      <x:c r="D685" s="100" t="n">
        <x:v>2569.3156662259544</x:v>
      </x:c>
      <x:c r="E685" s="101"/>
      <x:c r="F685" s="100"/>
    </x:row>
    <x:row r="686">
      <x:c r="A686" s="102" t="n">
        <x:v>45803</x:v>
      </x:c>
      <x:c r="B686" s="103" t="str">
        <x:v>0:00-4:00</x:v>
      </x:c>
      <x:c r="C686" s="104" t="n">
        <x:v>1015.6995077922663</x:v>
      </x:c>
      <x:c r="D686" s="104" t="n">
        <x:v>69.38493294270847</x:v>
      </x:c>
      <x:c r="E686" s="105" t="str">
        <x:v>0:00</x:v>
      </x:c>
      <x:c r="F686" s="104" t="n">
        <x:v>6017.444769928386</x:v>
      </x:c>
    </x:row>
    <x:row r="687">
      <x:c r="A687" s="78"/>
      <x:c r="B687" s="79" t="str">
        <x:v>4:00-8:00</x:v>
      </x:c>
      <x:c r="C687" s="80" t="n">
        <x:v>1693.7049236328123</x:v>
      </x:c>
      <x:c r="D687" s="80" t="n">
        <x:v>5645.059507073213</x:v>
      </x:c>
      <x:c r="E687" s="81" t="str">
        <x:v>24:00</x:v>
      </x:c>
      <x:c r="F687" s="80" t="n">
        <x:v>5892.474695256076</x:v>
      </x:c>
    </x:row>
    <x:row r="688">
      <x:c r="A688" s="78"/>
      <x:c r="B688" s="79" t="str">
        <x:v>8:00-12:00</x:v>
      </x:c>
      <x:c r="C688" s="80" t="n">
        <x:v>1690.6507333333334</x:v>
      </x:c>
      <x:c r="D688" s="80" t="n">
        <x:v>815.8734423739396</x:v>
      </x:c>
      <x:c r="E688" s="81"/>
      <x:c r="F688" s="80"/>
    </x:row>
    <x:row r="689">
      <x:c r="A689" s="78"/>
      <x:c r="B689" s="79" t="str">
        <x:v>12:00-16:00</x:v>
      </x:c>
      <x:c r="C689" s="80" t="n">
        <x:v>3660.378778079774</x:v>
      </x:c>
      <x:c r="D689" s="80" t="n">
        <x:v>208.87180698492736</x:v>
      </x:c>
      <x:c r="E689" s="81"/>
      <x:c r="F689" s="80"/>
    </x:row>
    <x:row r="690">
      <x:c r="A690" s="78"/>
      <x:c r="B690" s="79" t="str">
        <x:v>16:00-20:00</x:v>
      </x:c>
      <x:c r="C690" s="80" t="n">
        <x:v>52.16398838139969</x:v>
      </x:c>
      <x:c r="D690" s="80" t="n">
        <x:v>4167.114454704089</x:v>
      </x:c>
      <x:c r="E690" s="81"/>
      <x:c r="F690" s="80"/>
    </x:row>
    <x:row r="691">
      <x:c r="A691" s="98"/>
      <x:c r="B691" s="99" t="str">
        <x:v>20:00-24:00</x:v>
      </x:c>
      <x:c r="C691" s="100" t="n">
        <x:v>5317.650344185635</x:v>
      </x:c>
      <x:c r="D691" s="100" t="n">
        <x:v>84.67002620442722</x:v>
      </x:c>
      <x:c r="E691" s="101"/>
      <x:c r="F691" s="100"/>
    </x:row>
    <x:row r="692">
      <x:c r="A692" s="102" t="n">
        <x:v>45804</x:v>
      </x:c>
      <x:c r="B692" s="103" t="str">
        <x:v>0:00-4:00</x:v>
      </x:c>
      <x:c r="C692" s="104" t="n">
        <x:v>3427.719140039062</x:v>
      </x:c>
      <x:c r="D692" s="104" t="n">
        <x:v>919.5037225307876</x:v>
      </x:c>
      <x:c r="E692" s="105" t="str">
        <x:v>0:00</x:v>
      </x:c>
      <x:c r="F692" s="104" t="n">
        <x:v>5892.474695256076</x:v>
      </x:c>
    </x:row>
    <x:row r="693">
      <x:c r="A693" s="78"/>
      <x:c r="B693" s="79" t="str">
        <x:v>4:00-8:00</x:v>
      </x:c>
      <x:c r="C693" s="80" t="n">
        <x:v>1692.0597251625622</x:v>
      </x:c>
      <x:c r="D693" s="80" t="n">
        <x:v>4786.955514988784</x:v>
      </x:c>
      <x:c r="E693" s="81" t="str">
        <x:v>24:00</x:v>
      </x:c>
      <x:c r="F693" s="80" t="n">
        <x:v>5759.155362433448</x:v>
      </x:c>
    </x:row>
    <x:row r="694">
      <x:c r="A694" s="78"/>
      <x:c r="B694" s="79" t="str">
        <x:v>8:00-12:00</x:v>
      </x:c>
      <x:c r="C694" s="80" t="n">
        <x:v>4287.984283333333</x:v>
      </x:c>
      <x:c r="D694" s="80" t="n">
        <x:v>949.3682166666666</x:v>
      </x:c>
      <x:c r="E694" s="81"/>
      <x:c r="F694" s="80"/>
    </x:row>
    <x:row r="695">
      <x:c r="A695" s="78"/>
      <x:c r="B695" s="79" t="str">
        <x:v>12:00-16:00</x:v>
      </x:c>
      <x:c r="C695" s="80" t="n">
        <x:v>4262.11367671908</x:v>
      </x:c>
      <x:c r="D695" s="80" t="n">
        <x:v>84.44490854997503</x:v>
      </x:c>
      <x:c r="E695" s="81"/>
      <x:c r="F695" s="80"/>
    </x:row>
    <x:row r="696">
      <x:c r="A696" s="78"/>
      <x:c r="B696" s="79" t="str">
        <x:v>16:00-20:00</x:v>
      </x:c>
      <x:c r="C696" s="80" t="n">
        <x:v>249.7282106259603</x:v>
      </x:c>
      <x:c r="D696" s="80" t="n">
        <x:v>5870.470425144824</x:v>
      </x:c>
      <x:c r="E696" s="81"/>
      <x:c r="F696" s="80"/>
    </x:row>
    <x:row r="697">
      <x:c r="A697" s="98"/>
      <x:c r="B697" s="99" t="str">
        <x:v>20:00-24:00</x:v>
      </x:c>
      <x:c r="C697" s="100" t="n">
        <x:v>5207.675105314429</x:v>
      </x:c>
      <x:c r="D697" s="100" t="n">
        <x:v>3002.3415260268102</x:v>
      </x:c>
      <x:c r="E697" s="101"/>
      <x:c r="F697" s="100"/>
    </x:row>
    <x:row r="698">
      <x:c r="A698" s="102" t="n">
        <x:v>45805</x:v>
      </x:c>
      <x:c r="B698" s="103" t="str">
        <x:v>0:00-4:00</x:v>
      </x:c>
      <x:c r="C698" s="104" t="n">
        <x:v>1761.654625455729</x:v>
      </x:c>
      <x:c r="D698" s="104" t="n">
        <x:v>301.34736269531254</x:v>
      </x:c>
      <x:c r="E698" s="105" t="str">
        <x:v>0:00</x:v>
      </x:c>
      <x:c r="F698" s="104" t="n">
        <x:v>5759.155362433448</x:v>
      </x:c>
    </x:row>
    <x:row r="699">
      <x:c r="A699" s="78"/>
      <x:c r="B699" s="79" t="str">
        <x:v>4:00-8:00</x:v>
      </x:c>
      <x:c r="C699" s="80" t="n">
        <x:v>1108.2388702946114</x:v>
      </x:c>
      <x:c r="D699" s="80" t="n">
        <x:v>5066.355131313953</x:v>
      </x:c>
      <x:c r="E699" s="81" t="str">
        <x:v>24:00</x:v>
      </x:c>
      <x:c r="F699" s="80" t="n">
        <x:v>5859.491374257088</x:v>
      </x:c>
    </x:row>
    <x:row r="700">
      <x:c r="A700" s="78"/>
      <x:c r="B700" s="79" t="str">
        <x:v>8:00-12:00</x:v>
      </x:c>
      <x:c r="C700" s="80" t="n">
        <x:v>1751.1753333333331</x:v>
      </x:c>
      <x:c r="D700" s="80" t="n">
        <x:v>1069.1557970719455</x:v>
      </x:c>
      <x:c r="E700" s="81"/>
      <x:c r="F700" s="80"/>
    </x:row>
    <x:row r="701">
      <x:c r="A701" s="78"/>
      <x:c r="B701" s="79" t="str">
        <x:v>12:00-16:00</x:v>
      </x:c>
      <x:c r="C701" s="80" t="n">
        <x:v>5799.808290531941</x:v>
      </x:c>
      <x:c r="D701" s="80" t="n">
        <x:v>7.420457027170414</x:v>
      </x:c>
      <x:c r="E701" s="81"/>
      <x:c r="F701" s="80"/>
    </x:row>
    <x:row r="702">
      <x:c r="A702" s="78"/>
      <x:c r="B702" s="79" t="str">
        <x:v>16:00-20:00</x:v>
      </x:c>
      <x:c r="C702" s="80" t="n">
        <x:v>43.55541139491265</x:v>
      </x:c>
      <x:c r="D702" s="80" t="n">
        <x:v>6135.151428200246</x:v>
      </x:c>
      <x:c r="E702" s="81"/>
      <x:c r="F702" s="80"/>
    </x:row>
    <x:row r="703">
      <x:c r="A703" s="98"/>
      <x:c r="B703" s="99" t="str">
        <x:v>20:00-24:00</x:v>
      </x:c>
      <x:c r="C703" s="100" t="n">
        <x:v>5261.3170939212</x:v>
      </x:c>
      <x:c r="D703" s="100" t="n">
        <x:v>68.12460924479164</x:v>
      </x:c>
      <x:c r="E703" s="101"/>
      <x:c r="F703" s="100"/>
    </x:row>
    <x:row r="704">
      <x:c r="A704" s="102" t="n">
        <x:v>45806</x:v>
      </x:c>
      <x:c r="B704" s="103" t="str">
        <x:v>0:00-4:00</x:v>
      </x:c>
      <x:c r="C704" s="104" t="n">
        <x:v>2485.9387855408772</x:v>
      </x:c>
      <x:c r="D704" s="104" t="n">
        <x:v>207.64931113281227</x:v>
      </x:c>
      <x:c r="E704" s="105" t="str">
        <x:v>0:00</x:v>
      </x:c>
      <x:c r="F704" s="104" t="n">
        <x:v>5859.491374257088</x:v>
      </x:c>
    </x:row>
    <x:row r="705">
      <x:c r="A705" s="78"/>
      <x:c r="B705" s="79" t="str">
        <x:v>4:00-8:00</x:v>
      </x:c>
      <x:c r="C705" s="80" t="n">
        <x:v>1623.8577473219912</x:v>
      </x:c>
      <x:c r="D705" s="80" t="n">
        <x:v>5833.520300692653</x:v>
      </x:c>
      <x:c r="E705" s="81" t="str">
        <x:v>24:00</x:v>
      </x:c>
      <x:c r="F705" s="80" t="n">
        <x:v>5921.1868903551795</x:v>
      </x:c>
    </x:row>
    <x:row r="706">
      <x:c r="A706" s="78"/>
      <x:c r="B706" s="79" t="str">
        <x:v>8:00-12:00</x:v>
      </x:c>
      <x:c r="C706" s="80" t="n">
        <x:v>2066.1283833333337</x:v>
      </x:c>
      <x:c r="D706" s="80" t="n">
        <x:v>1481.3078166248392</x:v>
      </x:c>
      <x:c r="E706" s="81"/>
      <x:c r="F706" s="80"/>
    </x:row>
    <x:row r="707">
      <x:c r="A707" s="78"/>
      <x:c r="B707" s="79" t="str">
        <x:v>12:00-16:00</x:v>
      </x:c>
      <x:c r="C707" s="80" t="n">
        <x:v>4535.731253929049</x:v>
      </x:c>
      <x:c r="D707" s="80" t="n">
        <x:v>167.39572052939758</x:v>
      </x:c>
      <x:c r="E707" s="81"/>
      <x:c r="F707" s="80"/>
    </x:row>
    <x:row r="708">
      <x:c r="A708" s="78"/>
      <x:c r="B708" s="79" t="str">
        <x:v>16:00-20:00</x:v>
      </x:c>
      <x:c r="C708" s="80" t="n">
        <x:v>0</x:v>
      </x:c>
      <x:c r="D708" s="80" t="n">
        <x:v>5180.110585653131</x:v>
      </x:c>
      <x:c r="E708" s="81"/>
      <x:c r="F708" s="80"/>
    </x:row>
    <x:row r="709">
      <x:c r="A709" s="98"/>
      <x:c r="B709" s="99" t="str">
        <x:v>20:00-24:00</x:v>
      </x:c>
      <x:c r="C709" s="100" t="n">
        <x:v>5366.011169962867</x:v>
      </x:c>
      <x:c r="D709" s="100" t="n">
        <x:v>97.40084635026037</x:v>
      </x:c>
      <x:c r="E709" s="101"/>
      <x:c r="F709" s="100"/>
    </x:row>
    <x:row r="710">
      <x:c r="A710" s="102" t="n">
        <x:v>45807</x:v>
      </x:c>
      <x:c r="B710" s="103" t="str">
        <x:v>0:00-4:00</x:v>
      </x:c>
      <x:c r="C710" s="104" t="n">
        <x:v>164.48343886718743</x:v>
      </x:c>
      <x:c r="D710" s="104" t="n">
        <x:v>3397.641497415374</x:v>
      </x:c>
      <x:c r="E710" s="105" t="str">
        <x:v>0:00</x:v>
      </x:c>
      <x:c r="F710" s="104" t="n">
        <x:v>5921.1868903551795</x:v>
      </x:c>
    </x:row>
    <x:row r="711">
      <x:c r="A711" s="78"/>
      <x:c r="B711" s="79" t="str">
        <x:v>4:00-8:00</x:v>
      </x:c>
      <x:c r="C711" s="80" t="n">
        <x:v>1482.1368624181878</x:v>
      </x:c>
      <x:c r="D711" s="80" t="n">
        <x:v>1740.8109979454425</x:v>
      </x:c>
      <x:c r="E711" s="81" t="str">
        <x:v>24:00</x:v>
      </x:c>
      <x:c r="F711" s="80" t="n">
        <x:v>5819.530635236545</x:v>
      </x:c>
    </x:row>
    <x:row r="712">
      <x:c r="A712" s="78"/>
      <x:c r="B712" s="79" t="str">
        <x:v>8:00-12:00</x:v>
      </x:c>
      <x:c r="C712" s="80" t="n">
        <x:v>10118.051666666664</x:v>
      </x:c>
      <x:c r="D712" s="80" t="n">
        <x:v>0</x:v>
      </x:c>
      <x:c r="E712" s="81"/>
      <x:c r="F712" s="80"/>
    </x:row>
    <x:row r="713">
      <x:c r="A713" s="78"/>
      <x:c r="B713" s="79" t="str">
        <x:v>12:00-16:00</x:v>
      </x:c>
      <x:c r="C713" s="80" t="n">
        <x:v>0</x:v>
      </x:c>
      <x:c r="D713" s="80" t="n">
        <x:v>0</x:v>
      </x:c>
      <x:c r="E713" s="81"/>
      <x:c r="F713" s="80"/>
    </x:row>
    <x:row r="714">
      <x:c r="A714" s="78"/>
      <x:c r="B714" s="79" t="str">
        <x:v>16:00-20:00</x:v>
      </x:c>
      <x:c r="C714" s="80" t="n">
        <x:v>0</x:v>
      </x:c>
      <x:c r="D714" s="80" t="n">
        <x:v>6761.128557934084</x:v>
      </x:c>
      <x:c r="E714" s="81"/>
      <x:c r="F714" s="80"/>
    </x:row>
    <x:row r="715">
      <x:c r="A715" s="98"/>
      <x:c r="B715" s="99" t="str">
        <x:v>20:00-24:00</x:v>
      </x:c>
      <x:c r="C715" s="100" t="n">
        <x:v>5266.294893660783</x:v>
      </x:c>
      <x:c r="D715" s="100" t="n">
        <x:v>1986.9927342182605</x:v>
      </x:c>
      <x:c r="E715" s="101"/>
      <x:c r="F715" s="100"/>
    </x:row>
    <x:row r="716">
      <x:c r="A716" s="102" t="n">
        <x:v>45808</x:v>
      </x:c>
      <x:c r="B716" s="103" t="str">
        <x:v>0:00-4:00</x:v>
      </x:c>
      <x:c r="C716" s="104" t="n">
        <x:v>93.36385865885421</x:v>
      </x:c>
      <x:c r="D716" s="104" t="n">
        <x:v>3064.5057295162305</x:v>
      </x:c>
      <x:c r="E716" s="105" t="str">
        <x:v>0:00</x:v>
      </x:c>
      <x:c r="F716" s="104" t="n">
        <x:v>5819.530635236545</x:v>
      </x:c>
    </x:row>
    <x:row r="717">
      <x:c r="A717" s="78"/>
      <x:c r="B717" s="79" t="str">
        <x:v>4:00-8:00</x:v>
      </x:c>
      <x:c r="C717" s="80" t="n">
        <x:v>1456.3715863710377</x:v>
      </x:c>
      <x:c r="D717" s="80" t="n">
        <x:v>1860.669958170871</x:v>
      </x:c>
      <x:c r="E717" s="81" t="str">
        <x:v>24:00</x:v>
      </x:c>
      <x:c r="F717" s="80" t="n">
        <x:v>5658.802641574942</x:v>
      </x:c>
    </x:row>
    <x:row r="718">
      <x:c r="A718" s="78"/>
      <x:c r="B718" s="79" t="str">
        <x:v>8:00-12:00</x:v>
      </x:c>
      <x:c r="C718" s="80" t="n">
        <x:v>10064.583216666666</x:v>
      </x:c>
      <x:c r="D718" s="80" t="n">
        <x:v>0</x:v>
      </x:c>
      <x:c r="E718" s="81"/>
      <x:c r="F718" s="80"/>
    </x:row>
    <x:row r="719">
      <x:c r="A719" s="78"/>
      <x:c r="B719" s="79" t="str">
        <x:v>12:00-16:00</x:v>
      </x:c>
      <x:c r="C719" s="80" t="n">
        <x:v>0</x:v>
      </x:c>
      <x:c r="D719" s="80" t="n">
        <x:v>0</x:v>
      </x:c>
      <x:c r="E719" s="81"/>
      <x:c r="F719" s="80"/>
    </x:row>
    <x:row r="720">
      <x:c r="A720" s="78"/>
      <x:c r="B720" s="79" t="str">
        <x:v>16:00-20:00</x:v>
      </x:c>
      <x:c r="C720" s="80" t="n">
        <x:v>111.58313720515801</x:v>
      </x:c>
      <x:c r="D720" s="80" t="n">
        <x:v>6230.30081532371</x:v>
      </x:c>
      <x:c r="E720" s="81"/>
      <x:c r="F720" s="80"/>
    </x:row>
    <x:row r="721">
      <x:c r="A721" s="98"/>
      <x:c r="B721" s="99" t="str">
        <x:v>20:00-24:00</x:v>
      </x:c>
      <x:c r="C721" s="100" t="n">
        <x:v>5252.690993612719</x:v>
      </x:c>
      <x:c r="D721" s="100" t="n">
        <x:v>2741.8388532213203</x:v>
      </x:c>
      <x:c r="E721" s="101"/>
      <x:c r="F721" s="100"/>
    </x:row>
    <x:row r="722">
      <x:c r="A722" s="102" t="n">
        <x:v>45809</x:v>
      </x:c>
      <x:c r="B722" s="103" t="str">
        <x:v>0:00-4:00</x:v>
      </x:c>
      <x:c r="C722" s="104" t="n">
        <x:v>3070.1318883463537</x:v>
      </x:c>
      <x:c r="D722" s="104" t="n">
        <x:v>1499.520416796875</x:v>
      </x:c>
      <x:c r="E722" s="105" t="str">
        <x:v>0:00</x:v>
      </x:c>
      <x:c r="F722" s="104" t="n">
        <x:v>5658.802641574942</x:v>
      </x:c>
    </x:row>
    <x:row r="723">
      <x:c r="A723" s="78"/>
      <x:c r="B723" s="79" t="str">
        <x:v>4:00-8:00</x:v>
      </x:c>
      <x:c r="C723" s="80" t="n">
        <x:v>1182.787817644087</x:v>
      </x:c>
      <x:c r="D723" s="80" t="n">
        <x:v>5584.481947604163</x:v>
      </x:c>
      <x:c r="E723" s="81" t="str">
        <x:v>24:00</x:v>
      </x:c>
      <x:c r="F723" s="80" t="n">
        <x:v>4528.238027878328</x:v>
      </x:c>
    </x:row>
    <x:row r="724">
      <x:c r="A724" s="78"/>
      <x:c r="B724" s="79" t="str">
        <x:v>8:00-12:00</x:v>
      </x:c>
      <x:c r="C724" s="80" t="n">
        <x:v>2.0422499999999673</x:v>
      </x:c>
      <x:c r="D724" s="80" t="n">
        <x:v>375.439197368668</x:v>
      </x:c>
      <x:c r="E724" s="81"/>
      <x:c r="F724" s="80"/>
    </x:row>
    <x:row r="725">
      <x:c r="A725" s="78"/>
      <x:c r="B725" s="79" t="str">
        <x:v>12:00-16:00</x:v>
      </x:c>
      <x:c r="C725" s="80" t="n">
        <x:v>556.9889833333333</x:v>
      </x:c>
      <x:c r="D725" s="80" t="n">
        <x:v>451.16107649999935</x:v>
      </x:c>
      <x:c r="E725" s="81"/>
      <x:c r="F725" s="80"/>
    </x:row>
    <x:row r="726">
      <x:c r="A726" s="78"/>
      <x:c r="B726" s="79" t="str">
        <x:v>16:00-20:00</x:v>
      </x:c>
      <x:c r="C726" s="80" t="n">
        <x:v>0</x:v>
      </x:c>
      <x:c r="D726" s="80" t="n">
        <x:v>0</x:v>
      </x:c>
      <x:c r="E726" s="81"/>
      <x:c r="F726" s="80"/>
    </x:row>
    <x:row r="727">
      <x:c r="A727" s="98"/>
      <x:c r="B727" s="99" t="str">
        <x:v>20:00-24:00</x:v>
      </x:c>
      <x:c r="C727" s="100" t="n">
        <x:v>4367.011663000739</x:v>
      </x:c>
      <x:c r="D727" s="100" t="n">
        <x:v>541.8652219401043</x:v>
      </x:c>
      <x:c r="E727" s="101"/>
      <x:c r="F727" s="100"/>
    </x:row>
    <x:row r="728">
      <x:c r="A728" s="102" t="n">
        <x:v>45810</x:v>
      </x:c>
      <x:c r="B728" s="103" t="str">
        <x:v>0:00-4:00</x:v>
      </x:c>
      <x:c r="C728" s="104" t="n">
        <x:v>3245.184741007587</x:v>
      </x:c>
      <x:c r="D728" s="104" t="n">
        <x:v>1126.5059037109374</x:v>
      </x:c>
      <x:c r="E728" s="105" t="str">
        <x:v>0:00</x:v>
      </x:c>
      <x:c r="F728" s="104" t="n">
        <x:v>4528.238027878328</x:v>
      </x:c>
    </x:row>
    <x:row r="729">
      <x:c r="A729" s="78"/>
      <x:c r="B729" s="79" t="str">
        <x:v>4:00-8:00</x:v>
      </x:c>
      <x:c r="C729" s="80" t="n">
        <x:v>3171.3249621223367</x:v>
      </x:c>
      <x:c r="D729" s="80" t="n">
        <x:v>5855.793452980381</x:v>
      </x:c>
      <x:c r="E729" s="81" t="str">
        <x:v>24:00</x:v>
      </x:c>
      <x:c r="F729" s="80" t="n">
        <x:v>4664.141104776476</x:v>
      </x:c>
    </x:row>
    <x:row r="730">
      <x:c r="A730" s="78"/>
      <x:c r="B730" s="79" t="str">
        <x:v>8:00-12:00</x:v>
      </x:c>
      <x:c r="C730" s="80" t="n">
        <x:v>3122.3287833333325</x:v>
      </x:c>
      <x:c r="D730" s="80" t="n">
        <x:v>1210.4877279344132</x:v>
      </x:c>
      <x:c r="E730" s="81"/>
      <x:c r="F730" s="80"/>
    </x:row>
    <x:row r="731">
      <x:c r="A731" s="78"/>
      <x:c r="B731" s="79" t="str">
        <x:v>12:00-16:00</x:v>
      </x:c>
      <x:c r="C731" s="80" t="n">
        <x:v>882.9863017060717</x:v>
      </x:c>
      <x:c r="D731" s="80" t="n">
        <x:v>2846.4352896900486</x:v>
      </x:c>
      <x:c r="E731" s="81"/>
      <x:c r="F731" s="80"/>
    </x:row>
    <x:row r="732">
      <x:c r="A732" s="78"/>
      <x:c r="B732" s="79" t="str">
        <x:v>16:00-20:00</x:v>
      </x:c>
      <x:c r="C732" s="80" t="n">
        <x:v>0</x:v>
      </x:c>
      <x:c r="D732" s="80" t="n">
        <x:v>397.86992919187</x:v>
      </x:c>
      <x:c r="E732" s="81"/>
      <x:c r="F732" s="80"/>
    </x:row>
    <x:row r="733">
      <x:c r="A733" s="98"/>
      <x:c r="B733" s="99" t="str">
        <x:v>20:00-24:00</x:v>
      </x:c>
      <x:c r="C733" s="100" t="n">
        <x:v>4437.7743586379565</x:v>
      </x:c>
      <x:c r="D733" s="100" t="n">
        <x:v>476.87023619791637</x:v>
      </x:c>
      <x:c r="E733" s="101"/>
      <x:c r="F733" s="100"/>
    </x:row>
    <x:row r="734">
      <x:c r="A734" s="102" t="n">
        <x:v>45811</x:v>
      </x:c>
      <x:c r="B734" s="103" t="str">
        <x:v>0:00-4:00</x:v>
      </x:c>
      <x:c r="C734" s="104" t="n">
        <x:v>5535.913575161554</x:v>
      </x:c>
      <x:c r="D734" s="104" t="n">
        <x:v>730.990401106771</x:v>
      </x:c>
      <x:c r="E734" s="105" t="str">
        <x:v>0:00</x:v>
      </x:c>
      <x:c r="F734" s="104" t="n">
        <x:v>4664.141104776476</x:v>
      </x:c>
    </x:row>
    <x:row r="735">
      <x:c r="A735" s="78"/>
      <x:c r="B735" s="79" t="str">
        <x:v>4:00-8:00</x:v>
      </x:c>
      <x:c r="C735" s="80" t="n">
        <x:v>856.2585374055595</x:v>
      </x:c>
      <x:c r="D735" s="80" t="n">
        <x:v>5707.006098734539</x:v>
      </x:c>
      <x:c r="E735" s="81" t="str">
        <x:v>24:00</x:v>
      </x:c>
      <x:c r="F735" s="80" t="n">
        <x:v>5028.227964636862</x:v>
      </x:c>
    </x:row>
    <x:row r="736">
      <x:c r="A736" s="78"/>
      <x:c r="B736" s="79" t="str">
        <x:v>8:00-12:00</x:v>
      </x:c>
      <x:c r="C736" s="80" t="n">
        <x:v>1719.7873789403163</x:v>
      </x:c>
      <x:c r="D736" s="80" t="n">
        <x:v>1857.3899056368787</x:v>
      </x:c>
      <x:c r="E736" s="81"/>
      <x:c r="F736" s="80"/>
    </x:row>
    <x:row r="737">
      <x:c r="A737" s="78"/>
      <x:c r="B737" s="79" t="str">
        <x:v>12:00-16:00</x:v>
      </x:c>
      <x:c r="C737" s="80" t="n">
        <x:v>2991.4814134321605</x:v>
      </x:c>
      <x:c r="D737" s="80" t="n">
        <x:v>1132.6407690547885</x:v>
      </x:c>
      <x:c r="E737" s="81"/>
      <x:c r="F737" s="80"/>
    </x:row>
    <x:row r="738">
      <x:c r="A738" s="78"/>
      <x:c r="B738" s="79" t="str">
        <x:v>16:00-20:00</x:v>
      </x:c>
      <x:c r="C738" s="80" t="n">
        <x:v>0</x:v>
      </x:c>
      <x:c r="D738" s="80" t="n">
        <x:v>2683.486952766918</x:v>
      </x:c>
      <x:c r="E738" s="81"/>
      <x:c r="F738" s="80"/>
    </x:row>
    <x:row r="739">
      <x:c r="A739" s="98"/>
      <x:c r="B739" s="99" t="str">
        <x:v>20:00-24:00</x:v>
      </x:c>
      <x:c r="C739" s="100" t="n">
        <x:v>4673.190190018969</x:v>
      </x:c>
      <x:c r="D739" s="100" t="n">
        <x:v>339.8788857421873</x:v>
      </x:c>
      <x:c r="E739" s="101"/>
      <x:c r="F739" s="100"/>
    </x:row>
    <x:row r="740">
      <x:c r="A740" s="102" t="n">
        <x:v>45812</x:v>
      </x:c>
      <x:c r="B740" s="103" t="str">
        <x:v>0:00-4:00</x:v>
      </x:c>
      <x:c r="C740" s="104" t="n">
        <x:v>2346.282673046875</x:v>
      </x:c>
      <x:c r="D740" s="104" t="n">
        <x:v>1171.6065457031248</x:v>
      </x:c>
      <x:c r="E740" s="105" t="str">
        <x:v>0:00</x:v>
      </x:c>
      <x:c r="F740" s="104" t="n">
        <x:v>5028.227964636862</x:v>
      </x:c>
    </x:row>
    <x:row r="741">
      <x:c r="A741" s="78"/>
      <x:c r="B741" s="79" t="str">
        <x:v>4:00-8:00</x:v>
      </x:c>
      <x:c r="C741" s="80" t="n">
        <x:v>3695.9588916098446</x:v>
      </x:c>
      <x:c r="D741" s="80" t="n">
        <x:v>5458.171585702654</x:v>
      </x:c>
      <x:c r="E741" s="81" t="str">
        <x:v>24:00</x:v>
      </x:c>
      <x:c r="F741" s="80" t="n">
        <x:v>5005.292038434606</x:v>
      </x:c>
    </x:row>
    <x:row r="742">
      <x:c r="A742" s="78"/>
      <x:c r="B742" s="79" t="str">
        <x:v>8:00-12:00</x:v>
      </x:c>
      <x:c r="C742" s="80" t="n">
        <x:v>1786.9214926304344</x:v>
      </x:c>
      <x:c r="D742" s="80" t="n">
        <x:v>1709.842704139339</x:v>
      </x:c>
      <x:c r="E742" s="81"/>
      <x:c r="F742" s="80"/>
    </x:row>
    <x:row r="743">
      <x:c r="A743" s="78"/>
      <x:c r="B743" s="79" t="str">
        <x:v>12:00-16:00</x:v>
      </x:c>
      <x:c r="C743" s="80" t="n">
        <x:v>2376.0050461482997</x:v>
      </x:c>
      <x:c r="D743" s="80" t="n">
        <x:v>1859.9545850598183</x:v>
      </x:c>
      <x:c r="E743" s="81"/>
      <x:c r="F743" s="80"/>
    </x:row>
    <x:row r="744">
      <x:c r="A744" s="78"/>
      <x:c r="B744" s="79" t="str">
        <x:v>16:00-20:00</x:v>
      </x:c>
      <x:c r="C744" s="80" t="n">
        <x:v>0</x:v>
      </x:c>
      <x:c r="D744" s="80" t="n">
        <x:v>1512.0159113509567</x:v>
      </x:c>
      <x:c r="E744" s="81"/>
      <x:c r="F744" s="80"/>
    </x:row>
    <x:row r="745">
      <x:c r="A745" s="98"/>
      <x:c r="B745" s="99" t="str">
        <x:v>20:00-24:00</x:v>
      </x:c>
      <x:c r="C745" s="100" t="n">
        <x:v>4686.122083439429</x:v>
      </x:c>
      <x:c r="D745" s="100" t="n">
        <x:v>370.9960529947914</x:v>
      </x:c>
      <x:c r="E745" s="101"/>
      <x:c r="F745" s="100"/>
    </x:row>
    <x:row r="746">
      <x:c r="A746" s="102" t="n">
        <x:v>45813</x:v>
      </x:c>
      <x:c r="B746" s="103" t="str">
        <x:v>0:00-4:00</x:v>
      </x:c>
      <x:c r="C746" s="104" t="n">
        <x:v>2810.5992746559928</x:v>
      </x:c>
      <x:c r="D746" s="104" t="n">
        <x:v>990.2726078124999</x:v>
      </x:c>
      <x:c r="E746" s="105" t="str">
        <x:v>0:00</x:v>
      </x:c>
      <x:c r="F746" s="104" t="n">
        <x:v>5005.292038434606</x:v>
      </x:c>
    </x:row>
    <x:row r="747">
      <x:c r="A747" s="78"/>
      <x:c r="B747" s="79" t="str">
        <x:v>4:00-8:00</x:v>
      </x:c>
      <x:c r="C747" s="80" t="n">
        <x:v>3199.67245668977</x:v>
      </x:c>
      <x:c r="D747" s="80" t="n">
        <x:v>6008.972996018903</x:v>
      </x:c>
      <x:c r="E747" s="81" t="str">
        <x:v>24:00</x:v>
      </x:c>
      <x:c r="F747" s="80" t="n">
        <x:v>4940.342024657841</x:v>
      </x:c>
    </x:row>
    <x:row r="748">
      <x:c r="A748" s="78"/>
      <x:c r="B748" s="79" t="str">
        <x:v>8:00-12:00</x:v>
      </x:c>
      <x:c r="C748" s="80" t="n">
        <x:v>2216.8094246192004</x:v>
      </x:c>
      <x:c r="D748" s="80" t="n">
        <x:v>1293.8373331498096</x:v>
      </x:c>
      <x:c r="E748" s="81"/>
      <x:c r="F748" s="80"/>
    </x:row>
    <x:row r="749">
      <x:c r="A749" s="78"/>
      <x:c r="B749" s="79" t="str">
        <x:v>12:00-16:00</x:v>
      </x:c>
      <x:c r="C749" s="80" t="n">
        <x:v>3064.137990192217</x:v>
      </x:c>
      <x:c r="D749" s="80" t="n">
        <x:v>2484.7568558596654</x:v>
      </x:c>
      <x:c r="E749" s="81"/>
      <x:c r="F749" s="80"/>
    </x:row>
    <x:row r="750">
      <x:c r="A750" s="78"/>
      <x:c r="B750" s="79" t="str">
        <x:v>16:00-20:00</x:v>
      </x:c>
      <x:c r="C750" s="80" t="n">
        <x:v>0</x:v>
      </x:c>
      <x:c r="D750" s="80" t="n">
        <x:v>1792.810550137583</x:v>
      </x:c>
      <x:c r="E750" s="81"/>
      <x:c r="F750" s="80"/>
    </x:row>
    <x:row r="751">
      <x:c r="A751" s="98"/>
      <x:c r="B751" s="99" t="str">
        <x:v>20:00-24:00</x:v>
      </x:c>
      <x:c r="C751" s="100" t="n">
        <x:v>4599.443682072241</x:v>
      </x:c>
      <x:c r="D751" s="100" t="n">
        <x:v>359.24156028645825</x:v>
      </x:c>
      <x:c r="E751" s="101"/>
      <x:c r="F751" s="100"/>
    </x:row>
    <x:row r="752">
      <x:c r="A752" s="102" t="n">
        <x:v>45814</x:v>
      </x:c>
      <x:c r="B752" s="103" t="str">
        <x:v>0:00-4:00</x:v>
      </x:c>
      <x:c r="C752" s="104" t="n">
        <x:v>23.30225924479157</x:v>
      </x:c>
      <x:c r="D752" s="104" t="n">
        <x:v>3379.5018698924046</x:v>
      </x:c>
      <x:c r="E752" s="105" t="str">
        <x:v>0:00</x:v>
      </x:c>
      <x:c r="F752" s="104" t="n">
        <x:v>4940.342024657841</x:v>
      </x:c>
    </x:row>
    <x:row r="753">
      <x:c r="A753" s="78"/>
      <x:c r="B753" s="79" t="str">
        <x:v>4:00-8:00</x:v>
      </x:c>
      <x:c r="C753" s="80" t="n">
        <x:v>912.631314175491</x:v>
      </x:c>
      <x:c r="D753" s="80" t="n">
        <x:v>648.7422777700832</x:v>
      </x:c>
      <x:c r="E753" s="81" t="str">
        <x:v>24:00</x:v>
      </x:c>
      <x:c r="F753" s="80" t="n">
        <x:v>5028.846094963831</x:v>
      </x:c>
    </x:row>
    <x:row r="754">
      <x:c r="A754" s="78"/>
      <x:c r="B754" s="79" t="str">
        <x:v>8:00-12:00</x:v>
      </x:c>
      <x:c r="C754" s="80" t="n">
        <x:v>8222.73265</x:v>
      </x:c>
      <x:c r="D754" s="80" t="n">
        <x:v>0</x:v>
      </x:c>
      <x:c r="E754" s="81"/>
      <x:c r="F754" s="80"/>
    </x:row>
    <x:row r="755">
      <x:c r="A755" s="78"/>
      <x:c r="B755" s="79" t="str">
        <x:v>12:00-16:00</x:v>
      </x:c>
      <x:c r="C755" s="80" t="n">
        <x:v>2325.205783333333</x:v>
      </x:c>
      <x:c r="D755" s="80" t="n">
        <x:v>684.4025166666667</x:v>
      </x:c>
      <x:c r="E755" s="81"/>
      <x:c r="F755" s="80"/>
    </x:row>
    <x:row r="756">
      <x:c r="A756" s="78"/>
      <x:c r="B756" s="79" t="str">
        <x:v>16:00-20:00</x:v>
      </x:c>
      <x:c r="C756" s="80" t="n">
        <x:v>0</x:v>
      </x:c>
      <x:c r="D756" s="80" t="n">
        <x:v>7955.597483333335</x:v>
      </x:c>
      <x:c r="E756" s="81"/>
      <x:c r="F756" s="80"/>
    </x:row>
    <x:row r="757">
      <x:c r="A757" s="98"/>
      <x:c r="B757" s="99" t="str">
        <x:v>20:00-24:00</x:v>
      </x:c>
      <x:c r="C757" s="100" t="n">
        <x:v>4666.783734630593</x:v>
      </x:c>
      <x:c r="D757" s="100" t="n">
        <x:v>334.13333958333345</x:v>
      </x:c>
      <x:c r="E757" s="101"/>
      <x:c r="F757" s="100"/>
    </x:row>
    <x:row r="758">
      <x:c r="A758" s="102" t="n">
        <x:v>45815</x:v>
      </x:c>
      <x:c r="B758" s="103" t="str">
        <x:v>0:00-4:00</x:v>
      </x:c>
      <x:c r="C758" s="104" t="n">
        <x:v>13.524519856770894</x:v>
      </x:c>
      <x:c r="D758" s="104" t="n">
        <x:v>3343.6892356246035</x:v>
      </x:c>
      <x:c r="E758" s="105" t="str">
        <x:v>0:00</x:v>
      </x:c>
      <x:c r="F758" s="104" t="n">
        <x:v>5028.846094963831</x:v>
      </x:c>
    </x:row>
    <x:row r="759">
      <x:c r="A759" s="78"/>
      <x:c r="B759" s="79" t="str">
        <x:v>4:00-8:00</x:v>
      </x:c>
      <x:c r="C759" s="80" t="n">
        <x:v>1677.5949794860549</x:v>
      </x:c>
      <x:c r="D759" s="80" t="n">
        <x:v>1403.3356943105346</x:v>
      </x:c>
      <x:c r="E759" s="81" t="str">
        <x:v>24:00</x:v>
      </x:c>
      <x:c r="F759" s="80" t="n">
        <x:v>5441.889728459923</x:v>
      </x:c>
    </x:row>
    <x:row r="760">
      <x:c r="A760" s="78"/>
      <x:c r="B760" s="79" t="str">
        <x:v>8:00-12:00</x:v>
      </x:c>
      <x:c r="C760" s="80" t="n">
        <x:v>6138.388383333333</x:v>
      </x:c>
      <x:c r="D760" s="80" t="n">
        <x:v>0</x:v>
      </x:c>
      <x:c r="E760" s="81"/>
      <x:c r="F760" s="80"/>
    </x:row>
    <x:row r="761">
      <x:c r="A761" s="78"/>
      <x:c r="B761" s="79" t="str">
        <x:v>12:00-16:00</x:v>
      </x:c>
      <x:c r="C761" s="80" t="n">
        <x:v>4443.409950000005</x:v>
      </x:c>
      <x:c r="D761" s="80" t="n">
        <x:v>165.9782333333334</x:v>
      </x:c>
      <x:c r="E761" s="81"/>
      <x:c r="F761" s="80"/>
    </x:row>
    <x:row r="762">
      <x:c r="A762" s="78"/>
      <x:c r="B762" s="79" t="str">
        <x:v>16:00-20:00</x:v>
      </x:c>
      <x:c r="C762" s="80" t="n">
        <x:v>0</x:v>
      </x:c>
      <x:c r="D762" s="80" t="n">
        <x:v>8474.021766666665</x:v>
      </x:c>
      <x:c r="E762" s="81"/>
      <x:c r="F762" s="80"/>
    </x:row>
    <x:row r="763">
      <x:c r="A763" s="98"/>
      <x:c r="B763" s="99" t="str">
        <x:v>20:00-24:00</x:v>
      </x:c>
      <x:c r="C763" s="100" t="n">
        <x:v>5685.399646446597</x:v>
      </x:c>
      <x:c r="D763" s="100" t="n">
        <x:v>787.4729580078124</x:v>
      </x:c>
      <x:c r="E763" s="101"/>
      <x:c r="F763" s="100"/>
    </x:row>
    <x:row r="764">
      <x:c r="A764" s="102" t="n">
        <x:v>45816</x:v>
      </x:c>
      <x:c r="B764" s="103" t="str">
        <x:v>0:00-4:00</x:v>
      </x:c>
      <x:c r="C764" s="104" t="n">
        <x:v>1816.2378872797724</x:v>
      </x:c>
      <x:c r="D764" s="104" t="n">
        <x:v>483.6490578776039</x:v>
      </x:c>
      <x:c r="E764" s="105" t="str">
        <x:v>0:00</x:v>
      </x:c>
      <x:c r="F764" s="104" t="n">
        <x:v>5441.889728459923</x:v>
      </x:c>
    </x:row>
    <x:row r="765">
      <x:c r="A765" s="78"/>
      <x:c r="B765" s="79" t="str">
        <x:v>4:00-8:00</x:v>
      </x:c>
      <x:c r="C765" s="80" t="n">
        <x:v>5038.58417001564</x:v>
      </x:c>
      <x:c r="D765" s="80" t="n">
        <x:v>3322.8620918194483</x:v>
      </x:c>
      <x:c r="E765" s="81" t="str">
        <x:v>24:00</x:v>
      </x:c>
      <x:c r="F765" s="80" t="n">
        <x:v>5341.964342829138</x:v>
      </x:c>
    </x:row>
    <x:row r="766">
      <x:c r="A766" s="78"/>
      <x:c r="B766" s="79" t="str">
        <x:v>8:00-12:00</x:v>
      </x:c>
      <x:c r="C766" s="80" t="n">
        <x:v>4138.787799999999</x:v>
      </x:c>
      <x:c r="D766" s="80" t="n">
        <x:v>724.7185333333333</x:v>
      </x:c>
      <x:c r="E766" s="81"/>
      <x:c r="F766" s="80"/>
    </x:row>
    <x:row r="767">
      <x:c r="A767" s="78"/>
      <x:c r="B767" s="79" t="str">
        <x:v>12:00-16:00</x:v>
      </x:c>
      <x:c r="C767" s="80" t="n">
        <x:v>1179.905726530114</x:v>
      </x:c>
      <x:c r="D767" s="80" t="n">
        <x:v>859.8769549109498</x:v>
      </x:c>
      <x:c r="E767" s="81"/>
      <x:c r="F767" s="80"/>
    </x:row>
    <x:row r="768">
      <x:c r="A768" s="78"/>
      <x:c r="B768" s="79" t="str">
        <x:v>16:00-20:00</x:v>
      </x:c>
      <x:c r="C768" s="80" t="n">
        <x:v>1.1238546899057837</x:v>
      </x:c>
      <x:c r="D768" s="80" t="n">
        <x:v>6445.480051084982</x:v>
      </x:c>
      <x:c r="E768" s="81"/>
      <x:c r="F768" s="80"/>
    </x:row>
    <x:row r="769">
      <x:c r="A769" s="98"/>
      <x:c r="B769" s="99" t="str">
        <x:v>20:00-24:00</x:v>
      </x:c>
      <x:c r="C769" s="100" t="n">
        <x:v>4969.662694932324</x:v>
      </x:c>
      <x:c r="D769" s="100" t="n">
        <x:v>2140.2308861340707</x:v>
      </x:c>
      <x:c r="E769" s="101"/>
      <x:c r="F769" s="100"/>
    </x:row>
    <x:row r="770">
      <x:c r="A770" s="102" t="n">
        <x:v>45817</x:v>
      </x:c>
      <x:c r="B770" s="103" t="str">
        <x:v>0:00-4:00</x:v>
      </x:c>
      <x:c r="C770" s="104" t="n">
        <x:v>1844.092695749742</x:v>
      </x:c>
      <x:c r="D770" s="104" t="n">
        <x:v>741.8040776041663</x:v>
      </x:c>
      <x:c r="E770" s="105" t="str">
        <x:v>0:00</x:v>
      </x:c>
      <x:c r="F770" s="104" t="n">
        <x:v>5341.964342829138</x:v>
      </x:c>
    </x:row>
    <x:row r="771">
      <x:c r="A771" s="78"/>
      <x:c r="B771" s="79" t="str">
        <x:v>4:00-8:00</x:v>
      </x:c>
      <x:c r="C771" s="80" t="n">
        <x:v>4125.759655922435</x:v>
      </x:c>
      <x:c r="D771" s="80" t="n">
        <x:v>4625.378791337389</x:v>
      </x:c>
      <x:c r="E771" s="81" t="str">
        <x:v>24:00</x:v>
      </x:c>
      <x:c r="F771" s="80" t="n">
        <x:v>5528.116285802227</x:v>
      </x:c>
    </x:row>
    <x:row r="772">
      <x:c r="A772" s="78"/>
      <x:c r="B772" s="79" t="str">
        <x:v>8:00-12:00</x:v>
      </x:c>
      <x:c r="C772" s="80" t="n">
        <x:v>4816.326190499607</x:v>
      </x:c>
      <x:c r="D772" s="80" t="n">
        <x:v>2292.610966666666</x:v>
      </x:c>
      <x:c r="E772" s="81"/>
      <x:c r="F772" s="80"/>
    </x:row>
    <x:row r="773">
      <x:c r="A773" s="78"/>
      <x:c r="B773" s="79" t="str">
        <x:v>12:00-16:00</x:v>
      </x:c>
      <x:c r="C773" s="80" t="n">
        <x:v>2219.089779197943</x:v>
      </x:c>
      <x:c r="D773" s="80" t="n">
        <x:v>1287.533336585452</x:v>
      </x:c>
      <x:c r="E773" s="81"/>
      <x:c r="F773" s="80"/>
    </x:row>
    <x:row r="774">
      <x:c r="A774" s="78"/>
      <x:c r="B774" s="79" t="str">
        <x:v>16:00-20:00</x:v>
      </x:c>
      <x:c r="C774" s="80" t="n">
        <x:v>0</x:v>
      </x:c>
      <x:c r="D774" s="80" t="n">
        <x:v>5314.708076662031</x:v>
      </x:c>
      <x:c r="E774" s="81"/>
      <x:c r="F774" s="80"/>
    </x:row>
    <x:row r="775">
      <x:c r="A775" s="98"/>
      <x:c r="B775" s="99" t="str">
        <x:v>20:00-24:00</x:v>
      </x:c>
      <x:c r="C775" s="100" t="n">
        <x:v>5075.183323753376</x:v>
      </x:c>
      <x:c r="D775" s="100" t="n">
        <x:v>215.59383501822919</x:v>
      </x:c>
      <x:c r="E775" s="101"/>
      <x:c r="F775" s="100"/>
    </x:row>
    <x:row r="776">
      <x:c r="A776" s="102" t="n">
        <x:v>45818</x:v>
      </x:c>
      <x:c r="B776" s="103" t="str">
        <x:v>0:00-4:00</x:v>
      </x:c>
      <x:c r="C776" s="104" t="n">
        <x:v>2389.900582421875</x:v>
      </x:c>
      <x:c r="D776" s="104" t="n">
        <x:v>529.7271426432295</x:v>
      </x:c>
      <x:c r="E776" s="105" t="str">
        <x:v>0:00</x:v>
      </x:c>
      <x:c r="F776" s="104" t="n">
        <x:v>5528.116285802227</x:v>
      </x:c>
    </x:row>
    <x:row r="777">
      <x:c r="A777" s="78"/>
      <x:c r="B777" s="79" t="str">
        <x:v>4:00-8:00</x:v>
      </x:c>
      <x:c r="C777" s="80" t="n">
        <x:v>3354.0567848683795</x:v>
      </x:c>
      <x:c r="D777" s="80" t="n">
        <x:v>5107.934239644075</x:v>
      </x:c>
      <x:c r="E777" s="81" t="str">
        <x:v>24:00</x:v>
      </x:c>
      <x:c r="F777" s="80" t="n">
        <x:v>5387.506690421007</x:v>
      </x:c>
    </x:row>
    <x:row r="778">
      <x:c r="A778" s="78"/>
      <x:c r="B778" s="79" t="str">
        <x:v>8:00-12:00</x:v>
      </x:c>
      <x:c r="C778" s="80" t="n">
        <x:v>4551.373398255249</x:v>
      </x:c>
      <x:c r="D778" s="80" t="n">
        <x:v>2910.2487424398087</x:v>
      </x:c>
      <x:c r="E778" s="81"/>
      <x:c r="F778" s="80"/>
    </x:row>
    <x:row r="779">
      <x:c r="A779" s="78"/>
      <x:c r="B779" s="79" t="str">
        <x:v>12:00-16:00</x:v>
      </x:c>
      <x:c r="C779" s="80" t="n">
        <x:v>3888.2199232262064</x:v>
      </x:c>
      <x:c r="D779" s="80" t="n">
        <x:v>1719.7037969961152</x:v>
      </x:c>
      <x:c r="E779" s="81"/>
      <x:c r="F779" s="80"/>
    </x:row>
    <x:row r="780">
      <x:c r="A780" s="78"/>
      <x:c r="B780" s="79" t="str">
        <x:v>16:00-20:00</x:v>
      </x:c>
      <x:c r="C780" s="80" t="n">
        <x:v>5.360700232440649</x:v>
      </x:c>
      <x:c r="D780" s="80" t="n">
        <x:v>5120.708960592139</x:v>
      </x:c>
      <x:c r="E780" s="81"/>
      <x:c r="F780" s="80"/>
    </x:row>
    <x:row r="781">
      <x:c r="A781" s="98"/>
      <x:c r="B781" s="99" t="str">
        <x:v>20:00-24:00</x:v>
      </x:c>
      <x:c r="C781" s="100" t="n">
        <x:v>4893.792703219843</x:v>
      </x:c>
      <x:c r="D781" s="100" t="n">
        <x:v>195.2160682291667</x:v>
      </x:c>
      <x:c r="E781" s="101"/>
      <x:c r="F781" s="100"/>
    </x:row>
    <x:row r="782">
      <x:c r="A782" s="102" t="n">
        <x:v>45819</x:v>
      </x:c>
      <x:c r="B782" s="103" t="str">
        <x:v>0:00-4:00</x:v>
      </x:c>
      <x:c r="C782" s="104" t="n">
        <x:v>1922.1314053481865</x:v>
      </x:c>
      <x:c r="D782" s="104" t="n">
        <x:v>525.7837509765626</x:v>
      </x:c>
      <x:c r="E782" s="105" t="str">
        <x:v>0:00</x:v>
      </x:c>
      <x:c r="F782" s="104" t="n">
        <x:v>5387.506690421007</x:v>
      </x:c>
    </x:row>
    <x:row r="783">
      <x:c r="A783" s="78"/>
      <x:c r="B783" s="79" t="str">
        <x:v>4:00-8:00</x:v>
      </x:c>
      <x:c r="C783" s="80" t="n">
        <x:v>4169.87590234375</x:v>
      </x:c>
      <x:c r="D783" s="80" t="n">
        <x:v>4682.120719419605</x:v>
      </x:c>
      <x:c r="E783" s="81" t="str">
        <x:v>24:00</x:v>
      </x:c>
      <x:c r="F783" s="80" t="n">
        <x:v>5510.584475745082</x:v>
      </x:c>
    </x:row>
    <x:row r="784">
      <x:c r="A784" s="78"/>
      <x:c r="B784" s="79" t="str">
        <x:v>8:00-12:00</x:v>
      </x:c>
      <x:c r="C784" s="80" t="n">
        <x:v>4124.703771307199</x:v>
      </x:c>
      <x:c r="D784" s="80" t="n">
        <x:v>3495.377470213208</x:v>
      </x:c>
      <x:c r="E784" s="81"/>
      <x:c r="F784" s="80"/>
    </x:row>
    <x:row r="785">
      <x:c r="A785" s="78"/>
      <x:c r="B785" s="79" t="str">
        <x:v>12:00-16:00</x:v>
      </x:c>
      <x:c r="C785" s="80" t="n">
        <x:v>2437.131307858204</x:v>
      </x:c>
      <x:c r="D785" s="80" t="n">
        <x:v>3293.7009284969326</x:v>
      </x:c>
      <x:c r="E785" s="81"/>
      <x:c r="F785" s="80"/>
    </x:row>
    <x:row r="786">
      <x:c r="A786" s="78"/>
      <x:c r="B786" s="79" t="str">
        <x:v>16:00-20:00</x:v>
      </x:c>
      <x:c r="C786" s="80" t="n">
        <x:v>0</x:v>
      </x:c>
      <x:c r="D786" s="80" t="n">
        <x:v>2021.3854856270414</x:v>
      </x:c>
      <x:c r="E786" s="81"/>
      <x:c r="F786" s="80"/>
    </x:row>
    <x:row r="787">
      <x:c r="A787" s="98"/>
      <x:c r="B787" s="99" t="str">
        <x:v>20:00-24:00</x:v>
      </x:c>
      <x:c r="C787" s="100" t="n">
        <x:v>4983.1935332835</x:v>
      </x:c>
      <x:c r="D787" s="100" t="n">
        <x:v>156.86073378906246</x:v>
      </x:c>
      <x:c r="E787" s="101"/>
      <x:c r="F787" s="100"/>
    </x:row>
    <x:row r="788">
      <x:c r="A788" s="102" t="n">
        <x:v>45820</x:v>
      </x:c>
      <x:c r="B788" s="103" t="str">
        <x:v>0:00-4:00</x:v>
      </x:c>
      <x:c r="C788" s="104" t="n">
        <x:v>2543.516633072916</x:v>
      </x:c>
      <x:c r="D788" s="104" t="n">
        <x:v>580.5633531901043</x:v>
      </x:c>
      <x:c r="E788" s="105" t="str">
        <x:v>0:00</x:v>
      </x:c>
      <x:c r="F788" s="104" t="n">
        <x:v>5510.584475745082</x:v>
      </x:c>
    </x:row>
    <x:row r="789">
      <x:c r="A789" s="78"/>
      <x:c r="B789" s="79" t="str">
        <x:v>4:00-8:00</x:v>
      </x:c>
      <x:c r="C789" s="80" t="n">
        <x:v>4324.77211850666</x:v>
      </x:c>
      <x:c r="D789" s="80" t="n">
        <x:v>3113.6669990629152</x:v>
      </x:c>
      <x:c r="E789" s="81" t="str">
        <x:v>24:00</x:v>
      </x:c>
      <x:c r="F789" s="80" t="n">
        <x:v>5628.8928830280665</x:v>
      </x:c>
    </x:row>
    <x:row r="790">
      <x:c r="A790" s="78"/>
      <x:c r="B790" s="79" t="str">
        <x:v>8:00-12:00</x:v>
      </x:c>
      <x:c r="C790" s="80" t="n">
        <x:v>2094.3071999999997</x:v>
      </x:c>
      <x:c r="D790" s="80" t="n">
        <x:v>2622.9227499999997</x:v>
      </x:c>
      <x:c r="E790" s="81"/>
      <x:c r="F790" s="80"/>
    </x:row>
    <x:row r="791">
      <x:c r="A791" s="78"/>
      <x:c r="B791" s="79" t="str">
        <x:v>12:00-16:00</x:v>
      </x:c>
      <x:c r="C791" s="80" t="n">
        <x:v>3930.190822961499</x:v>
      </x:c>
      <x:c r="D791" s="80" t="n">
        <x:v>2553.428964859825</x:v>
      </x:c>
      <x:c r="E791" s="81"/>
      <x:c r="F791" s="80"/>
    </x:row>
    <x:row r="792">
      <x:c r="A792" s="78"/>
      <x:c r="B792" s="79" t="str">
        <x:v>16:00-20:00</x:v>
      </x:c>
      <x:c r="C792" s="80" t="n">
        <x:v>31.965986662049886</x:v>
      </x:c>
      <x:c r="D792" s="80" t="n">
        <x:v>5477.993697632262</x:v>
      </x:c>
      <x:c r="E792" s="81"/>
      <x:c r="F792" s="80"/>
    </x:row>
    <x:row r="793">
      <x:c r="A793" s="98"/>
      <x:c r="B793" s="99" t="str">
        <x:v>20:00-24:00</x:v>
      </x:c>
      <x:c r="C793" s="100" t="n">
        <x:v>5096.683237765239</x:v>
      </x:c>
      <x:c r="D793" s="100" t="n">
        <x:v>142.30982786458344</x:v>
      </x:c>
      <x:c r="E793" s="101"/>
      <x:c r="F793" s="100"/>
    </x:row>
    <x:row r="794">
      <x:c r="A794" s="102" t="n">
        <x:v>45821</x:v>
      </x:c>
      <x:c r="B794" s="103" t="str">
        <x:v>0:00-4:00</x:v>
      </x:c>
      <x:c r="C794" s="104" t="n">
        <x:v>927.9057274739582</x:v>
      </x:c>
      <x:c r="D794" s="104" t="n">
        <x:v>3636.65284378009</x:v>
      </x:c>
      <x:c r="E794" s="105" t="str">
        <x:v>0:00</x:v>
      </x:c>
      <x:c r="F794" s="104" t="n">
        <x:v>5628.8928830280665</x:v>
      </x:c>
    </x:row>
    <x:row r="795">
      <x:c r="A795" s="78"/>
      <x:c r="B795" s="79" t="str">
        <x:v>4:00-8:00</x:v>
      </x:c>
      <x:c r="C795" s="80" t="n">
        <x:v>867.011087623015</x:v>
      </x:c>
      <x:c r="D795" s="80" t="n">
        <x:v>1762.8964511737183</x:v>
      </x:c>
      <x:c r="E795" s="81" t="str">
        <x:v>24:00</x:v>
      </x:c>
      <x:c r="F795" s="80" t="n">
        <x:v>5725.893574207176</x:v>
      </x:c>
    </x:row>
    <x:row r="796">
      <x:c r="A796" s="78"/>
      <x:c r="B796" s="79" t="str">
        <x:v>8:00-12:00</x:v>
      </x:c>
      <x:c r="C796" s="80" t="n">
        <x:v>6567.932666666666</x:v>
      </x:c>
      <x:c r="D796" s="80" t="n">
        <x:v>13.859816666666726</x:v>
      </x:c>
      <x:c r="E796" s="81"/>
      <x:c r="F796" s="80"/>
    </x:row>
    <x:row r="797">
      <x:c r="A797" s="78"/>
      <x:c r="B797" s="79" t="str">
        <x:v>12:00-16:00</x:v>
      </x:c>
      <x:c r="C797" s="80" t="n">
        <x:v>4066.0462181069947</x:v>
      </x:c>
      <x:c r="D797" s="80" t="n">
        <x:v>91.36754027364091</x:v>
      </x:c>
      <x:c r="E797" s="81"/>
      <x:c r="F797" s="80"/>
    </x:row>
    <x:row r="798">
      <x:c r="A798" s="78"/>
      <x:c r="B798" s="79" t="str">
        <x:v>16:00-20:00</x:v>
      </x:c>
      <x:c r="C798" s="80" t="n">
        <x:v>0</x:v>
      </x:c>
      <x:c r="D798" s="80" t="n">
        <x:v>7598.788817602546</x:v>
      </x:c>
      <x:c r="E798" s="81"/>
      <x:c r="F798" s="80"/>
    </x:row>
    <x:row r="799">
      <x:c r="A799" s="98"/>
      <x:c r="B799" s="99" t="str">
        <x:v>20:00-24:00</x:v>
      </x:c>
      <x:c r="C799" s="100" t="n">
        <x:v>5189.931898898051</x:v>
      </x:c>
      <x:c r="D799" s="100" t="n">
        <x:v>1080.384263444777</x:v>
      </x:c>
      <x:c r="E799" s="101"/>
      <x:c r="F799" s="100"/>
    </x:row>
    <x:row r="800">
      <x:c r="A800" s="102" t="n">
        <x:v>45822</x:v>
      </x:c>
      <x:c r="B800" s="103" t="str">
        <x:v>0:00-4:00</x:v>
      </x:c>
      <x:c r="C800" s="104" t="n">
        <x:v>67.30371809895843</x:v>
      </x:c>
      <x:c r="D800" s="104" t="n">
        <x:v>3421.8986855795574</x:v>
      </x:c>
      <x:c r="E800" s="105" t="str">
        <x:v>0:00</x:v>
      </x:c>
      <x:c r="F800" s="104" t="n">
        <x:v>5725.893574207176</x:v>
      </x:c>
    </x:row>
    <x:row r="801">
      <x:c r="A801" s="78"/>
      <x:c r="B801" s="79" t="str">
        <x:v>4:00-8:00</x:v>
      </x:c>
      <x:c r="C801" s="80" t="n">
        <x:v>1220.078617267108</x:v>
      </x:c>
      <x:c r="D801" s="80" t="n">
        <x:v>1509.4260048534138</x:v>
      </x:c>
      <x:c r="E801" s="81" t="str">
        <x:v>24:00</x:v>
      </x:c>
      <x:c r="F801" s="80" t="n">
        <x:v>5591.090841099536</x:v>
      </x:c>
    </x:row>
    <x:row r="802">
      <x:c r="A802" s="78"/>
      <x:c r="B802" s="79" t="str">
        <x:v>8:00-12:00</x:v>
      </x:c>
      <x:c r="C802" s="80" t="n">
        <x:v>9304.3373</x:v>
      </x:c>
      <x:c r="D802" s="80" t="n">
        <x:v>0</x:v>
      </x:c>
      <x:c r="E802" s="81"/>
      <x:c r="F802" s="80"/>
    </x:row>
    <x:row r="803">
      <x:c r="A803" s="78"/>
      <x:c r="B803" s="79" t="str">
        <x:v>12:00-16:00</x:v>
      </x:c>
      <x:c r="C803" s="80" t="n">
        <x:v>1134.2315666666648</x:v>
      </x:c>
      <x:c r="D803" s="80" t="n">
        <x:v>145.2696208557201</x:v>
      </x:c>
      <x:c r="E803" s="81"/>
      <x:c r="F803" s="80"/>
    </x:row>
    <x:row r="804">
      <x:c r="A804" s="78"/>
      <x:c r="B804" s="79" t="str">
        <x:v>16:00-20:00</x:v>
      </x:c>
      <x:c r="C804" s="80" t="n">
        <x:v>8.442536803377436</x:v>
      </x:c>
      <x:c r="D804" s="80" t="n">
        <x:v>6812.592402463639</x:v>
      </x:c>
      <x:c r="E804" s="81"/>
      <x:c r="F804" s="80"/>
    </x:row>
    <x:row r="805">
      <x:c r="A805" s="98"/>
      <x:c r="B805" s="99" t="str">
        <x:v>20:00-24:00</x:v>
      </x:c>
      <x:c r="C805" s="100" t="n">
        <x:v>5806.839623355517</x:v>
      </x:c>
      <x:c r="D805" s="100" t="n">
        <x:v>2440.534769419762</x:v>
      </x:c>
      <x:c r="E805" s="101"/>
      <x:c r="F805" s="100"/>
    </x:row>
    <x:row r="806">
      <x:c r="A806" s="102" t="n">
        <x:v>45823</x:v>
      </x:c>
      <x:c r="B806" s="103" t="str">
        <x:v>0:00-4:00</x:v>
      </x:c>
      <x:c r="C806" s="104" t="n">
        <x:v>2844.012398496175</x:v>
      </x:c>
      <x:c r="D806" s="104" t="n">
        <x:v>109.87400481770828</x:v>
      </x:c>
      <x:c r="E806" s="105" t="str">
        <x:v>0:00</x:v>
      </x:c>
      <x:c r="F806" s="104" t="n">
        <x:v>5591.090841099536</x:v>
      </x:c>
    </x:row>
    <x:row r="807">
      <x:c r="A807" s="78"/>
      <x:c r="B807" s="79" t="str">
        <x:v>4:00-8:00</x:v>
      </x:c>
      <x:c r="C807" s="80" t="n">
        <x:v>4382.9151902496105</x:v>
      </x:c>
      <x:c r="D807" s="80" t="n">
        <x:v>1681.852755253558</x:v>
      </x:c>
      <x:c r="E807" s="81" t="str">
        <x:v>24:00</x:v>
      </x:c>
      <x:c r="F807" s="80" t="n">
        <x:v>5911.025520557726</x:v>
      </x:c>
    </x:row>
    <x:row r="808">
      <x:c r="A808" s="78"/>
      <x:c r="B808" s="79" t="str">
        <x:v>8:00-12:00</x:v>
      </x:c>
      <x:c r="C808" s="80" t="n">
        <x:v>1030.96830027015</x:v>
      </x:c>
      <x:c r="D808" s="80" t="n">
        <x:v>3342.3879499999994</x:v>
      </x:c>
      <x:c r="E808" s="81"/>
      <x:c r="F808" s="80"/>
    </x:row>
    <x:row r="809">
      <x:c r="A809" s="78"/>
      <x:c r="B809" s="79" t="str">
        <x:v>12:00-16:00</x:v>
      </x:c>
      <x:c r="C809" s="80" t="n">
        <x:v>4367.8651966678435</x:v>
      </x:c>
      <x:c r="D809" s="80" t="n">
        <x:v>1592.1704531079422</x:v>
      </x:c>
      <x:c r="E809" s="81"/>
      <x:c r="F809" s="80"/>
    </x:row>
    <x:row r="810">
      <x:c r="A810" s="78"/>
      <x:c r="B810" s="79" t="str">
        <x:v>16:00-20:00</x:v>
      </x:c>
      <x:c r="C810" s="80" t="n">
        <x:v>217.1917955732664</x:v>
      </x:c>
      <x:c r="D810" s="80" t="n">
        <x:v>5797.978080892125</x:v>
      </x:c>
      <x:c r="E810" s="81"/>
      <x:c r="F810" s="80"/>
    </x:row>
    <x:row r="811">
      <x:c r="A811" s="98"/>
      <x:c r="B811" s="99" t="str">
        <x:v>20:00-24:00</x:v>
      </x:c>
      <x:c r="C811" s="100" t="n">
        <x:v>5361.531039654867</x:v>
      </x:c>
      <x:c r="D811" s="100" t="n">
        <x:v>1933.4275203549457</x:v>
      </x:c>
      <x:c r="E811" s="101"/>
      <x:c r="F811" s="100"/>
    </x:row>
    <x:row r="812">
      <x:c r="A812" s="102" t="n">
        <x:v>45824</x:v>
      </x:c>
      <x:c r="B812" s="103" t="str">
        <x:v>0:00-4:00</x:v>
      </x:c>
      <x:c r="C812" s="104" t="n">
        <x:v>985.8778879557291</x:v>
      </x:c>
      <x:c r="D812" s="104" t="n">
        <x:v>1011.5375144531248</x:v>
      </x:c>
      <x:c r="E812" s="105" t="str">
        <x:v>0:00</x:v>
      </x:c>
      <x:c r="F812" s="104" t="n">
        <x:v>5911.025520557726</x:v>
      </x:c>
    </x:row>
    <x:row r="813">
      <x:c r="A813" s="78"/>
      <x:c r="B813" s="79" t="str">
        <x:v>4:00-8:00</x:v>
      </x:c>
      <x:c r="C813" s="80" t="n">
        <x:v>5311.130119762815</x:v>
      </x:c>
      <x:c r="D813" s="80" t="n">
        <x:v>3527.5315488072015</x:v>
      </x:c>
      <x:c r="E813" s="81" t="str">
        <x:v>24:00</x:v>
      </x:c>
      <x:c r="F813" s="80" t="n">
        <x:v>6043.945878372396</x:v>
      </x:c>
    </x:row>
    <x:row r="814">
      <x:c r="A814" s="78"/>
      <x:c r="B814" s="79" t="str">
        <x:v>8:00-12:00</x:v>
      </x:c>
      <x:c r="C814" s="80" t="n">
        <x:v>4426.119170686839</x:v>
      </x:c>
      <x:c r="D814" s="80" t="n">
        <x:v>3330.8535999999995</x:v>
      </x:c>
      <x:c r="E814" s="81"/>
      <x:c r="F814" s="80"/>
    </x:row>
    <x:row r="815">
      <x:c r="A815" s="78"/>
      <x:c r="B815" s="79" t="str">
        <x:v>12:00-16:00</x:v>
      </x:c>
      <x:c r="C815" s="80" t="n">
        <x:v>3203.439436736243</x:v>
      </x:c>
      <x:c r="D815" s="80" t="n">
        <x:v>1873.5834483067665</x:v>
      </x:c>
      <x:c r="E815" s="81"/>
      <x:c r="F815" s="80"/>
    </x:row>
    <x:row r="816">
      <x:c r="A816" s="78"/>
      <x:c r="B816" s="79" t="str">
        <x:v>16:00-20:00</x:v>
      </x:c>
      <x:c r="C816" s="80" t="n">
        <x:v>57.390655992733286</x:v>
      </x:c>
      <x:c r="D816" s="80" t="n">
        <x:v>5771.419558239926</x:v>
      </x:c>
      <x:c r="E816" s="81"/>
      <x:c r="F816" s="80"/>
    </x:row>
    <x:row r="817">
      <x:c r="A817" s="98"/>
      <x:c r="B817" s="99" t="str">
        <x:v>20:00-24:00</x:v>
      </x:c>
      <x:c r="C817" s="100" t="n">
        <x:v>5401.286189848573</x:v>
      </x:c>
      <x:c r="D817" s="100" t="n">
        <x:v>67.493211555959</x:v>
      </x:c>
      <x:c r="E817" s="101"/>
      <x:c r="F817" s="100"/>
    </x:row>
    <x:row r="818">
      <x:c r="A818" s="102" t="n">
        <x:v>45825</x:v>
      </x:c>
      <x:c r="B818" s="103" t="str">
        <x:v>0:00-4:00</x:v>
      </x:c>
      <x:c r="C818" s="104" t="n">
        <x:v>556.0598854456022</x:v>
      </x:c>
      <x:c r="D818" s="104" t="n">
        <x:v>281.7394975260414</x:v>
      </x:c>
      <x:c r="E818" s="105" t="str">
        <x:v>0:00</x:v>
      </x:c>
      <x:c r="F818" s="104" t="n">
        <x:v>6043.945878372396</x:v>
      </x:c>
    </x:row>
    <x:row r="819">
      <x:c r="A819" s="78"/>
      <x:c r="B819" s="79" t="str">
        <x:v>4:00-8:00</x:v>
      </x:c>
      <x:c r="C819" s="80" t="n">
        <x:v>4965.451016437066</x:v>
      </x:c>
      <x:c r="D819" s="80" t="n">
        <x:v>2554.5610210741825</x:v>
      </x:c>
      <x:c r="E819" s="81" t="str">
        <x:v>24:00</x:v>
      </x:c>
      <x:c r="F819" s="80" t="n">
        <x:v>5763.052921415654</x:v>
      </x:c>
    </x:row>
    <x:row r="820">
      <x:c r="A820" s="78"/>
      <x:c r="B820" s="79" t="str">
        <x:v>8:00-12:00</x:v>
      </x:c>
      <x:c r="C820" s="80" t="n">
        <x:v>2516.3609749153475</x:v>
      </x:c>
      <x:c r="D820" s="80" t="n">
        <x:v>2776.8989333333334</x:v>
      </x:c>
      <x:c r="E820" s="81"/>
      <x:c r="F820" s="80"/>
    </x:row>
    <x:row r="821">
      <x:c r="A821" s="78"/>
      <x:c r="B821" s="79" t="str">
        <x:v>12:00-16:00</x:v>
      </x:c>
      <x:c r="C821" s="80" t="n">
        <x:v>4579.049334430952</x:v>
      </x:c>
      <x:c r="D821" s="80" t="n">
        <x:v>3766.6927713442474</x:v>
      </x:c>
      <x:c r="E821" s="81"/>
      <x:c r="F821" s="80"/>
    </x:row>
    <x:row r="822">
      <x:c r="A822" s="78"/>
      <x:c r="B822" s="79" t="str">
        <x:v>16:00-20:00</x:v>
      </x:c>
      <x:c r="C822" s="80" t="n">
        <x:v>87.09310590386565</x:v>
      </x:c>
      <x:c r="D822" s="80" t="n">
        <x:v>5269.910664134945</x:v>
      </x:c>
      <x:c r="E822" s="81"/>
      <x:c r="F822" s="80"/>
    </x:row>
    <x:row r="823">
      <x:c r="A823" s="98"/>
      <x:c r="B823" s="99" t="str">
        <x:v>20:00-24:00</x:v>
      </x:c>
      <x:c r="C823" s="100" t="n">
        <x:v>5201.413548930201</x:v>
      </x:c>
      <x:c r="D823" s="100" t="n">
        <x:v>106.39734535937482</x:v>
      </x:c>
      <x:c r="E823" s="101"/>
      <x:c r="F823" s="100"/>
    </x:row>
    <x:row r="824">
      <x:c r="A824" s="102" t="n">
        <x:v>45826</x:v>
      </x:c>
      <x:c r="B824" s="103" t="str">
        <x:v>0:00-4:00</x:v>
      </x:c>
      <x:c r="C824" s="104" t="n">
        <x:v>2201.7962224609373</x:v>
      </x:c>
      <x:c r="D824" s="104" t="n">
        <x:v>793.0916639322917</x:v>
      </x:c>
      <x:c r="E824" s="105" t="str">
        <x:v>0:00</x:v>
      </x:c>
      <x:c r="F824" s="104" t="n">
        <x:v>5763.052921415654</x:v>
      </x:c>
    </x:row>
    <x:row r="825">
      <x:c r="A825" s="78"/>
      <x:c r="B825" s="79" t="str">
        <x:v>4:00-8:00</x:v>
      </x:c>
      <x:c r="C825" s="80" t="n">
        <x:v>4430.7725192366415</x:v>
      </x:c>
      <x:c r="D825" s="80" t="n">
        <x:v>3163.6560222198823</x:v>
      </x:c>
      <x:c r="E825" s="81" t="str">
        <x:v>24:00</x:v>
      </x:c>
      <x:c r="F825" s="80" t="n">
        <x:v>5942.288859675927</x:v>
      </x:c>
    </x:row>
    <x:row r="826">
      <x:c r="A826" s="78"/>
      <x:c r="B826" s="79" t="str">
        <x:v>8:00-12:00</x:v>
      </x:c>
      <x:c r="C826" s="80" t="n">
        <x:v>4134.036055045157</x:v>
      </x:c>
      <x:c r="D826" s="80" t="n">
        <x:v>2298.2555</x:v>
      </x:c>
      <x:c r="E826" s="81"/>
      <x:c r="F826" s="80"/>
    </x:row>
    <x:row r="827">
      <x:c r="A827" s="78"/>
      <x:c r="B827" s="79" t="str">
        <x:v>12:00-16:00</x:v>
      </x:c>
      <x:c r="C827" s="80" t="n">
        <x:v>3875.53443133452</x:v>
      </x:c>
      <x:c r="D827" s="80" t="n">
        <x:v>1132.3362639932411</x:v>
      </x:c>
      <x:c r="E827" s="81"/>
      <x:c r="F827" s="80"/>
    </x:row>
    <x:row r="828">
      <x:c r="A828" s="78"/>
      <x:c r="B828" s="79" t="str">
        <x:v>16:00-20:00</x:v>
      </x:c>
      <x:c r="C828" s="80" t="n">
        <x:v>5.490496966181581</x:v>
      </x:c>
      <x:c r="D828" s="80" t="n">
        <x:v>6026.578755622421</x:v>
      </x:c>
      <x:c r="E828" s="81"/>
      <x:c r="F828" s="80"/>
    </x:row>
    <x:row r="829">
      <x:c r="A829" s="98"/>
      <x:c r="B829" s="99" t="str">
        <x:v>20:00-24:00</x:v>
      </x:c>
      <x:c r="C829" s="100" t="n">
        <x:v>5478.784846846867</x:v>
      </x:c>
      <x:c r="D829" s="100" t="n">
        <x:v>2727.1652530290676</x:v>
      </x:c>
      <x:c r="E829" s="101"/>
      <x:c r="F829" s="100"/>
    </x:row>
    <x:row r="830">
      <x:c r="A830" s="102" t="n">
        <x:v>45827</x:v>
      </x:c>
      <x:c r="B830" s="103" t="str">
        <x:v>0:00-4:00</x:v>
      </x:c>
      <x:c r="C830" s="104" t="n">
        <x:v>263.77121881510425</x:v>
      </x:c>
      <x:c r="D830" s="104" t="n">
        <x:v>192.79281770833347</x:v>
      </x:c>
      <x:c r="E830" s="105" t="str">
        <x:v>0:00</x:v>
      </x:c>
      <x:c r="F830" s="104" t="n">
        <x:v>5942.288859675927</x:v>
      </x:c>
    </x:row>
    <x:row r="831">
      <x:c r="A831" s="78"/>
      <x:c r="B831" s="79" t="str">
        <x:v>4:00-8:00</x:v>
      </x:c>
      <x:c r="C831" s="80" t="n">
        <x:v>6355.044018803208</x:v>
      </x:c>
      <x:c r="D831" s="80" t="n">
        <x:v>2110.966780832015</x:v>
      </x:c>
      <x:c r="E831" s="81" t="str">
        <x:v>24:00</x:v>
      </x:c>
      <x:c r="F831" s="80" t="n">
        <x:v>6024.250893634259</x:v>
      </x:c>
    </x:row>
    <x:row r="832">
      <x:c r="A832" s="78"/>
      <x:c r="B832" s="79" t="str">
        <x:v>8:00-12:00</x:v>
      </x:c>
      <x:c r="C832" s="80" t="n">
        <x:v>2538.2884166666668</x:v>
      </x:c>
      <x:c r="D832" s="80" t="n">
        <x:v>2859.5689666666667</x:v>
      </x:c>
      <x:c r="E832" s="81"/>
      <x:c r="F832" s="80"/>
    </x:row>
    <x:row r="833">
      <x:c r="A833" s="78"/>
      <x:c r="B833" s="79" t="str">
        <x:v>12:00-16:00</x:v>
      </x:c>
      <x:c r="C833" s="80" t="n">
        <x:v>3021.8944864303153</x:v>
      </x:c>
      <x:c r="D833" s="80" t="n">
        <x:v>403.72675267818374</x:v>
      </x:c>
      <x:c r="E833" s="81"/>
      <x:c r="F833" s="80"/>
    </x:row>
    <x:row r="834">
      <x:c r="A834" s="78"/>
      <x:c r="B834" s="79" t="str">
        <x:v>16:00-20:00</x:v>
      </x:c>
      <x:c r="C834" s="80" t="n">
        <x:v>281.19379595377757</x:v>
      </x:c>
      <x:c r="D834" s="80" t="n">
        <x:v>6029.174398466268</x:v>
      </x:c>
      <x:c r="E834" s="81"/>
      <x:c r="F834" s="80"/>
    </x:row>
    <x:row r="835">
      <x:c r="A835" s="98"/>
      <x:c r="B835" s="99" t="str">
        <x:v>20:00-24:00</x:v>
      </x:c>
      <x:c r="C835" s="100" t="n">
        <x:v>5472.846122400656</x:v>
      </x:c>
      <x:c r="D835" s="100" t="n">
        <x:v>2855.7652809325136</x:v>
      </x:c>
      <x:c r="E835" s="101"/>
      <x:c r="F835" s="100"/>
    </x:row>
    <x:row r="836">
      <x:c r="A836" s="102" t="n">
        <x:v>45828</x:v>
      </x:c>
      <x:c r="B836" s="103" t="str">
        <x:v>0:00-4:00</x:v>
      </x:c>
      <x:c r="C836" s="104" t="n">
        <x:v>147.92891624925443</x:v>
      </x:c>
      <x:c r="D836" s="104" t="n">
        <x:v>3952.8625885416664</x:v>
      </x:c>
      <x:c r="E836" s="105" t="str">
        <x:v>0:00</x:v>
      </x:c>
      <x:c r="F836" s="104" t="n">
        <x:v>6024.250893634259</x:v>
      </x:c>
    </x:row>
    <x:row r="837">
      <x:c r="A837" s="78"/>
      <x:c r="B837" s="79" t="str">
        <x:v>4:00-8:00</x:v>
      </x:c>
      <x:c r="C837" s="80" t="n">
        <x:v>2284.116654359872</x:v>
      </x:c>
      <x:c r="D837" s="80" t="n">
        <x:v>1490.5727844211915</x:v>
      </x:c>
      <x:c r="E837" s="81" t="str">
        <x:v>24:00</x:v>
      </x:c>
      <x:c r="F837" s="80" t="n">
        <x:v>5884.753087519257</x:v>
      </x:c>
    </x:row>
    <x:row r="838">
      <x:c r="A838" s="78"/>
      <x:c r="B838" s="79" t="str">
        <x:v>8:00-12:00</x:v>
      </x:c>
      <x:c r="C838" s="80" t="n">
        <x:v>9594.632909257572</x:v>
      </x:c>
      <x:c r="D838" s="80" t="n">
        <x:v>0</x:v>
      </x:c>
      <x:c r="E838" s="81"/>
      <x:c r="F838" s="80"/>
    </x:row>
    <x:row r="839">
      <x:c r="A839" s="78"/>
      <x:c r="B839" s="79" t="str">
        <x:v>12:00-16:00</x:v>
      </x:c>
      <x:c r="C839" s="80" t="n">
        <x:v>0</x:v>
      </x:c>
      <x:c r="D839" s="80" t="n">
        <x:v>0</x:v>
      </x:c>
      <x:c r="E839" s="81"/>
      <x:c r="F839" s="80"/>
    </x:row>
    <x:row r="840">
      <x:c r="A840" s="78"/>
      <x:c r="B840" s="79" t="str">
        <x:v>16:00-20:00</x:v>
      </x:c>
      <x:c r="C840" s="80" t="n">
        <x:v>92.84349292052215</x:v>
      </x:c>
      <x:c r="D840" s="80" t="n">
        <x:v>6128.640414655925</x:v>
      </x:c>
      <x:c r="E840" s="81"/>
      <x:c r="F840" s="80"/>
    </x:row>
    <x:row r="841">
      <x:c r="A841" s="98"/>
      <x:c r="B841" s="99" t="str">
        <x:v>20:00-24:00</x:v>
      </x:c>
      <x:c r="C841" s="100" t="n">
        <x:v>5171.566500655865</x:v>
      </x:c>
      <x:c r="D841" s="100" t="n">
        <x:v>2559.253901373617</x:v>
      </x:c>
      <x:c r="E841" s="101"/>
      <x:c r="F841" s="100"/>
    </x:row>
    <x:row r="842">
      <x:c r="A842" s="102" t="n">
        <x:v>45829</x:v>
      </x:c>
      <x:c r="B842" s="103" t="str">
        <x:v>0:00-4:00</x:v>
      </x:c>
      <x:c r="C842" s="104" t="n">
        <x:v>160.42235807291684</x:v>
      </x:c>
      <x:c r="D842" s="104" t="n">
        <x:v>3444.359561371857</x:v>
      </x:c>
      <x:c r="E842" s="105" t="str">
        <x:v>0:00</x:v>
      </x:c>
      <x:c r="F842" s="104" t="n">
        <x:v>5884.753087519257</x:v>
      </x:c>
    </x:row>
    <x:row r="843">
      <x:c r="A843" s="78"/>
      <x:c r="B843" s="79" t="str">
        <x:v>4:00-8:00</x:v>
      </x:c>
      <x:c r="C843" s="80" t="n">
        <x:v>1183.5688838638393</x:v>
      </x:c>
      <x:c r="D843" s="80" t="n">
        <x:v>1581.5431808642484</x:v>
      </x:c>
      <x:c r="E843" s="81" t="str">
        <x:v>24:00</x:v>
      </x:c>
      <x:c r="F843" s="80" t="n">
        <x:v>6230.588366436441</x:v>
      </x:c>
    </x:row>
    <x:row r="844">
      <x:c r="A844" s="78"/>
      <x:c r="B844" s="79" t="str">
        <x:v>8:00-12:00</x:v>
      </x:c>
      <x:c r="C844" s="80" t="n">
        <x:v>10322.212416666665</x:v>
      </x:c>
      <x:c r="D844" s="80" t="n">
        <x:v>0</x:v>
      </x:c>
      <x:c r="E844" s="81"/>
      <x:c r="F844" s="80"/>
    </x:row>
    <x:row r="845">
      <x:c r="A845" s="78"/>
      <x:c r="B845" s="79" t="str">
        <x:v>12:00-16:00</x:v>
      </x:c>
      <x:c r="C845" s="80" t="n">
        <x:v>0</x:v>
      </x:c>
      <x:c r="D845" s="80" t="n">
        <x:v>0</x:v>
      </x:c>
      <x:c r="E845" s="81"/>
      <x:c r="F845" s="80"/>
    </x:row>
    <x:row r="846">
      <x:c r="A846" s="78"/>
      <x:c r="B846" s="79" t="str">
        <x:v>16:00-20:00</x:v>
      </x:c>
      <x:c r="C846" s="80" t="n">
        <x:v>29.414756766273968</x:v>
      </x:c>
      <x:c r="D846" s="80" t="n">
        <x:v>6095.117858749081</x:v>
      </x:c>
      <x:c r="E846" s="81"/>
      <x:c r="F846" s="80"/>
    </x:row>
    <x:row r="847">
      <x:c r="A847" s="98"/>
      <x:c r="B847" s="99" t="str">
        <x:v>20:00-24:00</x:v>
      </x:c>
      <x:c r="C847" s="100" t="n">
        <x:v>5608.301379824137</x:v>
      </x:c>
      <x:c r="D847" s="100" t="n">
        <x:v>2583.9026820963545</x:v>
      </x:c>
      <x:c r="E847" s="101"/>
      <x:c r="F847" s="100"/>
    </x:row>
    <x:row r="848">
      <x:c r="A848" s="102" t="n">
        <x:v>45830</x:v>
      </x:c>
      <x:c r="B848" s="103" t="str">
        <x:v>0:00-4:00</x:v>
      </x:c>
      <x:c r="C848" s="104" t="n">
        <x:v>967.4799285037807</x:v>
      </x:c>
      <x:c r="D848" s="104" t="n">
        <x:v>430.89212063802086</x:v>
      </x:c>
      <x:c r="E848" s="105" t="str">
        <x:v>0:00</x:v>
      </x:c>
      <x:c r="F848" s="104" t="n">
        <x:v>6230.588366436441</x:v>
      </x:c>
    </x:row>
    <x:row r="849">
      <x:c r="A849" s="78"/>
      <x:c r="B849" s="79" t="str">
        <x:v>4:00-8:00</x:v>
      </x:c>
      <x:c r="C849" s="80" t="n">
        <x:v>4681.150691519414</x:v>
      </x:c>
      <x:c r="D849" s="80" t="n">
        <x:v>1957.337179287471</x:v>
      </x:c>
      <x:c r="E849" s="81" t="str">
        <x:v>24:00</x:v>
      </x:c>
      <x:c r="F849" s="80" t="n">
        <x:v>6009.361939592013</x:v>
      </x:c>
    </x:row>
    <x:row r="850">
      <x:c r="A850" s="78"/>
      <x:c r="B850" s="79" t="str">
        <x:v>8:00-12:00</x:v>
      </x:c>
      <x:c r="C850" s="80" t="n">
        <x:v>3378.4007573094013</x:v>
      </x:c>
      <x:c r="D850" s="80" t="n">
        <x:v>1652.0345499999996</x:v>
      </x:c>
      <x:c r="E850" s="81"/>
      <x:c r="F850" s="80"/>
    </x:row>
    <x:row r="851">
      <x:c r="A851" s="78"/>
      <x:c r="B851" s="79" t="str">
        <x:v>12:00-16:00</x:v>
      </x:c>
      <x:c r="C851" s="80" t="n">
        <x:v>2022.3399758185171</x:v>
      </x:c>
      <x:c r="D851" s="80" t="n">
        <x:v>2046.9239406263123</x:v>
      </x:c>
      <x:c r="E851" s="81"/>
      <x:c r="F851" s="80"/>
    </x:row>
    <x:row r="852">
      <x:c r="A852" s="78"/>
      <x:c r="B852" s="79" t="str">
        <x:v>16:00-20:00</x:v>
      </x:c>
      <x:c r="C852" s="80" t="n">
        <x:v>596.1962382631765</x:v>
      </x:c>
      <x:c r="D852" s="80" t="n">
        <x:v>6359.149336473607</x:v>
      </x:c>
      <x:c r="E852" s="81"/>
      <x:c r="F852" s="80"/>
    </x:row>
    <x:row r="853">
      <x:c r="A853" s="98"/>
      <x:c r="B853" s="99" t="str">
        <x:v>20:00-24:00</x:v>
      </x:c>
      <x:c r="C853" s="100" t="n">
        <x:v>5417.60844531893</x:v>
      </x:c>
      <x:c r="D853" s="100" t="n">
        <x:v>1573.939246888487</x:v>
      </x:c>
      <x:c r="E853" s="101"/>
      <x:c r="F853" s="100"/>
    </x:row>
    <x:row r="854">
      <x:c r="A854" s="102" t="n">
        <x:v>45831</x:v>
      </x:c>
      <x:c r="B854" s="103" t="str">
        <x:v>0:00-4:00</x:v>
      </x:c>
      <x:c r="C854" s="104" t="n">
        <x:v>1373.812974348958</x:v>
      </x:c>
      <x:c r="D854" s="104" t="n">
        <x:v>223.5587055338542</x:v>
      </x:c>
      <x:c r="E854" s="105" t="str">
        <x:v>0:00</x:v>
      </x:c>
      <x:c r="F854" s="104" t="n">
        <x:v>6009.361939592013</x:v>
      </x:c>
    </x:row>
    <x:row r="855">
      <x:c r="A855" s="78"/>
      <x:c r="B855" s="79" t="str">
        <x:v>4:00-8:00</x:v>
      </x:c>
      <x:c r="C855" s="80" t="n">
        <x:v>4448.231783775173</x:v>
      </x:c>
      <x:c r="D855" s="80" t="n">
        <x:v>2932.035725947154</x:v>
      </x:c>
      <x:c r="E855" s="81" t="str">
        <x:v>24:00</x:v>
      </x:c>
      <x:c r="F855" s="80" t="n">
        <x:v>5833.451180978732</x:v>
      </x:c>
    </x:row>
    <x:row r="856">
      <x:c r="A856" s="78"/>
      <x:c r="B856" s="79" t="str">
        <x:v>8:00-12:00</x:v>
      </x:c>
      <x:c r="C856" s="80" t="n">
        <x:v>4780.218866666666</x:v>
      </x:c>
      <x:c r="D856" s="80" t="n">
        <x:v>2303.366383333333</x:v>
      </x:c>
      <x:c r="E856" s="81"/>
      <x:c r="F856" s="80"/>
    </x:row>
    <x:row r="857">
      <x:c r="A857" s="78"/>
      <x:c r="B857" s="79" t="str">
        <x:v>12:00-16:00</x:v>
      </x:c>
      <x:c r="C857" s="80" t="n">
        <x:v>2522.694223062762</x:v>
      </x:c>
      <x:c r="D857" s="80" t="n">
        <x:v>1635.0126941470096</x:v>
      </x:c>
      <x:c r="E857" s="81"/>
      <x:c r="F857" s="80"/>
    </x:row>
    <x:row r="858">
      <x:c r="A858" s="78"/>
      <x:c r="B858" s="79" t="str">
        <x:v>16:00-20:00</x:v>
      </x:c>
      <x:c r="C858" s="80" t="n">
        <x:v>11.631625882353546</x:v>
      </x:c>
      <x:c r="D858" s="80" t="n">
        <x:v>6073.691897318147</x:v>
      </x:c>
      <x:c r="E858" s="81"/>
      <x:c r="F858" s="80"/>
    </x:row>
    <x:row r="859">
      <x:c r="A859" s="98"/>
      <x:c r="B859" s="99" t="str">
        <x:v>20:00-24:00</x:v>
      </x:c>
      <x:c r="C859" s="100" t="n">
        <x:v>5256.086816469746</x:v>
      </x:c>
      <x:c r="D859" s="100" t="n">
        <x:v>1888.7220715390397</x:v>
      </x:c>
      <x:c r="E859" s="101"/>
      <x:c r="F859" s="100"/>
    </x:row>
    <x:row r="860">
      <x:c r="A860" s="102" t="n">
        <x:v>45832</x:v>
      </x:c>
      <x:c r="B860" s="103" t="str">
        <x:v>0:00-4:00</x:v>
      </x:c>
      <x:c r="C860" s="104" t="n">
        <x:v>258.17319329427073</x:v>
      </x:c>
      <x:c r="D860" s="104" t="n">
        <x:v>426.96525735677096</x:v>
      </x:c>
      <x:c r="E860" s="105" t="str">
        <x:v>0:00</x:v>
      </x:c>
      <x:c r="F860" s="104" t="n">
        <x:v>5833.451180978732</x:v>
      </x:c>
    </x:row>
    <x:row r="861">
      <x:c r="A861" s="78"/>
      <x:c r="B861" s="79" t="str">
        <x:v>4:00-8:00</x:v>
      </x:c>
      <x:c r="C861" s="80" t="n">
        <x:v>5652.720786062559</x:v>
      </x:c>
      <x:c r="D861" s="80" t="n">
        <x:v>3087.115069343763</x:v>
      </x:c>
      <x:c r="E861" s="81" t="str">
        <x:v>24:00</x:v>
      </x:c>
      <x:c r="F861" s="80" t="n">
        <x:v>6026.715183742042</x:v>
      </x:c>
    </x:row>
    <x:row r="862">
      <x:c r="A862" s="78"/>
      <x:c r="B862" s="79" t="str">
        <x:v>8:00-12:00</x:v>
      </x:c>
      <x:c r="C862" s="80" t="n">
        <x:v>1218.3801015603158</x:v>
      </x:c>
      <x:c r="D862" s="80" t="n">
        <x:v>5564.919676126026</x:v>
      </x:c>
      <x:c r="E862" s="81"/>
      <x:c r="F862" s="80"/>
    </x:row>
    <x:row r="863">
      <x:c r="A863" s="78"/>
      <x:c r="B863" s="79" t="str">
        <x:v>12:00-16:00</x:v>
      </x:c>
      <x:c r="C863" s="80" t="n">
        <x:v>3142.356205522528</x:v>
      </x:c>
      <x:c r="D863" s="80" t="n">
        <x:v>2267.9530047414246</x:v>
      </x:c>
      <x:c r="E863" s="81"/>
      <x:c r="F863" s="80"/>
    </x:row>
    <x:row r="864">
      <x:c r="A864" s="78"/>
      <x:c r="B864" s="79" t="str">
        <x:v>16:00-20:00</x:v>
      </x:c>
      <x:c r="C864" s="80" t="n">
        <x:v>48.63246872780087</x:v>
      </x:c>
      <x:c r="D864" s="80" t="n">
        <x:v>1182.5658869985318</x:v>
      </x:c>
      <x:c r="E864" s="81"/>
      <x:c r="F864" s="80"/>
    </x:row>
    <x:row r="865">
      <x:c r="A865" s="98"/>
      <x:c r="B865" s="99" t="str">
        <x:v>20:00-24:00</x:v>
      </x:c>
      <x:c r="C865" s="100" t="n">
        <x:v>5400.030317648052</x:v>
      </x:c>
      <x:c r="D865" s="100" t="n">
        <x:v>29.980891927083235</x:v>
      </x:c>
      <x:c r="E865" s="101"/>
      <x:c r="F865" s="100"/>
    </x:row>
    <x:row r="866">
      <x:c r="A866" s="102" t="n">
        <x:v>45833</x:v>
      </x:c>
      <x:c r="B866" s="103" t="str">
        <x:v>0:00-4:00</x:v>
      </x:c>
      <x:c r="C866" s="104" t="n">
        <x:v>1401.558315814687</x:v>
      </x:c>
      <x:c r="D866" s="104" t="n">
        <x:v>832.7048587239583</x:v>
      </x:c>
      <x:c r="E866" s="105" t="str">
        <x:v>0:00</x:v>
      </x:c>
      <x:c r="F866" s="104" t="n">
        <x:v>6026.715183742042</x:v>
      </x:c>
    </x:row>
    <x:row r="867">
      <x:c r="A867" s="78"/>
      <x:c r="B867" s="79" t="str">
        <x:v>4:00-8:00</x:v>
      </x:c>
      <x:c r="C867" s="80" t="n">
        <x:v>4961.890620967745</x:v>
      </x:c>
      <x:c r="D867" s="80" t="n">
        <x:v>3037.3303991824914</x:v>
      </x:c>
      <x:c r="E867" s="81" t="str">
        <x:v>24:00</x:v>
      </x:c>
      <x:c r="F867" s="80" t="n">
        <x:v>5944.1908498777475</x:v>
      </x:c>
    </x:row>
    <x:row r="868">
      <x:c r="A868" s="78"/>
      <x:c r="B868" s="79" t="str">
        <x:v>8:00-12:00</x:v>
      </x:c>
      <x:c r="C868" s="80" t="n">
        <x:v>2753.952937426543</x:v>
      </x:c>
      <x:c r="D868" s="80" t="n">
        <x:v>3509.675490361861</x:v>
      </x:c>
      <x:c r="E868" s="81"/>
      <x:c r="F868" s="80"/>
    </x:row>
    <x:row r="869">
      <x:c r="A869" s="78"/>
      <x:c r="B869" s="79" t="str">
        <x:v>12:00-16:00</x:v>
      </x:c>
      <x:c r="C869" s="80" t="n">
        <x:v>4361.592515707935</x:v>
      </x:c>
      <x:c r="D869" s="80" t="n">
        <x:v>1177.393541907961</x:v>
      </x:c>
      <x:c r="E869" s="81"/>
      <x:c r="F869" s="80"/>
    </x:row>
    <x:row r="870">
      <x:c r="A870" s="78"/>
      <x:c r="B870" s="79" t="str">
        <x:v>16:00-20:00</x:v>
      </x:c>
      <x:c r="C870" s="80" t="n">
        <x:v>363.2545485649294</x:v>
      </x:c>
      <x:c r="D870" s="80" t="n">
        <x:v>6999.1610153618585</x:v>
      </x:c>
      <x:c r="E870" s="81"/>
      <x:c r="F870" s="80"/>
    </x:row>
    <x:row r="871">
      <x:c r="A871" s="98"/>
      <x:c r="B871" s="99" t="str">
        <x:v>20:00-24:00</x:v>
      </x:c>
      <x:c r="C871" s="100" t="n">
        <x:v>5374.262762563496</x:v>
      </x:c>
      <x:c r="D871" s="100" t="n">
        <x:v>83.38107278645816</x:v>
      </x:c>
      <x:c r="E871" s="101"/>
      <x:c r="F871" s="100"/>
    </x:row>
    <x:row r="872">
      <x:c r="A872" s="102" t="n">
        <x:v>45834</x:v>
      </x:c>
      <x:c r="B872" s="103" t="str">
        <x:v>0:00-4:00</x:v>
      </x:c>
      <x:c r="C872" s="104" t="n">
        <x:v>1072.5816287109374</x:v>
      </x:c>
      <x:c r="D872" s="104" t="n">
        <x:v>521.0130465957018</x:v>
      </x:c>
      <x:c r="E872" s="105" t="str">
        <x:v>0:00</x:v>
      </x:c>
      <x:c r="F872" s="104" t="n">
        <x:v>5944.1908498777475</x:v>
      </x:c>
    </x:row>
    <x:row r="873">
      <x:c r="A873" s="78"/>
      <x:c r="B873" s="79" t="str">
        <x:v>4:00-8:00</x:v>
      </x:c>
      <x:c r="C873" s="80" t="n">
        <x:v>5801.650293457184</x:v>
      </x:c>
      <x:c r="D873" s="80" t="n">
        <x:v>3323.855750280532</x:v>
      </x:c>
      <x:c r="E873" s="81" t="str">
        <x:v>24:00</x:v>
      </x:c>
      <x:c r="F873" s="80" t="n">
        <x:v>5739.529044614438</x:v>
      </x:c>
    </x:row>
    <x:row r="874">
      <x:c r="A874" s="78"/>
      <x:c r="B874" s="79" t="str">
        <x:v>8:00-12:00</x:v>
      </x:c>
      <x:c r="C874" s="80" t="n">
        <x:v>3315.802483333333</x:v>
      </x:c>
      <x:c r="D874" s="80" t="n">
        <x:v>3549.5156499999994</x:v>
      </x:c>
      <x:c r="E874" s="81"/>
      <x:c r="F874" s="80"/>
    </x:row>
    <x:row r="875">
      <x:c r="A875" s="78"/>
      <x:c r="B875" s="79" t="str">
        <x:v>12:00-16:00</x:v>
      </x:c>
      <x:c r="C875" s="80" t="n">
        <x:v>4573.248247156482</x:v>
      </x:c>
      <x:c r="D875" s="80" t="n">
        <x:v>193.64626666666678</x:v>
      </x:c>
      <x:c r="E875" s="81"/>
      <x:c r="F875" s="80"/>
    </x:row>
    <x:row r="876">
      <x:c r="A876" s="78"/>
      <x:c r="B876" s="79" t="str">
        <x:v>16:00-20:00</x:v>
      </x:c>
      <x:c r="C876" s="80" t="n">
        <x:v>109.15421750103849</x:v>
      </x:c>
      <x:c r="D876" s="80" t="n">
        <x:v>6702.658801438831</x:v>
      </x:c>
      <x:c r="E876" s="81"/>
      <x:c r="F876" s="80"/>
    </x:row>
    <x:row r="877">
      <x:c r="A877" s="98"/>
      <x:c r="B877" s="99" t="str">
        <x:v>20:00-24:00</x:v>
      </x:c>
      <x:c r="C877" s="100" t="n">
        <x:v>5236.617360619213</x:v>
      </x:c>
      <x:c r="D877" s="100" t="n">
        <x:v>2181.8400366855763</x:v>
      </x:c>
      <x:c r="E877" s="101"/>
      <x:c r="F877" s="100"/>
    </x:row>
    <x:row r="878">
      <x:c r="A878" s="102" t="n">
        <x:v>45835</x:v>
      </x:c>
      <x:c r="B878" s="103" t="str">
        <x:v>0:00-4:00</x:v>
      </x:c>
      <x:c r="C878" s="104" t="n">
        <x:v>162.80028076822907</x:v>
      </x:c>
      <x:c r="D878" s="104" t="n">
        <x:v>4217.44436757526</x:v>
      </x:c>
      <x:c r="E878" s="105" t="str">
        <x:v>0:00</x:v>
      </x:c>
      <x:c r="F878" s="104" t="n">
        <x:v>5739.529044614438</x:v>
      </x:c>
    </x:row>
    <x:row r="879">
      <x:c r="A879" s="78"/>
      <x:c r="B879" s="79" t="str">
        <x:v>4:00-8:00</x:v>
      </x:c>
      <x:c r="C879" s="80" t="n">
        <x:v>2271.7481710562824</x:v>
      </x:c>
      <x:c r="D879" s="80" t="n">
        <x:v>1641.9688640555883</x:v>
      </x:c>
      <x:c r="E879" s="81" t="str">
        <x:v>24:00</x:v>
      </x:c>
      <x:c r="F879" s="80" t="n">
        <x:v>6046.457921451242</x:v>
      </x:c>
    </x:row>
    <x:row r="880">
      <x:c r="A880" s="78"/>
      <x:c r="B880" s="79" t="str">
        <x:v>8:00-12:00</x:v>
      </x:c>
      <x:c r="C880" s="80" t="n">
        <x:v>10422.04055</x:v>
      </x:c>
      <x:c r="D880" s="80" t="n">
        <x:v>0</x:v>
      </x:c>
      <x:c r="E880" s="81"/>
      <x:c r="F880" s="80"/>
    </x:row>
    <x:row r="881">
      <x:c r="A881" s="78"/>
      <x:c r="B881" s="79" t="str">
        <x:v>12:00-16:00</x:v>
      </x:c>
      <x:c r="C881" s="80" t="n">
        <x:v>0</x:v>
      </x:c>
      <x:c r="D881" s="80" t="n">
        <x:v>0</x:v>
      </x:c>
      <x:c r="E881" s="81"/>
      <x:c r="F881" s="80"/>
    </x:row>
    <x:row r="882">
      <x:c r="A882" s="78"/>
      <x:c r="B882" s="79" t="str">
        <x:v>16:00-20:00</x:v>
      </x:c>
      <x:c r="C882" s="80" t="n">
        <x:v>10.499482205228155</x:v>
      </x:c>
      <x:c r="D882" s="80" t="n">
        <x:v>6372.944156666364</x:v>
      </x:c>
      <x:c r="E882" s="81"/>
      <x:c r="F882" s="80"/>
    </x:row>
    <x:row r="883">
      <x:c r="A883" s="98"/>
      <x:c r="B883" s="99" t="str">
        <x:v>20:00-24:00</x:v>
      </x:c>
      <x:c r="C883" s="100" t="n">
        <x:v>5561.97016923402</x:v>
      </x:c>
      <x:c r="D883" s="100" t="n">
        <x:v>2418.9441316933094</x:v>
      </x:c>
      <x:c r="E883" s="101"/>
      <x:c r="F883" s="100"/>
    </x:row>
    <x:row r="884">
      <x:c r="A884" s="102" t="n">
        <x:v>45836</x:v>
      </x:c>
      <x:c r="B884" s="103" t="str">
        <x:v>0:00-4:00</x:v>
      </x:c>
      <x:c r="C884" s="104" t="n">
        <x:v>977.0111309895831</x:v>
      </x:c>
      <x:c r="D884" s="104" t="n">
        <x:v>4732.03571004599</x:v>
      </x:c>
      <x:c r="E884" s="105" t="str">
        <x:v>0:00</x:v>
      </x:c>
      <x:c r="F884" s="104" t="n">
        <x:v>6046.457921451242</x:v>
      </x:c>
    </x:row>
    <x:row r="885">
      <x:c r="A885" s="78"/>
      <x:c r="B885" s="79" t="str">
        <x:v>4:00-8:00</x:v>
      </x:c>
      <x:c r="C885" s="80" t="n">
        <x:v>1748.0174055532195</x:v>
      </x:c>
      <x:c r="D885" s="80" t="n">
        <x:v>1769.408796359799</x:v>
      </x:c>
      <x:c r="E885" s="81" t="str">
        <x:v>24:00</x:v>
      </x:c>
      <x:c r="F885" s="80" t="n">
        <x:v>5929.086404348958</x:v>
      </x:c>
    </x:row>
    <x:row r="886">
      <x:c r="A886" s="78"/>
      <x:c r="B886" s="79" t="str">
        <x:v>8:00-12:00</x:v>
      </x:c>
      <x:c r="C886" s="80" t="n">
        <x:v>9908.847600000001</x:v>
      </x:c>
      <x:c r="D886" s="80" t="n">
        <x:v>0</x:v>
      </x:c>
      <x:c r="E886" s="81"/>
      <x:c r="F886" s="80"/>
    </x:row>
    <x:row r="887">
      <x:c r="A887" s="78"/>
      <x:c r="B887" s="79" t="str">
        <x:v>12:00-16:00</x:v>
      </x:c>
      <x:c r="C887" s="80" t="n">
        <x:v>674.3119833333346</x:v>
      </x:c>
      <x:c r="D887" s="80" t="n">
        <x:v>44.562634734684934</x:v>
      </x:c>
      <x:c r="E887" s="81"/>
      <x:c r="F887" s="80"/>
    </x:row>
    <x:row r="888">
      <x:c r="A888" s="78"/>
      <x:c r="B888" s="79" t="str">
        <x:v>16:00-20:00</x:v>
      </x:c>
      <x:c r="C888" s="80" t="n">
        <x:v>155.01665072757459</x:v>
      </x:c>
      <x:c r="D888" s="80" t="n">
        <x:v>6484.410580242935</x:v>
      </x:c>
      <x:c r="E888" s="81"/>
      <x:c r="F888" s="80"/>
    </x:row>
    <x:row r="889">
      <x:c r="A889" s="98"/>
      <x:c r="B889" s="99" t="str">
        <x:v>20:00-24:00</x:v>
      </x:c>
      <x:c r="C889" s="100" t="n">
        <x:v>5368.299755877057</x:v>
      </x:c>
      <x:c r="D889" s="100" t="n">
        <x:v>2328.7353104580684</x:v>
      </x:c>
      <x:c r="E889" s="101"/>
      <x:c r="F889" s="100"/>
    </x:row>
    <x:row r="890">
      <x:c r="A890" s="102" t="n">
        <x:v>45837</x:v>
      </x:c>
      <x:c r="B890" s="103" t="str">
        <x:v>0:00-4:00</x:v>
      </x:c>
      <x:c r="C890" s="104" t="n">
        <x:v>983.1470710937498</x:v>
      </x:c>
      <x:c r="D890" s="104" t="n">
        <x:v>672.1451559062501</x:v>
      </x:c>
      <x:c r="E890" s="105" t="str">
        <x:v>0:00</x:v>
      </x:c>
      <x:c r="F890" s="104" t="n">
        <x:v>5929.086404348958</x:v>
      </x:c>
    </x:row>
    <x:row r="891">
      <x:c r="A891" s="78"/>
      <x:c r="B891" s="79" t="str">
        <x:v>4:00-8:00</x:v>
      </x:c>
      <x:c r="C891" s="80" t="n">
        <x:v>5750.789158505633</x:v>
      </x:c>
      <x:c r="D891" s="80" t="n">
        <x:v>2199.113724655691</x:v>
      </x:c>
      <x:c r="E891" s="81" t="str">
        <x:v>24:00</x:v>
      </x:c>
      <x:c r="F891" s="80" t="n">
        <x:v>6047.816921588544</x:v>
      </x:c>
    </x:row>
    <x:row r="892">
      <x:c r="A892" s="78"/>
      <x:c r="B892" s="79" t="str">
        <x:v>8:00-12:00</x:v>
      </x:c>
      <x:c r="C892" s="80" t="n">
        <x:v>2472.9310665008397</x:v>
      </x:c>
      <x:c r="D892" s="80" t="n">
        <x:v>3283.4515499999998</x:v>
      </x:c>
      <x:c r="E892" s="81"/>
      <x:c r="F892" s="80"/>
    </x:row>
    <x:row r="893">
      <x:c r="A893" s="78"/>
      <x:c r="B893" s="79" t="str">
        <x:v>12:00-16:00</x:v>
      </x:c>
      <x:c r="C893" s="80" t="n">
        <x:v>2365.5008487581404</x:v>
      </x:c>
      <x:c r="D893" s="80" t="n">
        <x:v>559.7032433942085</x:v>
      </x:c>
      <x:c r="E893" s="81"/>
      <x:c r="F893" s="80"/>
    </x:row>
    <x:row r="894">
      <x:c r="A894" s="78"/>
      <x:c r="B894" s="79" t="str">
        <x:v>16:00-20:00</x:v>
      </x:c>
      <x:c r="C894" s="80" t="n">
        <x:v>62.29563168218613</x:v>
      </x:c>
      <x:c r="D894" s="80" t="n">
        <x:v>6682.501092503886</x:v>
      </x:c>
      <x:c r="E894" s="81"/>
      <x:c r="F894" s="80"/>
    </x:row>
    <x:row r="895">
      <x:c r="A895" s="98"/>
      <x:c r="B895" s="99" t="str">
        <x:v>20:00-24:00</x:v>
      </x:c>
      <x:c r="C895" s="100" t="n">
        <x:v>5417.467597554976</x:v>
      </x:c>
      <x:c r="D895" s="100" t="n">
        <x:v>308.4541810417122</x:v>
      </x:c>
      <x:c r="E895" s="101"/>
      <x:c r="F895" s="100"/>
    </x:row>
    <x:row r="896">
      <x:c r="A896" s="102" t="n">
        <x:v>45838</x:v>
      </x:c>
      <x:c r="B896" s="103" t="str">
        <x:v>0:00-4:00</x:v>
      </x:c>
      <x:c r="C896" s="104" t="n">
        <x:v>1142.112125</x:v>
      </x:c>
      <x:c r="D896" s="104" t="n">
        <x:v>234.17524641927116</x:v>
      </x:c>
      <x:c r="E896" s="105" t="str">
        <x:v>0:00</x:v>
      </x:c>
      <x:c r="F896" s="104" t="n">
        <x:v>6047.816921588544</x:v>
      </x:c>
    </x:row>
    <x:row r="897">
      <x:c r="A897" s="78"/>
      <x:c r="B897" s="79" t="str">
        <x:v>4:00-8:00</x:v>
      </x:c>
      <x:c r="C897" s="80" t="n">
        <x:v>4408.228632431221</x:v>
      </x:c>
      <x:c r="D897" s="80" t="n">
        <x:v>3907.0430871594763</x:v>
      </x:c>
      <x:c r="E897" s="81" t="str">
        <x:v>24:00</x:v>
      </x:c>
      <x:c r="F897" s="80" t="n">
        <x:v>5510.1348577553545</x:v>
      </x:c>
    </x:row>
    <x:row r="898">
      <x:c r="A898" s="78"/>
      <x:c r="B898" s="79" t="str">
        <x:v>8:00-12:00</x:v>
      </x:c>
      <x:c r="C898" s="80" t="n">
        <x:v>4222.9010537088725</x:v>
      </x:c>
      <x:c r="D898" s="80" t="n">
        <x:v>3212.5017</x:v>
      </x:c>
      <x:c r="E898" s="81"/>
      <x:c r="F898" s="80"/>
    </x:row>
    <x:row r="899">
      <x:c r="A899" s="78"/>
      <x:c r="B899" s="79" t="str">
        <x:v>12:00-16:00</x:v>
      </x:c>
      <x:c r="C899" s="80" t="n">
        <x:v>2724.528334288805</x:v>
      </x:c>
      <x:c r="D899" s="80" t="n">
        <x:v>955.1183815472348</x:v>
      </x:c>
      <x:c r="E899" s="81"/>
      <x:c r="F899" s="80"/>
    </x:row>
    <x:row r="900">
      <x:c r="A900" s="78"/>
      <x:c r="B900" s="79" t="str">
        <x:v>16:00-20:00</x:v>
      </x:c>
      <x:c r="C900" s="80" t="n">
        <x:v>276.93520211437374</x:v>
      </x:c>
      <x:c r="D900" s="80" t="n">
        <x:v>6401.708145813758</x:v>
      </x:c>
      <x:c r="E900" s="81"/>
      <x:c r="F900" s="80"/>
    </x:row>
    <x:row r="901">
      <x:c r="A901" s="98"/>
      <x:c r="B901" s="99" t="str">
        <x:v>20:00-24:00</x:v>
      </x:c>
      <x:c r="C901" s="100" t="n">
        <x:v>5032.737379239808</x:v>
      </x:c>
      <x:c r="D901" s="100" t="n">
        <x:v>197.39590520442704</x:v>
      </x:c>
      <x:c r="E901" s="101"/>
      <x:c r="F901" s="100"/>
    </x:row>
    <x:row r="902">
      <x:c r="A902" s="102" t="n">
        <x:v>45839</x:v>
      </x:c>
      <x:c r="B902" s="103" t="str">
        <x:v>0:00-4:00</x:v>
      </x:c>
      <x:c r="C902" s="104" t="n">
        <x:v>748.3850348307291</x:v>
      </x:c>
      <x:c r="D902" s="104" t="n">
        <x:v>2347.017318795012</x:v>
      </x:c>
      <x:c r="E902" s="105" t="str">
        <x:v>0:00</x:v>
      </x:c>
      <x:c r="F902" s="104" t="n">
        <x:v>5510.1348577553545</x:v>
      </x:c>
    </x:row>
    <x:row r="903">
      <x:c r="A903" s="78"/>
      <x:c r="B903" s="79" t="str">
        <x:v>4:00-8:00</x:v>
      </x:c>
      <x:c r="C903" s="80" t="n">
        <x:v>5311.590116663223</x:v>
      </x:c>
      <x:c r="D903" s="80" t="n">
        <x:v>2180.6340519532237</x:v>
      </x:c>
      <x:c r="E903" s="81" t="str">
        <x:v>24:00</x:v>
      </x:c>
      <x:c r="F903" s="80" t="n">
        <x:v>4667.020858203848</x:v>
      </x:c>
    </x:row>
    <x:row r="904">
      <x:c r="A904" s="78"/>
      <x:c r="B904" s="79" t="str">
        <x:v>8:00-12:00</x:v>
      </x:c>
      <x:c r="C904" s="80" t="n">
        <x:v>2397.5097346710577</x:v>
      </x:c>
      <x:c r="D904" s="80" t="n">
        <x:v>3427.2513500000005</x:v>
      </x:c>
      <x:c r="E904" s="81"/>
      <x:c r="F904" s="80"/>
    </x:row>
    <x:row r="905">
      <x:c r="A905" s="78"/>
      <x:c r="B905" s="79" t="str">
        <x:v>12:00-16:00</x:v>
      </x:c>
      <x:c r="C905" s="80" t="n">
        <x:v>2396.0459563176155</x:v>
      </x:c>
      <x:c r="D905" s="80" t="n">
        <x:v>1291.9573826715596</x:v>
      </x:c>
      <x:c r="E905" s="81"/>
      <x:c r="F905" s="80"/>
    </x:row>
    <x:row r="906">
      <x:c r="A906" s="78"/>
      <x:c r="B906" s="79" t="str">
        <x:v>16:00-20:00</x:v>
      </x:c>
      <x:c r="C906" s="80" t="n">
        <x:v>0</x:v>
      </x:c>
      <x:c r="D906" s="80" t="n">
        <x:v>3423.6212509709503</x:v>
      </x:c>
      <x:c r="E906" s="81"/>
      <x:c r="F906" s="80"/>
    </x:row>
    <x:row r="907">
      <x:c r="A907" s="98"/>
      <x:c r="B907" s="99" t="str">
        <x:v>20:00-24:00</x:v>
      </x:c>
      <x:c r="C907" s="100" t="n">
        <x:v>4497.106079588638</x:v>
      </x:c>
      <x:c r="D907" s="100" t="n">
        <x:v>522.3371520833335</x:v>
      </x:c>
      <x:c r="E907" s="101"/>
      <x:c r="F907" s="100"/>
    </x:row>
    <x:row r="908">
      <x:c r="A908" s="102" t="n">
        <x:v>45840</x:v>
      </x:c>
      <x:c r="B908" s="103" t="str">
        <x:v>0:00-4:00</x:v>
      </x:c>
      <x:c r="C908" s="104" t="n">
        <x:v>767.7825881285374</x:v>
      </x:c>
      <x:c r="D908" s="104" t="n">
        <x:v>1925.899576822916</x:v>
      </x:c>
      <x:c r="E908" s="105" t="str">
        <x:v>0:00</x:v>
      </x:c>
      <x:c r="F908" s="104" t="n">
        <x:v>4667.020858203848</x:v>
      </x:c>
    </x:row>
    <x:row r="909">
      <x:c r="A909" s="78"/>
      <x:c r="B909" s="79" t="str">
        <x:v>4:00-8:00</x:v>
      </x:c>
      <x:c r="C909" s="80" t="n">
        <x:v>6591.6316282199205</x:v>
      </x:c>
      <x:c r="D909" s="80" t="n">
        <x:v>1442.8538609441734</x:v>
      </x:c>
      <x:c r="E909" s="81" t="str">
        <x:v>24:00</x:v>
      </x:c>
      <x:c r="F909" s="80" t="n">
        <x:v>4753.150991809172</x:v>
      </x:c>
    </x:row>
    <x:row r="910">
      <x:c r="A910" s="78"/>
      <x:c r="B910" s="79" t="str">
        <x:v>8:00-12:00</x:v>
      </x:c>
      <x:c r="C910" s="80" t="n">
        <x:v>2546.55585</x:v>
      </x:c>
      <x:c r="D910" s="80" t="n">
        <x:v>1963.8133333333335</x:v>
      </x:c>
      <x:c r="E910" s="81"/>
      <x:c r="F910" s="80"/>
    </x:row>
    <x:row r="911">
      <x:c r="A911" s="78"/>
      <x:c r="B911" s="79" t="str">
        <x:v>12:00-16:00</x:v>
      </x:c>
      <x:c r="C911" s="80" t="n">
        <x:v>3673.0511974916594</x:v>
      </x:c>
      <x:c r="D911" s="80" t="n">
        <x:v>201.83908261212702</x:v>
      </x:c>
      <x:c r="E911" s="81"/>
      <x:c r="F911" s="80"/>
    </x:row>
    <x:row r="912">
      <x:c r="A912" s="78"/>
      <x:c r="B912" s="79" t="str">
        <x:v>16:00-20:00</x:v>
      </x:c>
      <x:c r="C912" s="80" t="n">
        <x:v>57.3883202036086</x:v>
      </x:c>
      <x:c r="D912" s="80" t="n">
        <x:v>6709.54936997856</x:v>
      </x:c>
      <x:c r="E912" s="81"/>
      <x:c r="F912" s="80"/>
    </x:row>
    <x:row r="913">
      <x:c r="A913" s="98"/>
      <x:c r="B913" s="99" t="str">
        <x:v>20:00-24:00</x:v>
      </x:c>
      <x:c r="C913" s="100" t="n">
        <x:v>4595.276822817805</x:v>
      </x:c>
      <x:c r="D913" s="100" t="n">
        <x:v>2446.1936456219382</x:v>
      </x:c>
      <x:c r="E913" s="101"/>
      <x:c r="F913" s="100"/>
    </x:row>
    <x:row r="914">
      <x:c r="A914" s="102" t="n">
        <x:v>45841</x:v>
      </x:c>
      <x:c r="B914" s="103" t="str">
        <x:v>0:00-4:00</x:v>
      </x:c>
      <x:c r="C914" s="104" t="n">
        <x:v>2204.333263216146</x:v>
      </x:c>
      <x:c r="D914" s="104" t="n">
        <x:v>2546.647807146485</x:v>
      </x:c>
      <x:c r="E914" s="105" t="str">
        <x:v>0:00</x:v>
      </x:c>
      <x:c r="F914" s="104" t="n">
        <x:v>4753.150991809172</x:v>
      </x:c>
    </x:row>
    <x:row r="915">
      <x:c r="A915" s="78"/>
      <x:c r="B915" s="79" t="str">
        <x:v>4:00-8:00</x:v>
      </x:c>
      <x:c r="C915" s="80" t="n">
        <x:v>4971.2012026299435</x:v>
      </x:c>
      <x:c r="D915" s="80" t="n">
        <x:v>3740.0564459346037</x:v>
      </x:c>
      <x:c r="E915" s="81" t="str">
        <x:v>24:00</x:v>
      </x:c>
      <x:c r="F915" s="80" t="n">
        <x:v>5017.316297185328</x:v>
      </x:c>
    </x:row>
    <x:row r="916">
      <x:c r="A916" s="78"/>
      <x:c r="B916" s="79" t="str">
        <x:v>8:00-12:00</x:v>
      </x:c>
      <x:c r="C916" s="80" t="n">
        <x:v>3057.2083385233736</x:v>
      </x:c>
      <x:c r="D916" s="80" t="n">
        <x:v>2813.2085735491655</x:v>
      </x:c>
      <x:c r="E916" s="81"/>
      <x:c r="F916" s="80"/>
    </x:row>
    <x:row r="917">
      <x:c r="A917" s="78"/>
      <x:c r="B917" s="79" t="str">
        <x:v>12:00-16:00</x:v>
      </x:c>
      <x:c r="C917" s="80" t="n">
        <x:v>4543.481439927423</x:v>
      </x:c>
      <x:c r="D917" s="80" t="n">
        <x:v>1477.3043470305638</x:v>
      </x:c>
      <x:c r="E917" s="81"/>
      <x:c r="F917" s="80"/>
    </x:row>
    <x:row r="918">
      <x:c r="A918" s="78"/>
      <x:c r="B918" s="79" t="str">
        <x:v>16:00-20:00</x:v>
      </x:c>
      <x:c r="C918" s="80" t="n">
        <x:v>0</x:v>
      </x:c>
      <x:c r="D918" s="80" t="n">
        <x:v>4589.360356847916</x:v>
      </x:c>
      <x:c r="E918" s="81"/>
      <x:c r="F918" s="80"/>
    </x:row>
    <x:row r="919">
      <x:c r="A919" s="98"/>
      <x:c r="B919" s="99" t="str">
        <x:v>20:00-24:00</x:v>
      </x:c>
      <x:c r="C919" s="100" t="n">
        <x:v>4663.921176077835</x:v>
      </x:c>
      <x:c r="D919" s="100" t="n">
        <x:v>342.1914851562501</x:v>
      </x:c>
      <x:c r="E919" s="101"/>
      <x:c r="F919" s="100"/>
    </x:row>
    <x:row r="920">
      <x:c r="A920" s="102" t="n">
        <x:v>45842</x:v>
      </x:c>
      <x:c r="B920" s="103" t="str">
        <x:v>0:00-4:00</x:v>
      </x:c>
      <x:c r="C920" s="104" t="n">
        <x:v>0</x:v>
      </x:c>
      <x:c r="D920" s="104" t="n">
        <x:v>3435.5846674667955</x:v>
      </x:c>
      <x:c r="E920" s="105" t="str">
        <x:v>0:00</x:v>
      </x:c>
      <x:c r="F920" s="104" t="n">
        <x:v>5017.316297185328</x:v>
      </x:c>
    </x:row>
    <x:row r="921">
      <x:c r="A921" s="78"/>
      <x:c r="B921" s="79" t="str">
        <x:v>4:00-8:00</x:v>
      </x:c>
      <x:c r="C921" s="80" t="n">
        <x:v>2153.371272517863</x:v>
      </x:c>
      <x:c r="D921" s="80" t="n">
        <x:v>1527.0846212394695</x:v>
      </x:c>
      <x:c r="E921" s="81" t="str">
        <x:v>24:00</x:v>
      </x:c>
      <x:c r="F921" s="80" t="n">
        <x:v>4844.457442664931</x:v>
      </x:c>
    </x:row>
    <x:row r="922">
      <x:c r="A922" s="78"/>
      <x:c r="B922" s="79" t="str">
        <x:v>8:00-12:00</x:v>
      </x:c>
      <x:c r="C922" s="80" t="n">
        <x:v>10398.585049999998</x:v>
      </x:c>
      <x:c r="D922" s="80" t="n">
        <x:v>0</x:v>
      </x:c>
      <x:c r="E922" s="81"/>
      <x:c r="F922" s="80"/>
    </x:row>
    <x:row r="923">
      <x:c r="A923" s="78"/>
      <x:c r="B923" s="79" t="str">
        <x:v>12:00-16:00</x:v>
      </x:c>
      <x:c r="C923" s="80" t="n">
        <x:v>0</x:v>
      </x:c>
      <x:c r="D923" s="80" t="n">
        <x:v>157.0740666666667</x:v>
      </x:c>
      <x:c r="E923" s="81"/>
      <x:c r="F923" s="80"/>
    </x:row>
    <x:row r="924">
      <x:c r="A924" s="78"/>
      <x:c r="B924" s="79" t="str">
        <x:v>16:00-20:00</x:v>
      </x:c>
      <x:c r="C924" s="80" t="n">
        <x:v>0</x:v>
      </x:c>
      <x:c r="D924" s="80" t="n">
        <x:v>7689.008577602439</x:v>
      </x:c>
      <x:c r="E924" s="81"/>
      <x:c r="F924" s="80"/>
    </x:row>
    <x:row r="925">
      <x:c r="A925" s="98"/>
      <x:c r="B925" s="99" t="str">
        <x:v>20:00-24:00</x:v>
      </x:c>
      <x:c r="C925" s="100" t="n">
        <x:v>4662.352340486754</x:v>
      </x:c>
      <x:c r="D925" s="100" t="n">
        <x:v>1290.4110531267293</x:v>
      </x:c>
      <x:c r="E925" s="101"/>
      <x:c r="F925" s="100"/>
    </x:row>
    <x:row r="926">
      <x:c r="A926" s="102" t="n">
        <x:v>45843</x:v>
      </x:c>
      <x:c r="B926" s="103" t="str">
        <x:v>0:00-4:00</x:v>
      </x:c>
      <x:c r="C926" s="104" t="n">
        <x:v>1073.3018659895831</x:v>
      </x:c>
      <x:c r="D926" s="104" t="n">
        <x:v>3779.4458106031116</x:v>
      </x:c>
      <x:c r="E926" s="105" t="str">
        <x:v>0:00</x:v>
      </x:c>
      <x:c r="F926" s="104" t="n">
        <x:v>4844.457442664931</x:v>
      </x:c>
    </x:row>
    <x:row r="927">
      <x:c r="A927" s="78"/>
      <x:c r="B927" s="79" t="str">
        <x:v>4:00-8:00</x:v>
      </x:c>
      <x:c r="C927" s="80" t="n">
        <x:v>1830.9782528399674</x:v>
      </x:c>
      <x:c r="D927" s="80" t="n">
        <x:v>1612.3056710472624</x:v>
      </x:c>
      <x:c r="E927" s="81" t="str">
        <x:v>24:00</x:v>
      </x:c>
      <x:c r="F927" s="80" t="n">
        <x:v>5657.450648386864</x:v>
      </x:c>
    </x:row>
    <x:row r="928">
      <x:c r="A928" s="78"/>
      <x:c r="B928" s="79" t="str">
        <x:v>8:00-12:00</x:v>
      </x:c>
      <x:c r="C928" s="80" t="n">
        <x:v>10369.472699999998</x:v>
      </x:c>
      <x:c r="D928" s="80" t="n">
        <x:v>0</x:v>
      </x:c>
      <x:c r="E928" s="81"/>
      <x:c r="F928" s="80"/>
    </x:row>
    <x:row r="929">
      <x:c r="A929" s="78"/>
      <x:c r="B929" s="79" t="str">
        <x:v>12:00-16:00</x:v>
      </x:c>
      <x:c r="C929" s="80" t="n">
        <x:v>0</x:v>
      </x:c>
      <x:c r="D929" s="80" t="n">
        <x:v>155.56200000000004</x:v>
      </x:c>
      <x:c r="E929" s="81"/>
      <x:c r="F929" s="80"/>
    </x:row>
    <x:row r="930">
      <x:c r="A930" s="78"/>
      <x:c r="B930" s="79" t="str">
        <x:v>16:00-20:00</x:v>
      </x:c>
      <x:c r="C930" s="80" t="n">
        <x:v>0</x:v>
      </x:c>
      <x:c r="D930" s="80" t="n">
        <x:v>6445.25757021858</x:v>
      </x:c>
      <x:c r="E930" s="81"/>
      <x:c r="F930" s="80"/>
    </x:row>
    <x:row r="931">
      <x:c r="A931" s="98"/>
      <x:c r="B931" s="99" t="str">
        <x:v>20:00-24:00</x:v>
      </x:c>
      <x:c r="C931" s="100" t="n">
        <x:v>5162.945565144354</x:v>
      </x:c>
      <x:c r="D931" s="100" t="n">
        <x:v>2209.4607540001707</x:v>
      </x:c>
      <x:c r="E931" s="101"/>
      <x:c r="F931" s="100"/>
    </x:row>
    <x:row r="932">
      <x:c r="A932" s="102" t="n">
        <x:v>45844</x:v>
      </x:c>
      <x:c r="B932" s="103" t="str">
        <x:v>0:00-4:00</x:v>
      </x:c>
      <x:c r="C932" s="104" t="n">
        <x:v>1418.9185498046875</x:v>
      </x:c>
      <x:c r="D932" s="104" t="n">
        <x:v>2528.6585086783853</x:v>
      </x:c>
      <x:c r="E932" s="105" t="str">
        <x:v>0:00</x:v>
      </x:c>
      <x:c r="F932" s="104" t="n">
        <x:v>5657.450648386864</x:v>
      </x:c>
    </x:row>
    <x:row r="933">
      <x:c r="A933" s="78"/>
      <x:c r="B933" s="79" t="str">
        <x:v>4:00-8:00</x:v>
      </x:c>
      <x:c r="C933" s="80" t="n">
        <x:v>3874.077259908644</x:v>
      </x:c>
      <x:c r="D933" s="80" t="n">
        <x:v>4405.385749813498</x:v>
      </x:c>
      <x:c r="E933" s="81" t="str">
        <x:v>24:00</x:v>
      </x:c>
      <x:c r="F933" s="80" t="n">
        <x:v>4134.227894048033</x:v>
      </x:c>
    </x:row>
    <x:row r="934">
      <x:c r="A934" s="78"/>
      <x:c r="B934" s="79" t="str">
        <x:v>8:00-12:00</x:v>
      </x:c>
      <x:c r="C934" s="80" t="n">
        <x:v>3434.8722717490073</x:v>
      </x:c>
      <x:c r="D934" s="80" t="n">
        <x:v>1369.3237259240925</x:v>
      </x:c>
      <x:c r="E934" s="81"/>
      <x:c r="F934" s="80"/>
    </x:row>
    <x:row r="935">
      <x:c r="A935" s="78"/>
      <x:c r="B935" s="79" t="str">
        <x:v>12:00-16:00</x:v>
      </x:c>
      <x:c r="C935" s="80" t="n">
        <x:v>3058.920629500806</x:v>
      </x:c>
      <x:c r="D935" s="80" t="n">
        <x:v>3237.99410397718</x:v>
      </x:c>
      <x:c r="E935" s="81"/>
      <x:c r="F935" s="80"/>
    </x:row>
    <x:row r="936">
      <x:c r="A936" s="78"/>
      <x:c r="B936" s="79" t="str">
        <x:v>16:00-20:00</x:v>
      </x:c>
      <x:c r="C936" s="80" t="n">
        <x:v>0</x:v>
      </x:c>
      <x:c r="D936" s="80" t="n">
        <x:v>2017.642351035169</x:v>
      </x:c>
      <x:c r="E936" s="81"/>
      <x:c r="F936" s="80"/>
    </x:row>
    <x:row r="937">
      <x:c r="A937" s="98"/>
      <x:c r="B937" s="99" t="str">
        <x:v>20:00-24:00</x:v>
      </x:c>
      <x:c r="C937" s="100" t="n">
        <x:v>4286.875457683899</x:v>
      </x:c>
      <x:c r="D937" s="100" t="n">
        <x:v>831.5640160807292</x:v>
      </x:c>
      <x:c r="E937" s="101"/>
      <x:c r="F937" s="100"/>
    </x:row>
    <x:row r="938">
      <x:c r="A938" s="102" t="n">
        <x:v>45845</x:v>
      </x:c>
      <x:c r="B938" s="103" t="str">
        <x:v>0:00-4:00</x:v>
      </x:c>
      <x:c r="C938" s="104" t="n">
        <x:v>2795.3312828776043</x:v>
      </x:c>
      <x:c r="D938" s="104" t="n">
        <x:v>1941.3160792968752</x:v>
      </x:c>
      <x:c r="E938" s="105" t="str">
        <x:v>0:00</x:v>
      </x:c>
      <x:c r="F938" s="104" t="n">
        <x:v>4134.227894048033</x:v>
      </x:c>
    </x:row>
    <x:row r="939">
      <x:c r="A939" s="78"/>
      <x:c r="B939" s="79" t="str">
        <x:v>4:00-8:00</x:v>
      </x:c>
      <x:c r="C939" s="80" t="n">
        <x:v>3860.8937004271065</x:v>
      </x:c>
      <x:c r="D939" s="80" t="n">
        <x:v>4439.417183464504</x:v>
      </x:c>
      <x:c r="E939" s="81" t="str">
        <x:v>24:00</x:v>
      </x:c>
      <x:c r="F939" s="80" t="n">
        <x:v>4808.157956129195</x:v>
      </x:c>
    </x:row>
    <x:row r="940">
      <x:c r="A940" s="78"/>
      <x:c r="B940" s="79" t="str">
        <x:v>8:00-12:00</x:v>
      </x:c>
      <x:c r="C940" s="80" t="n">
        <x:v>4904.292116052422</x:v>
      </x:c>
      <x:c r="D940" s="80" t="n">
        <x:v>1664.503928358666</x:v>
      </x:c>
      <x:c r="E940" s="81"/>
      <x:c r="F940" s="80"/>
    </x:row>
    <x:row r="941">
      <x:c r="A941" s="78"/>
      <x:c r="B941" s="79" t="str">
        <x:v>12:00-16:00</x:v>
      </x:c>
      <x:c r="C941" s="80" t="n">
        <x:v>4755.882214660539</x:v>
      </x:c>
      <x:c r="D941" s="80" t="n">
        <x:v>211.78999999999994</x:v>
      </x:c>
      <x:c r="E941" s="81"/>
      <x:c r="F941" s="80"/>
    </x:row>
    <x:row r="942">
      <x:c r="A942" s="78"/>
      <x:c r="B942" s="79" t="str">
        <x:v>16:00-20:00</x:v>
      </x:c>
      <x:c r="C942" s="80" t="n">
        <x:v>82.92772693600699</x:v>
      </x:c>
      <x:c r="D942" s="80" t="n">
        <x:v>6626.267135370382</x:v>
      </x:c>
      <x:c r="E942" s="81"/>
      <x:c r="F942" s="80"/>
    </x:row>
    <x:row r="943">
      <x:c r="A943" s="98"/>
      <x:c r="B943" s="99" t="str">
        <x:v>20:00-24:00</x:v>
      </x:c>
      <x:c r="C943" s="100" t="n">
        <x:v>4653.091029845839</x:v>
      </x:c>
      <x:c r="D943" s="100" t="n">
        <x:v>1562.6272549841365</x:v>
      </x:c>
      <x:c r="E943" s="101"/>
      <x:c r="F943" s="100"/>
    </x:row>
    <x:row r="944">
      <x:c r="A944" s="102" t="n">
        <x:v>45846</x:v>
      </x:c>
      <x:c r="B944" s="103" t="str">
        <x:v>0:00-4:00</x:v>
      </x:c>
      <x:c r="C944" s="104" t="n">
        <x:v>2509.559494596355</x:v>
      </x:c>
      <x:c r="D944" s="104" t="n">
        <x:v>586.2195274739586</x:v>
      </x:c>
      <x:c r="E944" s="105" t="str">
        <x:v>0:00</x:v>
      </x:c>
      <x:c r="F944" s="104" t="n">
        <x:v>4808.157956129195</x:v>
      </x:c>
    </x:row>
    <x:row r="945">
      <x:c r="A945" s="78"/>
      <x:c r="B945" s="79" t="str">
        <x:v>4:00-8:00</x:v>
      </x:c>
      <x:c r="C945" s="80" t="n">
        <x:v>4000.586735036801</x:v>
      </x:c>
      <x:c r="D945" s="80" t="n">
        <x:v>3768.464236733945</x:v>
      </x:c>
      <x:c r="E945" s="81" t="str">
        <x:v>24:00</x:v>
      </x:c>
      <x:c r="F945" s="80" t="n">
        <x:v>5897.197251688369</x:v>
      </x:c>
    </x:row>
    <x:row r="946">
      <x:c r="A946" s="78"/>
      <x:c r="B946" s="79" t="str">
        <x:v>8:00-12:00</x:v>
      </x:c>
      <x:c r="C946" s="80" t="n">
        <x:v>2680.0726999999997</x:v>
      </x:c>
      <x:c r="D946" s="80" t="n">
        <x:v>2593.24005</x:v>
      </x:c>
      <x:c r="E946" s="81"/>
      <x:c r="F946" s="80"/>
    </x:row>
    <x:row r="947">
      <x:c r="A947" s="78"/>
      <x:c r="B947" s="79" t="str">
        <x:v>12:00-16:00</x:v>
      </x:c>
      <x:c r="C947" s="80" t="n">
        <x:v>5298.268367657336</x:v>
      </x:c>
      <x:c r="D947" s="80" t="n">
        <x:v>1307.222395287798</x:v>
      </x:c>
      <x:c r="E947" s="81"/>
      <x:c r="F947" s="80"/>
    </x:row>
    <x:row r="948">
      <x:c r="A948" s="78"/>
      <x:c r="B948" s="79" t="str">
        <x:v>16:00-20:00</x:v>
      </x:c>
      <x:c r="C948" s="80" t="n">
        <x:v>0</x:v>
      </x:c>
      <x:c r="D948" s="80" t="n">
        <x:v>6632.509453344102</x:v>
      </x:c>
      <x:c r="E948" s="81"/>
      <x:c r="F948" s="80"/>
    </x:row>
    <x:row r="949">
      <x:c r="A949" s="98"/>
      <x:c r="B949" s="99" t="str">
        <x:v>20:00-24:00</x:v>
      </x:c>
      <x:c r="C949" s="100" t="n">
        <x:v>5307.986076126865</x:v>
      </x:c>
      <x:c r="D949" s="100" t="n">
        <x:v>167.35240362500025</x:v>
      </x:c>
      <x:c r="E949" s="101"/>
      <x:c r="F949" s="100"/>
    </x:row>
    <x:row r="950">
      <x:c r="A950" s="102" t="n">
        <x:v>45847</x:v>
      </x:c>
      <x:c r="B950" s="103" t="str">
        <x:v>0:00-4:00</x:v>
      </x:c>
      <x:c r="C950" s="104" t="n">
        <x:v>1351.1493424382707</x:v>
      </x:c>
      <x:c r="D950" s="104" t="n">
        <x:v>512.5399915364583</x:v>
      </x:c>
      <x:c r="E950" s="105" t="str">
        <x:v>0:00</x:v>
      </x:c>
      <x:c r="F950" s="104" t="n">
        <x:v>5897.197251688369</x:v>
      </x:c>
    </x:row>
    <x:row r="951">
      <x:c r="A951" s="78"/>
      <x:c r="B951" s="79" t="str">
        <x:v>4:00-8:00</x:v>
      </x:c>
      <x:c r="C951" s="80" t="n">
        <x:v>4041.383092753468</x:v>
      </x:c>
      <x:c r="D951" s="80" t="n">
        <x:v>4485.101448710468</x:v>
      </x:c>
      <x:c r="E951" s="81" t="str">
        <x:v>24:00</x:v>
      </x:c>
      <x:c r="F951" s="80" t="n">
        <x:v>6026.107261248988</x:v>
      </x:c>
    </x:row>
    <x:row r="952">
      <x:c r="A952" s="78"/>
      <x:c r="B952" s="79" t="str">
        <x:v>8:00-12:00</x:v>
      </x:c>
      <x:c r="C952" s="80" t="n">
        <x:v>4477.635716314545</x:v>
      </x:c>
      <x:c r="D952" s="80" t="n">
        <x:v>1867.572733333333</x:v>
      </x:c>
      <x:c r="E952" s="81"/>
      <x:c r="F952" s="80"/>
    </x:row>
    <x:row r="953">
      <x:c r="A953" s="78"/>
      <x:c r="B953" s="79" t="str">
        <x:v>12:00-16:00</x:v>
      </x:c>
      <x:c r="C953" s="80" t="n">
        <x:v>5041.246947745652</x:v>
      </x:c>
      <x:c r="D953" s="80" t="n">
        <x:v>800.5095833333334</x:v>
      </x:c>
      <x:c r="E953" s="81"/>
      <x:c r="F953" s="80"/>
    </x:row>
    <x:row r="954">
      <x:c r="A954" s="78"/>
      <x:c r="B954" s="79" t="str">
        <x:v>16:00-20:00</x:v>
      </x:c>
      <x:c r="C954" s="80" t="n">
        <x:v>25.34878085557341</x:v>
      </x:c>
      <x:c r="D954" s="80" t="n">
        <x:v>5757.931236228054</x:v>
      </x:c>
      <x:c r="E954" s="81"/>
      <x:c r="F954" s="80"/>
    </x:row>
    <x:row r="955">
      <x:c r="A955" s="98"/>
      <x:c r="B955" s="99" t="str">
        <x:v>20:00-24:00</x:v>
      </x:c>
      <x:c r="C955" s="100" t="n">
        <x:v>5402.829881969039</x:v>
      </x:c>
      <x:c r="D955" s="100" t="n">
        <x:v>2935.396945535791</x:v>
      </x:c>
      <x:c r="E955" s="101"/>
      <x:c r="F955" s="100"/>
    </x:row>
    <x:row r="956">
      <x:c r="A956" s="102" t="n">
        <x:v>45848</x:v>
      </x:c>
      <x:c r="B956" s="103" t="str">
        <x:v>0:00-4:00</x:v>
      </x:c>
      <x:c r="C956" s="104" t="n">
        <x:v>1254.1915544921874</x:v>
      </x:c>
      <x:c r="D956" s="104" t="n">
        <x:v>471.60409993489577</x:v>
      </x:c>
      <x:c r="E956" s="105" t="str">
        <x:v>0:00</x:v>
      </x:c>
      <x:c r="F956" s="104" t="n">
        <x:v>6026.107261248988</x:v>
      </x:c>
    </x:row>
    <x:row r="957">
      <x:c r="A957" s="78"/>
      <x:c r="B957" s="79" t="str">
        <x:v>4:00-8:00</x:v>
      </x:c>
      <x:c r="C957" s="80" t="n">
        <x:v>4324.528260081054</x:v>
      </x:c>
      <x:c r="D957" s="80" t="n">
        <x:v>3907.136575456405</x:v>
      </x:c>
      <x:c r="E957" s="81" t="str">
        <x:v>24:00</x:v>
      </x:c>
      <x:c r="F957" s="80" t="n">
        <x:v>5860.192740797309</x:v>
      </x:c>
    </x:row>
    <x:row r="958">
      <x:c r="A958" s="78"/>
      <x:c r="B958" s="79" t="str">
        <x:v>8:00-12:00</x:v>
      </x:c>
      <x:c r="C958" s="80" t="n">
        <x:v>4065.2459166666663</x:v>
      </x:c>
      <x:c r="D958" s="80" t="n">
        <x:v>2219.675383333333</x:v>
      </x:c>
      <x:c r="E958" s="81"/>
      <x:c r="F958" s="80"/>
    </x:row>
    <x:row r="959">
      <x:c r="A959" s="78"/>
      <x:c r="B959" s="79" t="str">
        <x:v>12:00-16:00</x:v>
      </x:c>
      <x:c r="C959" s="80" t="n">
        <x:v>4525.727240283399</x:v>
      </x:c>
      <x:c r="D959" s="80" t="n">
        <x:v>871.8265905769822</x:v>
      </x:c>
      <x:c r="E959" s="81"/>
      <x:c r="F959" s="80"/>
    </x:row>
    <x:row r="960">
      <x:c r="A960" s="78"/>
      <x:c r="B960" s="79" t="str">
        <x:v>16:00-20:00</x:v>
      </x:c>
      <x:c r="C960" s="80" t="n">
        <x:v>237.16088034815198</x:v>
      </x:c>
      <x:c r="D960" s="80" t="n">
        <x:v>5995.33799731914</x:v>
      </x:c>
      <x:c r="E960" s="81"/>
      <x:c r="F960" s="80"/>
    </x:row>
    <x:row r="961">
      <x:c r="A961" s="98"/>
      <x:c r="B961" s="99" t="str">
        <x:v>20:00-24:00</x:v>
      </x:c>
      <x:c r="C961" s="100" t="n">
        <x:v>5245.487681840116</x:v>
      </x:c>
      <x:c r="D961" s="100" t="n">
        <x:v>2602.139064092124</x:v>
      </x:c>
      <x:c r="E961" s="101"/>
      <x:c r="F961" s="100"/>
    </x:row>
    <x:row r="962">
      <x:c r="A962" s="102" t="n">
        <x:v>45849</x:v>
      </x:c>
      <x:c r="B962" s="103" t="str">
        <x:v>0:00-4:00</x:v>
      </x:c>
      <x:c r="C962" s="104" t="n">
        <x:v>19.62302623697917</x:v>
      </x:c>
      <x:c r="D962" s="104" t="n">
        <x:v>4205.088185142056</x:v>
      </x:c>
      <x:c r="E962" s="105" t="str">
        <x:v>0:00</x:v>
      </x:c>
      <x:c r="F962" s="104" t="n">
        <x:v>5860.192740797309</x:v>
      </x:c>
    </x:row>
    <x:row r="963">
      <x:c r="A963" s="78"/>
      <x:c r="B963" s="79" t="str">
        <x:v>4:00-8:00</x:v>
      </x:c>
      <x:c r="C963" s="80" t="n">
        <x:v>2634.3720363650546</x:v>
      </x:c>
      <x:c r="D963" s="80" t="n">
        <x:v>1954.286258783168</x:v>
      </x:c>
      <x:c r="E963" s="81" t="str">
        <x:v>24:00</x:v>
      </x:c>
      <x:c r="F963" s="80" t="n">
        <x:v>5610.560352973236</x:v>
      </x:c>
    </x:row>
    <x:row r="964">
      <x:c r="A964" s="78"/>
      <x:c r="B964" s="79" t="str">
        <x:v>8:00-12:00</x:v>
      </x:c>
      <x:c r="C964" s="80" t="n">
        <x:v>8360.452566666667</x:v>
      </x:c>
      <x:c r="D964" s="80" t="n">
        <x:v>0</x:v>
      </x:c>
      <x:c r="E964" s="81"/>
      <x:c r="F964" s="80"/>
    </x:row>
    <x:row r="965">
      <x:c r="A965" s="78"/>
      <x:c r="B965" s="79" t="str">
        <x:v>12:00-16:00</x:v>
      </x:c>
      <x:c r="C965" s="80" t="n">
        <x:v>2078.3930833333307</x:v>
      </x:c>
      <x:c r="D965" s="80" t="n">
        <x:v>0</x:v>
      </x:c>
      <x:c r="E965" s="81"/>
      <x:c r="F965" s="80"/>
    </x:row>
    <x:row r="966">
      <x:c r="A966" s="78"/>
      <x:c r="B966" s="79" t="str">
        <x:v>16:00-20:00</x:v>
      </x:c>
      <x:c r="C966" s="80" t="n">
        <x:v>102.56459159412252</x:v>
      </x:c>
      <x:c r="D966" s="80" t="n">
        <x:v>5912.919906528438</x:v>
      </x:c>
      <x:c r="E966" s="81"/>
      <x:c r="F966" s="80"/>
    </x:row>
    <x:row r="967">
      <x:c r="A967" s="98"/>
      <x:c r="B967" s="99" t="str">
        <x:v>20:00-24:00</x:v>
      </x:c>
      <x:c r="C967" s="100" t="n">
        <x:v>5052.370905631269</x:v>
      </x:c>
      <x:c r="D967" s="100" t="n">
        <x:v>2933.0735285482183</x:v>
      </x:c>
      <x:c r="E967" s="101"/>
      <x:c r="F967" s="100"/>
    </x:row>
    <x:row r="968">
      <x:c r="A968" s="102" t="n">
        <x:v>45850</x:v>
      </x:c>
      <x:c r="B968" s="103" t="str">
        <x:v>0:00-4:00</x:v>
      </x:c>
      <x:c r="C968" s="104" t="n">
        <x:v>948.9821119140626</x:v>
      </x:c>
      <x:c r="D968" s="104" t="n">
        <x:v>3699.5707471205296</x:v>
      </x:c>
      <x:c r="E968" s="105" t="str">
        <x:v>0:00</x:v>
      </x:c>
      <x:c r="F968" s="104" t="n">
        <x:v>5610.560352973236</x:v>
      </x:c>
    </x:row>
    <x:row r="969">
      <x:c r="A969" s="78"/>
      <x:c r="B969" s="79" t="str">
        <x:v>4:00-8:00</x:v>
      </x:c>
      <x:c r="C969" s="80" t="n">
        <x:v>2400.327702447644</x:v>
      </x:c>
      <x:c r="D969" s="80" t="n">
        <x:v>2878.477764688364</x:v>
      </x:c>
      <x:c r="E969" s="81" t="str">
        <x:v>24:00</x:v>
      </x:c>
      <x:c r="F969" s="80" t="n">
        <x:v>5731.272105246238</x:v>
      </x:c>
    </x:row>
    <x:row r="970">
      <x:c r="A970" s="78"/>
      <x:c r="B970" s="79" t="str">
        <x:v>8:00-12:00</x:v>
      </x:c>
      <x:c r="C970" s="80" t="n">
        <x:v>9555.301899999999</x:v>
      </x:c>
      <x:c r="D970" s="80" t="n">
        <x:v>0</x:v>
      </x:c>
      <x:c r="E970" s="81"/>
      <x:c r="F970" s="80"/>
    </x:row>
    <x:row r="971">
      <x:c r="A971" s="78"/>
      <x:c r="B971" s="79" t="str">
        <x:v>12:00-16:00</x:v>
      </x:c>
      <x:c r="C971" s="80" t="n">
        <x:v>1039.719348353907</x:v>
      </x:c>
      <x:c r="D971" s="80" t="n">
        <x:v>46.36396666666663</x:v>
      </x:c>
      <x:c r="E971" s="81"/>
      <x:c r="F971" s="80"/>
    </x:row>
    <x:row r="972">
      <x:c r="A972" s="78"/>
      <x:c r="B972" s="79" t="str">
        <x:v>16:00-20:00</x:v>
      </x:c>
      <x:c r="C972" s="80" t="n">
        <x:v>167.37488369844056</x:v>
      </x:c>
      <x:c r="D972" s="80" t="n">
        <x:v>5847.924549754824</x:v>
      </x:c>
      <x:c r="E972" s="81"/>
      <x:c r="F972" s="80"/>
    </x:row>
    <x:row r="973">
      <x:c r="A973" s="98"/>
      <x:c r="B973" s="99" t="str">
        <x:v>20:00-24:00</x:v>
      </x:c>
      <x:c r="C973" s="100" t="n">
        <x:v>5195.645031147441</x:v>
      </x:c>
      <x:c r="D973" s="100" t="n">
        <x:v>3057.976686548721</x:v>
      </x:c>
      <x:c r="E973" s="101"/>
      <x:c r="F973" s="100"/>
    </x:row>
    <x:row r="974">
      <x:c r="A974" s="102" t="n">
        <x:v>45851</x:v>
      </x:c>
      <x:c r="B974" s="103" t="str">
        <x:v>0:00-4:00</x:v>
      </x:c>
      <x:c r="C974" s="104" t="n">
        <x:v>1598.2528796875001</x:v>
      </x:c>
      <x:c r="D974" s="104" t="n">
        <x:v>516.8380863281249</x:v>
      </x:c>
      <x:c r="E974" s="105" t="str">
        <x:v>0:00</x:v>
      </x:c>
      <x:c r="F974" s="104" t="n">
        <x:v>5731.272105246238</x:v>
      </x:c>
    </x:row>
    <x:row r="975">
      <x:c r="A975" s="78"/>
      <x:c r="B975" s="79" t="str">
        <x:v>4:00-8:00</x:v>
      </x:c>
      <x:c r="C975" s="80" t="n">
        <x:v>4177.37782914438</x:v>
      </x:c>
      <x:c r="D975" s="80" t="n">
        <x:v>4023.4541309585484</x:v>
      </x:c>
      <x:c r="E975" s="81" t="str">
        <x:v>24:00</x:v>
      </x:c>
      <x:c r="F975" s="80" t="n">
        <x:v>5654.073734191261</x:v>
      </x:c>
    </x:row>
    <x:row r="976">
      <x:c r="A976" s="78"/>
      <x:c r="B976" s="79" t="str">
        <x:v>8:00-12:00</x:v>
      </x:c>
      <x:c r="C976" s="80" t="n">
        <x:v>4494.315216666666</x:v>
      </x:c>
      <x:c r="D976" s="80" t="n">
        <x:v>1851.4930666666664</x:v>
      </x:c>
      <x:c r="E976" s="81"/>
      <x:c r="F976" s="80"/>
    </x:row>
    <x:row r="977">
      <x:c r="A977" s="78"/>
      <x:c r="B977" s="79" t="str">
        <x:v>12:00-16:00</x:v>
      </x:c>
      <x:c r="C977" s="80" t="n">
        <x:v>3722.648911536555</x:v>
      </x:c>
      <x:c r="D977" s="80" t="n">
        <x:v>581.5558193597911</x:v>
      </x:c>
      <x:c r="E977" s="81"/>
      <x:c r="F977" s="80"/>
    </x:row>
    <x:row r="978">
      <x:c r="A978" s="78"/>
      <x:c r="B978" s="79" t="str">
        <x:v>16:00-20:00</x:v>
      </x:c>
      <x:c r="C978" s="80" t="n">
        <x:v>68.86625679243343</x:v>
      </x:c>
      <x:c r="D978" s="80" t="n">
        <x:v>6308.985029910131</x:v>
      </x:c>
      <x:c r="E978" s="81"/>
      <x:c r="F978" s="80"/>
    </x:row>
    <x:row r="979">
      <x:c r="A979" s="98"/>
      <x:c r="B979" s="99" t="str">
        <x:v>20:00-24:00</x:v>
      </x:c>
      <x:c r="C979" s="100" t="n">
        <x:v>5087.490234331597</x:v>
      </x:c>
      <x:c r="D979" s="100" t="n">
        <x:v>2297.8029765351093</x:v>
      </x:c>
      <x:c r="E979" s="101"/>
      <x:c r="F979" s="100"/>
    </x:row>
    <x:row r="980">
      <x:c r="A980" s="102" t="n">
        <x:v>45852</x:v>
      </x:c>
      <x:c r="B980" s="103" t="str">
        <x:v>0:00-4:00</x:v>
      </x:c>
      <x:c r="C980" s="104" t="n">
        <x:v>2306.345236510578</x:v>
      </x:c>
      <x:c r="D980" s="104" t="n">
        <x:v>494.32313216145815</x:v>
      </x:c>
      <x:c r="E980" s="105" t="str">
        <x:v>0:00</x:v>
      </x:c>
      <x:c r="F980" s="104" t="n">
        <x:v>5654.073734191261</x:v>
      </x:c>
    </x:row>
    <x:row r="981">
      <x:c r="A981" s="78"/>
      <x:c r="B981" s="79" t="str">
        <x:v>4:00-8:00</x:v>
      </x:c>
      <x:c r="C981" s="80" t="n">
        <x:v>3242.4667992317463</x:v>
      </x:c>
      <x:c r="D981" s="80" t="n">
        <x:v>5040.618729252567</x:v>
      </x:c>
      <x:c r="E981" s="81" t="str">
        <x:v>24:00</x:v>
      </x:c>
      <x:c r="F981" s="80" t="n">
        <x:v>5995.886065413194</x:v>
      </x:c>
    </x:row>
    <x:row r="982">
      <x:c r="A982" s="78"/>
      <x:c r="B982" s="79" t="str">
        <x:v>8:00-12:00</x:v>
      </x:c>
      <x:c r="C982" s="80" t="n">
        <x:v>4271.646802817568</x:v>
      </x:c>
      <x:c r="D982" s="80" t="n">
        <x:v>1602.593166666666</x:v>
      </x:c>
      <x:c r="E982" s="81"/>
      <x:c r="F982" s="80"/>
    </x:row>
    <x:row r="983">
      <x:c r="A983" s="78"/>
      <x:c r="B983" s="79" t="str">
        <x:v>12:00-16:00</x:v>
      </x:c>
      <x:c r="C983" s="80" t="n">
        <x:v>4836.575853590588</x:v>
      </x:c>
      <x:c r="D983" s="80" t="n">
        <x:v>178.98071423906185</x:v>
      </x:c>
      <x:c r="E983" s="81"/>
      <x:c r="F983" s="80"/>
    </x:row>
    <x:row r="984">
      <x:c r="A984" s="78"/>
      <x:c r="B984" s="79" t="str">
        <x:v>16:00-20:00</x:v>
      </x:c>
      <x:c r="C984" s="80" t="n">
        <x:v>63.831506777454706</x:v>
      </x:c>
      <x:c r="D984" s="80" t="n">
        <x:v>6147.606877337241</x:v>
      </x:c>
      <x:c r="E984" s="81"/>
      <x:c r="F984" s="80"/>
    </x:row>
    <x:row r="985">
      <x:c r="A985" s="98"/>
      <x:c r="B985" s="99" t="str">
        <x:v>20:00-24:00</x:v>
      </x:c>
      <x:c r="C985" s="100" t="n">
        <x:v>5351.067046060956</x:v>
      </x:c>
      <x:c r="D985" s="100" t="n">
        <x:v>2486.512210684269</x:v>
      </x:c>
      <x:c r="E985" s="101"/>
      <x:c r="F985" s="100"/>
    </x:row>
    <x:row r="986">
      <x:c r="A986" s="102" t="n">
        <x:v>45853</x:v>
      </x:c>
      <x:c r="B986" s="103" t="str">
        <x:v>0:00-4:00</x:v>
      </x:c>
      <x:c r="C986" s="104" t="n">
        <x:v>3224.1238575704097</x:v>
      </x:c>
      <x:c r="D986" s="104" t="n">
        <x:v>158.28451979166664</x:v>
      </x:c>
      <x:c r="E986" s="105" t="str">
        <x:v>0:00</x:v>
      </x:c>
      <x:c r="F986" s="104" t="n">
        <x:v>5995.886065413194</x:v>
      </x:c>
    </x:row>
    <x:row r="987">
      <x:c r="A987" s="78"/>
      <x:c r="B987" s="79" t="str">
        <x:v>4:00-8:00</x:v>
      </x:c>
      <x:c r="C987" s="80" t="n">
        <x:v>2518.6400138186655</x:v>
      </x:c>
      <x:c r="D987" s="80" t="n">
        <x:v>4844.189744596706</x:v>
      </x:c>
      <x:c r="E987" s="81" t="str">
        <x:v>24:00</x:v>
      </x:c>
      <x:c r="F987" s="80" t="n">
        <x:v>6304.117774014757</x:v>
      </x:c>
    </x:row>
    <x:row r="988">
      <x:c r="A988" s="78"/>
      <x:c r="B988" s="79" t="str">
        <x:v>8:00-12:00</x:v>
      </x:c>
      <x:c r="C988" s="80" t="n">
        <x:v>4323.394916258353</x:v>
      </x:c>
      <x:c r="D988" s="80" t="n">
        <x:v>1177.9008333333334</x:v>
      </x:c>
      <x:c r="E988" s="81"/>
      <x:c r="F988" s="80"/>
    </x:row>
    <x:row r="989">
      <x:c r="A989" s="78"/>
      <x:c r="B989" s="79" t="str">
        <x:v>12:00-16:00</x:v>
      </x:c>
      <x:c r="C989" s="80" t="n">
        <x:v>3035.8903753169398</x:v>
      </x:c>
      <x:c r="D989" s="80" t="n">
        <x:v>541.8408393210133</x:v>
      </x:c>
      <x:c r="E989" s="81"/>
      <x:c r="F989" s="80"/>
    </x:row>
    <x:row r="990">
      <x:c r="A990" s="78"/>
      <x:c r="B990" s="79" t="str">
        <x:v>16:00-20:00</x:v>
      </x:c>
      <x:c r="C990" s="80" t="n">
        <x:v>136.89552795883776</x:v>
      </x:c>
      <x:c r="D990" s="80" t="n">
        <x:v>5604.535145532935</x:v>
      </x:c>
      <x:c r="E990" s="81"/>
      <x:c r="F990" s="80"/>
    </x:row>
    <x:row r="991">
      <x:c r="A991" s="98"/>
      <x:c r="B991" s="99" t="str">
        <x:v>20:00-24:00</x:v>
      </x:c>
      <x:c r="C991" s="100" t="n">
        <x:v>5702.477743118248</x:v>
      </x:c>
      <x:c r="D991" s="100" t="n">
        <x:v>2738.3925512565183</x:v>
      </x:c>
      <x:c r="E991" s="101"/>
      <x:c r="F991" s="100"/>
    </x:row>
    <x:row r="992">
      <x:c r="A992" s="102" t="n">
        <x:v>45854</x:v>
      </x:c>
      <x:c r="B992" s="103" t="str">
        <x:v>0:00-4:00</x:v>
      </x:c>
      <x:c r="C992" s="104" t="n">
        <x:v>1581.285945442708</x:v>
      </x:c>
      <x:c r="D992" s="104" t="n">
        <x:v>94.62075885416652</x:v>
      </x:c>
      <x:c r="E992" s="105" t="str">
        <x:v>0:00</x:v>
      </x:c>
      <x:c r="F992" s="104" t="n">
        <x:v>6304.117774014757</x:v>
      </x:c>
    </x:row>
    <x:row r="993">
      <x:c r="A993" s="78"/>
      <x:c r="B993" s="79" t="str">
        <x:v>4:00-8:00</x:v>
      </x:c>
      <x:c r="C993" s="80" t="n">
        <x:v>3708.662670389226</x:v>
      </x:c>
      <x:c r="D993" s="80" t="n">
        <x:v>5458.747067482489</x:v>
      </x:c>
      <x:c r="E993" s="81" t="str">
        <x:v>24:00</x:v>
      </x:c>
      <x:c r="F993" s="80" t="n">
        <x:v>6118.44052446007</x:v>
      </x:c>
    </x:row>
    <x:row r="994">
      <x:c r="A994" s="78"/>
      <x:c r="B994" s="79" t="str">
        <x:v>8:00-12:00</x:v>
      </x:c>
      <x:c r="C994" s="80" t="n">
        <x:v>5558.804698609234</x:v>
      </x:c>
      <x:c r="D994" s="80" t="n">
        <x:v>1197.0075166666668</x:v>
      </x:c>
      <x:c r="E994" s="81"/>
      <x:c r="F994" s="80"/>
    </x:row>
    <x:row r="995">
      <x:c r="A995" s="78"/>
      <x:c r="B995" s="79" t="str">
        <x:v>12:00-16:00</x:v>
      </x:c>
      <x:c r="C995" s="80" t="n">
        <x:v>2907.36634388502</x:v>
      </x:c>
      <x:c r="D995" s="80" t="n">
        <x:v>925.5898744916587</x:v>
      </x:c>
      <x:c r="E995" s="81"/>
      <x:c r="F995" s="80"/>
    </x:row>
    <x:row r="996">
      <x:c r="A996" s="78"/>
      <x:c r="B996" s="79" t="str">
        <x:v>16:00-20:00</x:v>
      </x:c>
      <x:c r="C996" s="80" t="n">
        <x:v>268.3775406356931</x:v>
      </x:c>
      <x:c r="D996" s="80" t="n">
        <x:v>5796.059609266626</x:v>
      </x:c>
      <x:c r="E996" s="81"/>
      <x:c r="F996" s="80"/>
    </x:row>
    <x:row r="997">
      <x:c r="A997" s="98"/>
      <x:c r="B997" s="99" t="str">
        <x:v>20:00-24:00</x:v>
      </x:c>
      <x:c r="C997" s="100" t="n">
        <x:v>5528.801472008101</x:v>
      </x:c>
      <x:c r="D997" s="100" t="n">
        <x:v>2533.2566213233</x:v>
      </x:c>
      <x:c r="E997" s="101"/>
      <x:c r="F997" s="100"/>
    </x:row>
    <x:row r="998">
      <x:c r="A998" s="102" t="n">
        <x:v>45855</x:v>
      </x:c>
      <x:c r="B998" s="103" t="str">
        <x:v>0:00-4:00</x:v>
      </x:c>
      <x:c r="C998" s="104" t="n">
        <x:v>2386.12986635513</x:v>
      </x:c>
      <x:c r="D998" s="104" t="n">
        <x:v>192.80093815104158</x:v>
      </x:c>
      <x:c r="E998" s="105" t="str">
        <x:v>0:00</x:v>
      </x:c>
      <x:c r="F998" s="104" t="n">
        <x:v>6118.44052446007</x:v>
      </x:c>
    </x:row>
    <x:row r="999">
      <x:c r="A999" s="78"/>
      <x:c r="B999" s="79" t="str">
        <x:v>4:00-8:00</x:v>
      </x:c>
      <x:c r="C999" s="80" t="n">
        <x:v>3231.8502953613724</x:v>
      </x:c>
      <x:c r="D999" s="80" t="n">
        <x:v>5331.388939813356</x:v>
      </x:c>
      <x:c r="E999" s="81" t="str">
        <x:v>24:00</x:v>
      </x:c>
      <x:c r="F999" s="80" t="n">
        <x:v>5949.209045311776</x:v>
      </x:c>
    </x:row>
    <x:row r="1000">
      <x:c r="A1000" s="78"/>
      <x:c r="B1000" s="79" t="str">
        <x:v>8:00-12:00</x:v>
      </x:c>
      <x:c r="C1000" s="80" t="n">
        <x:v>4443.0836666666655</x:v>
      </x:c>
      <x:c r="D1000" s="80" t="n">
        <x:v>2414.696233333333</x:v>
      </x:c>
      <x:c r="E1000" s="81"/>
      <x:c r="F1000" s="80"/>
    </x:row>
    <x:row r="1001">
      <x:c r="A1001" s="78"/>
      <x:c r="B1001" s="79" t="str">
        <x:v>12:00-16:00</x:v>
      </x:c>
      <x:c r="C1001" s="80" t="n">
        <x:v>4910.63956211261</x:v>
      </x:c>
      <x:c r="D1001" s="80" t="n">
        <x:v>838.384687263128</x:v>
      </x:c>
      <x:c r="E1001" s="81"/>
      <x:c r="F1001" s="80"/>
    </x:row>
    <x:row r="1002">
      <x:c r="A1002" s="78"/>
      <x:c r="B1002" s="79" t="str">
        <x:v>16:00-20:00</x:v>
      </x:c>
      <x:c r="C1002" s="80" t="n">
        <x:v>90.44688283104506</x:v>
      </x:c>
      <x:c r="D1002" s="80" t="n">
        <x:v>6291.015146568342</x:v>
      </x:c>
      <x:c r="E1002" s="81"/>
      <x:c r="F1002" s="80"/>
    </x:row>
    <x:row r="1003">
      <x:c r="A1003" s="98"/>
      <x:c r="B1003" s="99" t="str">
        <x:v>20:00-24:00</x:v>
      </x:c>
      <x:c r="C1003" s="100" t="n">
        <x:v>5369.9126634749555</x:v>
      </x:c>
      <x:c r="D1003" s="100" t="n">
        <x:v>1633.993364913711</x:v>
      </x:c>
      <x:c r="E1003" s="101"/>
      <x:c r="F1003" s="100"/>
    </x:row>
    <x:row r="1004">
      <x:c r="A1004" s="102" t="n">
        <x:v>45856</x:v>
      </x:c>
      <x:c r="B1004" s="103" t="str">
        <x:v>0:00-4:00</x:v>
      </x:c>
      <x:c r="C1004" s="104" t="n">
        <x:v>539.6590362445514</x:v>
      </x:c>
      <x:c r="D1004" s="104" t="n">
        <x:v>3052.391723697917</x:v>
      </x:c>
      <x:c r="E1004" s="105" t="str">
        <x:v>0:00</x:v>
      </x:c>
      <x:c r="F1004" s="104" t="n">
        <x:v>5949.209045311776</x:v>
      </x:c>
    </x:row>
    <x:row r="1005">
      <x:c r="A1005" s="78"/>
      <x:c r="B1005" s="79" t="str">
        <x:v>4:00-8:00</x:v>
      </x:c>
      <x:c r="C1005" s="80" t="n">
        <x:v>1048.2299760198798</x:v>
      </x:c>
      <x:c r="D1005" s="80" t="n">
        <x:v>1616.0262378962882</x:v>
      </x:c>
      <x:c r="E1005" s="81" t="str">
        <x:v>24:00</x:v>
      </x:c>
      <x:c r="F1005" s="80" t="n">
        <x:v>6009.412069244439</x:v>
      </x:c>
    </x:row>
    <x:row r="1006">
      <x:c r="A1006" s="78"/>
      <x:c r="B1006" s="79" t="str">
        <x:v>8:00-12:00</x:v>
      </x:c>
      <x:c r="C1006" s="80" t="n">
        <x:v>8429.1773</x:v>
      </x:c>
      <x:c r="D1006" s="80" t="n">
        <x:v>0</x:v>
      </x:c>
      <x:c r="E1006" s="81"/>
      <x:c r="F1006" s="80"/>
    </x:row>
    <x:row r="1007">
      <x:c r="A1007" s="78"/>
      <x:c r="B1007" s="79" t="str">
        <x:v>12:00-16:00</x:v>
      </x:c>
      <x:c r="C1007" s="80" t="n">
        <x:v>1136.1803800980479</x:v>
      </x:c>
      <x:c r="D1007" s="80" t="n">
        <x:v>141.30955821346924</x:v>
      </x:c>
      <x:c r="E1007" s="81"/>
      <x:c r="F1007" s="80"/>
    </x:row>
    <x:row r="1008">
      <x:c r="A1008" s="78"/>
      <x:c r="B1008" s="79" t="str">
        <x:v>16:00-20:00</x:v>
      </x:c>
      <x:c r="C1008" s="80" t="n">
        <x:v>210.99085760247146</x:v>
      </x:c>
      <x:c r="D1008" s="80" t="n">
        <x:v>5222.992019184965</x:v>
      </x:c>
      <x:c r="E1008" s="81"/>
      <x:c r="F1008" s="80"/>
    </x:row>
    <x:row r="1009">
      <x:c r="A1009" s="98"/>
      <x:c r="B1009" s="99" t="str">
        <x:v>20:00-24:00</x:v>
      </x:c>
      <x:c r="C1009" s="100" t="n">
        <x:v>5488.518660844746</x:v>
      </x:c>
      <x:c r="D1009" s="100" t="n">
        <x:v>3563.830270223816</x:v>
      </x:c>
      <x:c r="E1009" s="101"/>
      <x:c r="F1009" s="100"/>
    </x:row>
    <x:row r="1010">
      <x:c r="A1010" s="102" t="n">
        <x:v>45857</x:v>
      </x:c>
      <x:c r="B1010" s="103" t="str">
        <x:v>0:00-4:00</x:v>
      </x:c>
      <x:c r="C1010" s="104" t="n">
        <x:v>266.72321286715</x:v>
      </x:c>
      <x:c r="D1010" s="104" t="n">
        <x:v>4415.706762254891</x:v>
      </x:c>
      <x:c r="E1010" s="105" t="str">
        <x:v>0:00</x:v>
      </x:c>
      <x:c r="F1010" s="104" t="n">
        <x:v>6009.412069244439</x:v>
      </x:c>
    </x:row>
    <x:row r="1011">
      <x:c r="A1011" s="78"/>
      <x:c r="B1011" s="79" t="str">
        <x:v>4:00-8:00</x:v>
      </x:c>
      <x:c r="C1011" s="80" t="n">
        <x:v>2424.843188919667</x:v>
      </x:c>
      <x:c r="D1011" s="80" t="n">
        <x:v>1283.6856265116303</x:v>
      </x:c>
      <x:c r="E1011" s="81" t="str">
        <x:v>24:00</x:v>
      </x:c>
      <x:c r="F1011" s="80" t="n">
        <x:v>5837.023450384114</x:v>
      </x:c>
    </x:row>
    <x:row r="1012">
      <x:c r="A1012" s="78"/>
      <x:c r="B1012" s="79" t="str">
        <x:v>8:00-12:00</x:v>
      </x:c>
      <x:c r="C1012" s="80" t="n">
        <x:v>9667.595976542227</x:v>
      </x:c>
      <x:c r="D1012" s="80" t="n">
        <x:v>0</x:v>
      </x:c>
      <x:c r="E1012" s="81"/>
      <x:c r="F1012" s="80"/>
    </x:row>
    <x:row r="1013">
      <x:c r="A1013" s="78"/>
      <x:c r="B1013" s="79" t="str">
        <x:v>12:00-16:00</x:v>
      </x:c>
      <x:c r="C1013" s="80" t="n">
        <x:v>0</x:v>
      </x:c>
      <x:c r="D1013" s="80" t="n">
        <x:v>0</x:v>
      </x:c>
      <x:c r="E1013" s="81"/>
      <x:c r="F1013" s="80"/>
    </x:row>
    <x:row r="1014">
      <x:c r="A1014" s="78"/>
      <x:c r="B1014" s="79" t="str">
        <x:v>16:00-20:00</x:v>
      </x:c>
      <x:c r="C1014" s="80" t="n">
        <x:v>14.68540919127895</x:v>
      </x:c>
      <x:c r="D1014" s="80" t="n">
        <x:v>5604.595944426168</x:v>
      </x:c>
      <x:c r="E1014" s="81"/>
      <x:c r="F1014" s="80"/>
    </x:row>
    <x:row r="1015">
      <x:c r="A1015" s="98"/>
      <x:c r="B1015" s="99" t="str">
        <x:v>20:00-24:00</x:v>
      </x:c>
      <x:c r="C1015" s="100" t="n">
        <x:v>5308.014281532118</x:v>
      </x:c>
      <x:c r="D1015" s="100" t="n">
        <x:v>3173.4696997140763</x:v>
      </x:c>
      <x:c r="E1015" s="101"/>
      <x:c r="F1015" s="100"/>
    </x:row>
    <x:row r="1016">
      <x:c r="A1016" s="102" t="n">
        <x:v>45858</x:v>
      </x:c>
      <x:c r="B1016" s="103" t="str">
        <x:v>0:00-4:00</x:v>
      </x:c>
      <x:c r="C1016" s="104" t="n">
        <x:v>1746.6567820818873</x:v>
      </x:c>
      <x:c r="D1016" s="104" t="n">
        <x:v>156.25643541666682</x:v>
      </x:c>
      <x:c r="E1016" s="105" t="str">
        <x:v>0:00</x:v>
      </x:c>
      <x:c r="F1016" s="104" t="n">
        <x:v>5837.023450384114</x:v>
      </x:c>
    </x:row>
    <x:row r="1017">
      <x:c r="A1017" s="78"/>
      <x:c r="B1017" s="79" t="str">
        <x:v>4:00-8:00</x:v>
      </x:c>
      <x:c r="C1017" s="80" t="n">
        <x:v>4103.732993207197</x:v>
      </x:c>
      <x:c r="D1017" s="80" t="n">
        <x:v>5698.761735130025</x:v>
      </x:c>
      <x:c r="E1017" s="81" t="str">
        <x:v>24:00</x:v>
      </x:c>
      <x:c r="F1017" s="80" t="n">
        <x:v>6032.29172999566</x:v>
      </x:c>
    </x:row>
    <x:row r="1018">
      <x:c r="A1018" s="78"/>
      <x:c r="B1018" s="79" t="str">
        <x:v>8:00-12:00</x:v>
      </x:c>
      <x:c r="C1018" s="80" t="n">
        <x:v>3617.0320253334494</x:v>
      </x:c>
      <x:c r="D1018" s="80" t="n">
        <x:v>1609.5585666666664</x:v>
      </x:c>
      <x:c r="E1018" s="81"/>
      <x:c r="F1018" s="80"/>
    </x:row>
    <x:row r="1019">
      <x:c r="A1019" s="78"/>
      <x:c r="B1019" s="79" t="str">
        <x:v>12:00-16:00</x:v>
      </x:c>
      <x:c r="C1019" s="80" t="n">
        <x:v>4782.686942822382</x:v>
      </x:c>
      <x:c r="D1019" s="80" t="n">
        <x:v>557.2625002702753</x:v>
      </x:c>
      <x:c r="E1019" s="81"/>
      <x:c r="F1019" s="80"/>
    </x:row>
    <x:row r="1020">
      <x:c r="A1020" s="78"/>
      <x:c r="B1020" s="79" t="str">
        <x:v>16:00-20:00</x:v>
      </x:c>
      <x:c r="C1020" s="80" t="n">
        <x:v>377.77266716024894</x:v>
      </x:c>
      <x:c r="D1020" s="80" t="n">
        <x:v>5443.541766958176</x:v>
      </x:c>
      <x:c r="E1020" s="81"/>
      <x:c r="F1020" s="80"/>
    </x:row>
    <x:row r="1021">
      <x:c r="A1021" s="98"/>
      <x:c r="B1021" s="99" t="str">
        <x:v>20:00-24:00</x:v>
      </x:c>
      <x:c r="C1021" s="100" t="n">
        <x:v>5472.281386675346</x:v>
      </x:c>
      <x:c r="D1021" s="100" t="n">
        <x:v>2640.009409705016</x:v>
      </x:c>
      <x:c r="E1021" s="101"/>
      <x:c r="F1021" s="100"/>
    </x:row>
    <x:row r="1022">
      <x:c r="A1022" s="102" t="n">
        <x:v>45859</x:v>
      </x:c>
      <x:c r="B1022" s="103" t="str">
        <x:v>0:00-4:00</x:v>
      </x:c>
      <x:c r="C1022" s="104" t="n">
        <x:v>1819.6603161892363</x:v>
      </x:c>
      <x:c r="D1022" s="104" t="n">
        <x:v>912.0928123697914</x:v>
      </x:c>
      <x:c r="E1022" s="105" t="str">
        <x:v>0:00</x:v>
      </x:c>
      <x:c r="F1022" s="104" t="n">
        <x:v>6032.29172999566</x:v>
      </x:c>
    </x:row>
    <x:row r="1023">
      <x:c r="A1023" s="78"/>
      <x:c r="B1023" s="79" t="str">
        <x:v>4:00-8:00</x:v>
      </x:c>
      <x:c r="C1023" s="80" t="n">
        <x:v>4763.822895006713</x:v>
      </x:c>
      <x:c r="D1023" s="80" t="n">
        <x:v>5240.920609284616</x:v>
      </x:c>
      <x:c r="E1023" s="81" t="str">
        <x:v>24:00</x:v>
      </x:c>
      <x:c r="F1023" s="80" t="n">
        <x:v>6203.526725019531</x:v>
      </x:c>
    </x:row>
    <x:row r="1024">
      <x:c r="A1024" s="78"/>
      <x:c r="B1024" s="79" t="str">
        <x:v>8:00-12:00</x:v>
      </x:c>
      <x:c r="C1024" s="80" t="n">
        <x:v>4196.386527460688</x:v>
      </x:c>
      <x:c r="D1024" s="80" t="n">
        <x:v>2068.8478999999998</x:v>
      </x:c>
      <x:c r="E1024" s="81"/>
      <x:c r="F1024" s="80"/>
    </x:row>
    <x:row r="1025">
      <x:c r="A1025" s="78"/>
      <x:c r="B1025" s="79" t="str">
        <x:v>12:00-16:00</x:v>
      </x:c>
      <x:c r="C1025" s="80" t="n">
        <x:v>3956.103731718981</x:v>
      </x:c>
      <x:c r="D1025" s="80" t="n">
        <x:v>834.8239286516242</x:v>
      </x:c>
      <x:c r="E1025" s="81"/>
      <x:c r="F1025" s="80"/>
    </x:row>
    <x:row r="1026">
      <x:c r="A1026" s="78"/>
      <x:c r="B1026" s="79" t="str">
        <x:v>16:00-20:00</x:v>
      </x:c>
      <x:c r="C1026" s="80" t="n">
        <x:v>103.36403427436574</x:v>
      </x:c>
      <x:c r="D1026" s="80" t="n">
        <x:v>6279.7490563118</x:v>
      </x:c>
      <x:c r="E1026" s="81"/>
      <x:c r="F1026" s="80"/>
    </x:row>
    <x:row r="1027">
      <x:c r="A1027" s="98"/>
      <x:c r="B1027" s="99" t="str">
        <x:v>20:00-24:00</x:v>
      </x:c>
      <x:c r="C1027" s="100" t="n">
        <x:v>5593.771064386413</x:v>
      </x:c>
      <x:c r="D1027" s="100" t="n">
        <x:v>1060.272138780163</x:v>
      </x:c>
      <x:c r="E1027" s="101"/>
      <x:c r="F1027" s="100"/>
    </x:row>
    <x:row r="1028">
      <x:c r="A1028" s="102" t="n">
        <x:v>45860</x:v>
      </x:c>
      <x:c r="B1028" s="103" t="str">
        <x:v>0:00-4:00</x:v>
      </x:c>
      <x:c r="C1028" s="104" t="n">
        <x:v>2219.3468529947913</x:v>
      </x:c>
      <x:c r="D1028" s="104" t="n">
        <x:v>292.5870121093751</x:v>
      </x:c>
      <x:c r="E1028" s="105" t="str">
        <x:v>0:00</x:v>
      </x:c>
      <x:c r="F1028" s="104" t="n">
        <x:v>6203.526725019531</x:v>
      </x:c>
    </x:row>
    <x:row r="1029">
      <x:c r="A1029" s="78"/>
      <x:c r="B1029" s="79" t="str">
        <x:v>4:00-8:00</x:v>
      </x:c>
      <x:c r="C1029" s="80" t="n">
        <x:v>3294.765114410475</x:v>
      </x:c>
      <x:c r="D1029" s="80" t="n">
        <x:v>5093.155598425386</x:v>
      </x:c>
      <x:c r="E1029" s="81" t="str">
        <x:v>24:00</x:v>
      </x:c>
      <x:c r="F1029" s="80" t="n">
        <x:v>6069.594715857972</x:v>
      </x:c>
    </x:row>
    <x:row r="1030">
      <x:c r="A1030" s="78"/>
      <x:c r="B1030" s="79" t="str">
        <x:v>8:00-12:00</x:v>
      </x:c>
      <x:c r="C1030" s="80" t="n">
        <x:v>3614.0780715657716</x:v>
      </x:c>
      <x:c r="D1030" s="80" t="n">
        <x:v>1504.9361499999995</x:v>
      </x:c>
      <x:c r="E1030" s="81"/>
      <x:c r="F1030" s="80"/>
    </x:row>
    <x:row r="1031">
      <x:c r="A1031" s="78"/>
      <x:c r="B1031" s="79" t="str">
        <x:v>12:00-16:00</x:v>
      </x:c>
      <x:c r="C1031" s="80" t="n">
        <x:v>4135.613866111197</x:v>
      </x:c>
      <x:c r="D1031" s="80" t="n">
        <x:v>1220.0988526846882</x:v>
      </x:c>
      <x:c r="E1031" s="81"/>
      <x:c r="F1031" s="80"/>
    </x:row>
    <x:row r="1032">
      <x:c r="A1032" s="78"/>
      <x:c r="B1032" s="79" t="str">
        <x:v>16:00-20:00</x:v>
      </x:c>
      <x:c r="C1032" s="80" t="n">
        <x:v>225.2138215816707</x:v>
      </x:c>
      <x:c r="D1032" s="80" t="n">
        <x:v>5613.020622221318</x:v>
      </x:c>
      <x:c r="E1032" s="81"/>
      <x:c r="F1032" s="80"/>
    </x:row>
    <x:row r="1033">
      <x:c r="A1033" s="98"/>
      <x:c r="B1033" s="99" t="str">
        <x:v>20:00-24:00</x:v>
      </x:c>
      <x:c r="C1033" s="100" t="n">
        <x:v>5456.059857097962</x:v>
      </x:c>
      <x:c r="D1033" s="100" t="n">
        <x:v>1742.2534156517504</x:v>
      </x:c>
      <x:c r="E1033" s="101"/>
      <x:c r="F1033" s="100"/>
    </x:row>
    <x:row r="1034">
      <x:c r="A1034" s="102" t="n">
        <x:v>45861</x:v>
      </x:c>
      <x:c r="B1034" s="103" t="str">
        <x:v>0:00-4:00</x:v>
      </x:c>
      <x:c r="C1034" s="104" t="n">
        <x:v>2151.9487517578123</x:v>
      </x:c>
      <x:c r="D1034" s="104" t="n">
        <x:v>110.31292278645856</x:v>
      </x:c>
      <x:c r="E1034" s="105" t="str">
        <x:v>0:00</x:v>
      </x:c>
      <x:c r="F1034" s="104" t="n">
        <x:v>6069.594715857972</x:v>
      </x:c>
    </x:row>
    <x:row r="1035">
      <x:c r="A1035" s="78"/>
      <x:c r="B1035" s="79" t="str">
        <x:v>4:00-8:00</x:v>
      </x:c>
      <x:c r="C1035" s="80" t="n">
        <x:v>3240.2459130746365</x:v>
      </x:c>
      <x:c r="D1035" s="80" t="n">
        <x:v>5016.300506010647</x:v>
      </x:c>
      <x:c r="E1035" s="81" t="str">
        <x:v>24:00</x:v>
      </x:c>
      <x:c r="F1035" s="80" t="n">
        <x:v>6045.508274782262</x:v>
      </x:c>
    </x:row>
    <x:row r="1036">
      <x:c r="A1036" s="78"/>
      <x:c r="B1036" s="79" t="str">
        <x:v>8:00-12:00</x:v>
      </x:c>
      <x:c r="C1036" s="80" t="n">
        <x:v>3755.282225626633</x:v>
      </x:c>
      <x:c r="D1036" s="80" t="n">
        <x:v>2012.1121666666666</x:v>
      </x:c>
      <x:c r="E1036" s="81"/>
      <x:c r="F1036" s="80"/>
    </x:row>
    <x:row r="1037">
      <x:c r="A1037" s="78"/>
      <x:c r="B1037" s="79" t="str">
        <x:v>12:00-16:00</x:v>
      </x:c>
      <x:c r="C1037" s="80" t="n">
        <x:v>4919.572091831224</x:v>
      </x:c>
      <x:c r="D1037" s="80" t="n">
        <x:v>1406.4396791333802</x:v>
      </x:c>
      <x:c r="E1037" s="81"/>
      <x:c r="F1037" s="80"/>
    </x:row>
    <x:row r="1038">
      <x:c r="A1038" s="78"/>
      <x:c r="B1038" s="79" t="str">
        <x:v>16:00-20:00</x:v>
      </x:c>
      <x:c r="C1038" s="80" t="n">
        <x:v>22.82912631294755</x:v>
      </x:c>
      <x:c r="D1038" s="80" t="n">
        <x:v>5938.469234742784</x:v>
      </x:c>
      <x:c r="E1038" s="81"/>
      <x:c r="F1038" s="80"/>
    </x:row>
    <x:row r="1039">
      <x:c r="A1039" s="98"/>
      <x:c r="B1039" s="99" t="str">
        <x:v>20:00-24:00</x:v>
      </x:c>
      <x:c r="C1039" s="100" t="n">
        <x:v>5434.091834698913</x:v>
      </x:c>
      <x:c r="D1039" s="100" t="n">
        <x:v>1352.4589417029601</x:v>
      </x:c>
      <x:c r="E1039" s="101"/>
      <x:c r="F1039" s="100"/>
    </x:row>
    <x:row r="1040">
      <x:c r="A1040" s="102" t="n">
        <x:v>45862</x:v>
      </x:c>
      <x:c r="B1040" s="103" t="str">
        <x:v>0:00-4:00</x:v>
      </x:c>
      <x:c r="C1040" s="104" t="n">
        <x:v>1346.49238474714</x:v>
      </x:c>
      <x:c r="D1040" s="104" t="n">
        <x:v>155.44416406250025</x:v>
      </x:c>
      <x:c r="E1040" s="105" t="str">
        <x:v>0:00</x:v>
      </x:c>
      <x:c r="F1040" s="104" t="n">
        <x:v>6045.508274782262</x:v>
      </x:c>
    </x:row>
    <x:row r="1041">
      <x:c r="A1041" s="78"/>
      <x:c r="B1041" s="79" t="str">
        <x:v>4:00-8:00</x:v>
      </x:c>
      <x:c r="C1041" s="80" t="n">
        <x:v>4228.501410815736</x:v>
      </x:c>
      <x:c r="D1041" s="80" t="n">
        <x:v>5259.878746924152</x:v>
      </x:c>
      <x:c r="E1041" s="81" t="str">
        <x:v>24:00</x:v>
      </x:c>
      <x:c r="F1041" s="80" t="n">
        <x:v>6338.885943603877</x:v>
      </x:c>
    </x:row>
    <x:row r="1042">
      <x:c r="A1042" s="78"/>
      <x:c r="B1042" s="79" t="str">
        <x:v>8:00-12:00</x:v>
      </x:c>
      <x:c r="C1042" s="80" t="n">
        <x:v>5689.704966666666</x:v>
      </x:c>
      <x:c r="D1042" s="80" t="n">
        <x:v>1142.4290833333332</x:v>
      </x:c>
      <x:c r="E1042" s="81"/>
      <x:c r="F1042" s="80"/>
    </x:row>
    <x:row r="1043">
      <x:c r="A1043" s="78"/>
      <x:c r="B1043" s="79" t="str">
        <x:v>12:00-16:00</x:v>
      </x:c>
      <x:c r="C1043" s="80" t="n">
        <x:v>2690.7429282284525</x:v>
      </x:c>
      <x:c r="D1043" s="80" t="n">
        <x:v>1678.4145525764984</x:v>
      </x:c>
      <x:c r="E1043" s="81"/>
      <x:c r="F1043" s="80"/>
    </x:row>
    <x:row r="1044">
      <x:c r="A1044" s="78"/>
      <x:c r="B1044" s="79" t="str">
        <x:v>16:00-20:00</x:v>
      </x:c>
      <x:c r="C1044" s="80" t="n">
        <x:v>217.97579539938886</x:v>
      </x:c>
      <x:c r="D1044" s="80" t="n">
        <x:v>5983.321643204959</x:v>
      </x:c>
      <x:c r="E1044" s="81"/>
      <x:c r="F1044" s="80"/>
    </x:row>
    <x:row r="1045">
      <x:c r="A1045" s="98"/>
      <x:c r="B1045" s="99" t="str">
        <x:v>20:00-24:00</x:v>
      </x:c>
      <x:c r="C1045" s="100" t="n">
        <x:v>5753.169230772569</x:v>
      </x:c>
      <x:c r="D1045" s="100" t="n">
        <x:v>1657.0071484293685</x:v>
      </x:c>
      <x:c r="E1045" s="101"/>
      <x:c r="F1045" s="100"/>
    </x:row>
    <x:row r="1046">
      <x:c r="A1046" s="102" t="n">
        <x:v>45863</x:v>
      </x:c>
      <x:c r="B1046" s="103" t="str">
        <x:v>0:00-4:00</x:v>
      </x:c>
      <x:c r="C1046" s="104" t="n">
        <x:v>348.94675292968725</x:v>
      </x:c>
      <x:c r="D1046" s="104" t="n">
        <x:v>3058.257938087625</x:v>
      </x:c>
      <x:c r="E1046" s="105" t="str">
        <x:v>0:00</x:v>
      </x:c>
      <x:c r="F1046" s="104" t="n">
        <x:v>6338.885943603877</x:v>
      </x:c>
    </x:row>
    <x:row r="1047">
      <x:c r="A1047" s="78"/>
      <x:c r="B1047" s="79" t="str">
        <x:v>4:00-8:00</x:v>
      </x:c>
      <x:c r="C1047" s="80" t="n">
        <x:v>1067.494282554252</x:v>
      </x:c>
      <x:c r="D1047" s="80" t="n">
        <x:v>2020.4821181979653</x:v>
      </x:c>
      <x:c r="E1047" s="81" t="str">
        <x:v>24:00</x:v>
      </x:c>
      <x:c r="F1047" s="80" t="n">
        <x:v>6012.716873908421</x:v>
      </x:c>
    </x:row>
    <x:row r="1048">
      <x:c r="A1048" s="78"/>
      <x:c r="B1048" s="79" t="str">
        <x:v>8:00-12:00</x:v>
      </x:c>
      <x:c r="C1048" s="80" t="n">
        <x:v>9810.401812716183</x:v>
      </x:c>
      <x:c r="D1048" s="80" t="n">
        <x:v>0</x:v>
      </x:c>
      <x:c r="E1048" s="81"/>
      <x:c r="F1048" s="80"/>
    </x:row>
    <x:row r="1049">
      <x:c r="A1049" s="78"/>
      <x:c r="B1049" s="79" t="str">
        <x:v>12:00-16:00</x:v>
      </x:c>
      <x:c r="C1049" s="80" t="n">
        <x:v>0</x:v>
      </x:c>
      <x:c r="D1049" s="80" t="n">
        <x:v>0</x:v>
      </x:c>
      <x:c r="E1049" s="81"/>
      <x:c r="F1049" s="80"/>
    </x:row>
    <x:row r="1050">
      <x:c r="A1050" s="78"/>
      <x:c r="B1050" s="79" t="str">
        <x:v>16:00-20:00</x:v>
      </x:c>
      <x:c r="C1050" s="80" t="n">
        <x:v>0</x:v>
      </x:c>
      <x:c r="D1050" s="80" t="n">
        <x:v>5443.930188968018</x:v>
      </x:c>
      <x:c r="E1050" s="81"/>
      <x:c r="F1050" s="80"/>
    </x:row>
    <x:row r="1051">
      <x:c r="A1051" s="98"/>
      <x:c r="B1051" s="99" t="str">
        <x:v>20:00-24:00</x:v>
      </x:c>
      <x:c r="C1051" s="100" t="n">
        <x:v>5478.582952537455</x:v>
      </x:c>
      <x:c r="D1051" s="100" t="n">
        <x:v>3302.2768160697433</x:v>
      </x:c>
      <x:c r="E1051" s="101"/>
      <x:c r="F1051" s="100"/>
    </x:row>
    <x:row r="1052">
      <x:c r="A1052" s="102" t="n">
        <x:v>45864</x:v>
      </x:c>
      <x:c r="B1052" s="103" t="str">
        <x:v>0:00-4:00</x:v>
      </x:c>
      <x:c r="C1052" s="104" t="n">
        <x:v>1070.4925103515625</x:v>
      </x:c>
      <x:c r="D1052" s="104" t="n">
        <x:v>4123.6967284483435</x:v>
      </x:c>
      <x:c r="E1052" s="105" t="str">
        <x:v>0:00</x:v>
      </x:c>
      <x:c r="F1052" s="104" t="n">
        <x:v>6012.716873908421</x:v>
      </x:c>
    </x:row>
    <x:row r="1053">
      <x:c r="A1053" s="78"/>
      <x:c r="B1053" s="79" t="str">
        <x:v>4:00-8:00</x:v>
      </x:c>
      <x:c r="C1053" s="80" t="n">
        <x:v>1351.1569342633968</x:v>
      </x:c>
      <x:c r="D1053" s="80" t="n">
        <x:v>1793.500684690195</x:v>
      </x:c>
      <x:c r="E1053" s="81" t="str">
        <x:v>24:00</x:v>
      </x:c>
      <x:c r="F1053" s="80" t="n">
        <x:v>5956.687226456162</x:v>
      </x:c>
    </x:row>
    <x:row r="1054">
      <x:c r="A1054" s="78"/>
      <x:c r="B1054" s="79" t="str">
        <x:v>8:00-12:00</x:v>
      </x:c>
      <x:c r="C1054" s="80" t="n">
        <x:v>10202.736020349192</x:v>
      </x:c>
      <x:c r="D1054" s="80" t="n">
        <x:v>0</x:v>
      </x:c>
      <x:c r="E1054" s="81"/>
      <x:c r="F1054" s="80"/>
    </x:row>
    <x:row r="1055">
      <x:c r="A1055" s="78"/>
      <x:c r="B1055" s="79" t="str">
        <x:v>12:00-16:00</x:v>
      </x:c>
      <x:c r="C1055" s="80" t="n">
        <x:v>0</x:v>
      </x:c>
      <x:c r="D1055" s="80" t="n">
        <x:v>12.984902074294041</x:v>
      </x:c>
      <x:c r="E1055" s="81"/>
      <x:c r="F1055" s="80"/>
    </x:row>
    <x:row r="1056">
      <x:c r="A1056" s="78"/>
      <x:c r="B1056" s="79" t="str">
        <x:v>16:00-20:00</x:v>
      </x:c>
      <x:c r="C1056" s="80" t="n">
        <x:v>72.58976743317757</x:v>
      </x:c>
      <x:c r="D1056" s="80" t="n">
        <x:v>5324.777868998688</x:v>
      </x:c>
      <x:c r="E1056" s="81"/>
      <x:c r="F1056" s="80"/>
    </x:row>
    <x:row r="1057">
      <x:c r="A1057" s="98"/>
      <x:c r="B1057" s="99" t="str">
        <x:v>20:00-24:00</x:v>
      </x:c>
      <x:c r="C1057" s="100" t="n">
        <x:v>6238.787810894901</x:v>
      </x:c>
      <x:c r="D1057" s="100" t="n">
        <x:v>4133.434563562217</x:v>
      </x:c>
      <x:c r="E1057" s="101"/>
      <x:c r="F1057" s="100"/>
    </x:row>
    <x:row r="1058">
      <x:c r="A1058" s="102" t="n">
        <x:v>45865</x:v>
      </x:c>
      <x:c r="B1058" s="103" t="str">
        <x:v>0:00-4:00</x:v>
      </x:c>
      <x:c r="C1058" s="104" t="n">
        <x:v>1134.5248308593752</x:v>
      </x:c>
      <x:c r="D1058" s="104" t="n">
        <x:v>396.12334941406243</x:v>
      </x:c>
      <x:c r="E1058" s="105" t="str">
        <x:v>0:00</x:v>
      </x:c>
      <x:c r="F1058" s="104" t="n">
        <x:v>5956.687226456162</x:v>
      </x:c>
    </x:row>
    <x:row r="1059">
      <x:c r="A1059" s="78"/>
      <x:c r="B1059" s="79" t="str">
        <x:v>4:00-8:00</x:v>
      </x:c>
      <x:c r="C1059" s="80" t="n">
        <x:v>4308.715900076214</x:v>
      </x:c>
      <x:c r="D1059" s="80" t="n">
        <x:v>6433.682313605457</x:v>
      </x:c>
      <x:c r="E1059" s="81" t="str">
        <x:v>24:00</x:v>
      </x:c>
      <x:c r="F1059" s="80" t="n">
        <x:v>6150.383772479746</x:v>
      </x:c>
    </x:row>
    <x:row r="1060">
      <x:c r="A1060" s="78"/>
      <x:c r="B1060" s="79" t="str">
        <x:v>8:00-12:00</x:v>
      </x:c>
      <x:c r="C1060" s="80" t="n">
        <x:v>5014.990157253045</x:v>
      </x:c>
      <x:c r="D1060" s="80" t="n">
        <x:v>1860.2378328488505</x:v>
      </x:c>
      <x:c r="E1060" s="81"/>
      <x:c r="F1060" s="80"/>
    </x:row>
    <x:row r="1061">
      <x:c r="A1061" s="78"/>
      <x:c r="B1061" s="79" t="str">
        <x:v>12:00-16:00</x:v>
      </x:c>
      <x:c r="C1061" s="80" t="n">
        <x:v>4895.901491039246</x:v>
      </x:c>
      <x:c r="D1061" s="80" t="n">
        <x:v>1013.7375747167689</x:v>
      </x:c>
      <x:c r="E1061" s="81"/>
      <x:c r="F1061" s="80"/>
    </x:row>
    <x:row r="1062">
      <x:c r="A1062" s="78"/>
      <x:c r="B1062" s="79" t="str">
        <x:v>16:00-20:00</x:v>
      </x:c>
      <x:c r="C1062" s="80" t="n">
        <x:v>186.2520657282315</x:v>
      </x:c>
      <x:c r="D1062" s="80" t="n">
        <x:v>5637.250404349812</x:v>
      </x:c>
      <x:c r="E1062" s="81"/>
      <x:c r="F1062" s="80"/>
    </x:row>
    <x:row r="1063">
      <x:c r="A1063" s="98"/>
      <x:c r="B1063" s="99" t="str">
        <x:v>20:00-24:00</x:v>
      </x:c>
      <x:c r="C1063" s="100" t="n">
        <x:v>5544.574839310057</x:v>
      </x:c>
      <x:c r="D1063" s="100" t="n">
        <x:v>1563.4586538994197</x:v>
      </x:c>
      <x:c r="E1063" s="101"/>
      <x:c r="F1063" s="100"/>
    </x:row>
    <x:row r="1064">
      <x:c r="A1064" s="102" t="n">
        <x:v>45866</x:v>
      </x:c>
      <x:c r="B1064" s="103" t="str">
        <x:v>0:00-4:00</x:v>
      </x:c>
      <x:c r="C1064" s="104" t="n">
        <x:v>2073.9720808593756</x:v>
      </x:c>
      <x:c r="D1064" s="104" t="n">
        <x:v>913.238395703125</x:v>
      </x:c>
      <x:c r="E1064" s="105" t="str">
        <x:v>0:00</x:v>
      </x:c>
      <x:c r="F1064" s="104" t="n">
        <x:v>6150.383772479746</x:v>
      </x:c>
    </x:row>
    <x:row r="1065">
      <x:c r="A1065" s="78"/>
      <x:c r="B1065" s="79" t="str">
        <x:v>4:00-8:00</x:v>
      </x:c>
      <x:c r="C1065" s="80" t="n">
        <x:v>4274.114513449314</x:v>
      </x:c>
      <x:c r="D1065" s="80" t="n">
        <x:v>5301.7026041301115</x:v>
      </x:c>
      <x:c r="E1065" s="81" t="str">
        <x:v>24:00</x:v>
      </x:c>
      <x:c r="F1065" s="80" t="n">
        <x:v>6038.614579381509</x:v>
      </x:c>
    </x:row>
    <x:row r="1066">
      <x:c r="A1066" s="78"/>
      <x:c r="B1066" s="79" t="str">
        <x:v>8:00-12:00</x:v>
      </x:c>
      <x:c r="C1066" s="80" t="n">
        <x:v>3632.652478191819</x:v>
      </x:c>
      <x:c r="D1066" s="80" t="n">
        <x:v>3060.1901666666663</x:v>
      </x:c>
      <x:c r="E1066" s="81"/>
      <x:c r="F1066" s="80"/>
    </x:row>
    <x:row r="1067">
      <x:c r="A1067" s="78"/>
      <x:c r="B1067" s="79" t="str">
        <x:v>12:00-16:00</x:v>
      </x:c>
      <x:c r="C1067" s="80" t="n">
        <x:v>2815.7730103159274</x:v>
      </x:c>
      <x:c r="D1067" s="80" t="n">
        <x:v>1127.5892425770892</x:v>
      </x:c>
      <x:c r="E1067" s="81"/>
      <x:c r="F1067" s="80"/>
    </x:row>
    <x:row r="1068">
      <x:c r="A1068" s="78"/>
      <x:c r="B1068" s="79" t="str">
        <x:v>16:00-20:00</x:v>
      </x:c>
      <x:c r="C1068" s="80" t="n">
        <x:v>119.20183277340823</x:v>
      </x:c>
      <x:c r="D1068" s="80" t="n">
        <x:v>4514.353257782553</x:v>
      </x:c>
      <x:c r="E1068" s="81"/>
      <x:c r="F1068" s="80"/>
    </x:row>
    <x:row r="1069">
      <x:c r="A1069" s="98"/>
      <x:c r="B1069" s="99" t="str">
        <x:v>20:00-24:00</x:v>
      </x:c>
      <x:c r="C1069" s="100" t="n">
        <x:v>5376.7590637353715</x:v>
      </x:c>
      <x:c r="D1069" s="100" t="n">
        <x:v>0.42172018229166497</x:v>
      </x:c>
      <x:c r="E1069" s="101"/>
      <x:c r="F1069" s="100"/>
    </x:row>
    <x:row r="1070">
      <x:c r="A1070" s="102" t="n">
        <x:v>45867</x:v>
      </x:c>
      <x:c r="B1070" s="103" t="str">
        <x:v>0:00-4:00</x:v>
      </x:c>
      <x:c r="C1070" s="104" t="n">
        <x:v>2462.006329897281</x:v>
      </x:c>
      <x:c r="D1070" s="104" t="n">
        <x:v>193.2694411458333</x:v>
      </x:c>
      <x:c r="E1070" s="105" t="str">
        <x:v>0:00</x:v>
      </x:c>
      <x:c r="F1070" s="104" t="n">
        <x:v>6038.614579381509</x:v>
      </x:c>
    </x:row>
    <x:row r="1071">
      <x:c r="A1071" s="78"/>
      <x:c r="B1071" s="79" t="str">
        <x:v>4:00-8:00</x:v>
      </x:c>
      <x:c r="C1071" s="80" t="n">
        <x:v>3145.1185212567034</x:v>
      </x:c>
      <x:c r="D1071" s="80" t="n">
        <x:v>4832.963430713634</x:v>
      </x:c>
      <x:c r="E1071" s="81" t="str">
        <x:v>24:00</x:v>
      </x:c>
      <x:c r="F1071" s="80" t="n">
        <x:v>6404.335263828847</x:v>
      </x:c>
    </x:row>
    <x:row r="1072">
      <x:c r="A1072" s="78"/>
      <x:c r="B1072" s="79" t="str">
        <x:v>8:00-12:00</x:v>
      </x:c>
      <x:c r="C1072" s="80" t="n">
        <x:v>3437.803322448282</x:v>
      </x:c>
      <x:c r="D1072" s="80" t="n">
        <x:v>2894.5639666666666</x:v>
      </x:c>
      <x:c r="E1072" s="81"/>
      <x:c r="F1072" s="80"/>
    </x:row>
    <x:row r="1073">
      <x:c r="A1073" s="78"/>
      <x:c r="B1073" s="79" t="str">
        <x:v>12:00-16:00</x:v>
      </x:c>
      <x:c r="C1073" s="80" t="n">
        <x:v>4560.489418065616</x:v>
      </x:c>
      <x:c r="D1073" s="80" t="n">
        <x:v>779.8290679227214</x:v>
      </x:c>
      <x:c r="E1073" s="81"/>
      <x:c r="F1073" s="80"/>
    </x:row>
    <x:row r="1074">
      <x:c r="A1074" s="78"/>
      <x:c r="B1074" s="79" t="str">
        <x:v>16:00-20:00</x:v>
      </x:c>
      <x:c r="C1074" s="80" t="n">
        <x:v>304.2205939293294</x:v>
      </x:c>
      <x:c r="D1074" s="80" t="n">
        <x:v>5972.891207907056</x:v>
      </x:c>
      <x:c r="E1074" s="81"/>
      <x:c r="F1074" s="80"/>
    </x:row>
    <x:row r="1075">
      <x:c r="A1075" s="98"/>
      <x:c r="B1075" s="99" t="str">
        <x:v>20:00-24:00</x:v>
      </x:c>
      <x:c r="C1075" s="100" t="n">
        <x:v>5813.097365866929</x:v>
      </x:c>
      <x:c r="D1075" s="100" t="n">
        <x:v>972.7500663274435</x:v>
      </x:c>
      <x:c r="E1075" s="101"/>
      <x:c r="F1075" s="100"/>
    </x:row>
    <x:row r="1076">
      <x:c r="A1076" s="102" t="n">
        <x:v>45868</x:v>
      </x:c>
      <x:c r="B1076" s="103" t="str">
        <x:v>0:00-4:00</x:v>
      </x:c>
      <x:c r="C1076" s="104" t="n">
        <x:v>2815.4707011718756</x:v>
      </x:c>
      <x:c r="D1076" s="104" t="n">
        <x:v>166.11591197916664</x:v>
      </x:c>
      <x:c r="E1076" s="105" t="str">
        <x:v>0:00</x:v>
      </x:c>
      <x:c r="F1076" s="104" t="n">
        <x:v>6404.335263828847</x:v>
      </x:c>
    </x:row>
    <x:row r="1077">
      <x:c r="A1077" s="78"/>
      <x:c r="B1077" s="79" t="str">
        <x:v>4:00-8:00</x:v>
      </x:c>
      <x:c r="C1077" s="80" t="n">
        <x:v>2457.8166156112343</x:v>
      </x:c>
      <x:c r="D1077" s="80" t="n">
        <x:v>4988.577037418853</x:v>
      </x:c>
      <x:c r="E1077" s="81" t="str">
        <x:v>24:00</x:v>
      </x:c>
      <x:c r="F1077" s="80" t="n">
        <x:v>6198.409206070602</x:v>
      </x:c>
    </x:row>
    <x:row r="1078">
      <x:c r="A1078" s="78"/>
      <x:c r="B1078" s="79" t="str">
        <x:v>8:00-12:00</x:v>
      </x:c>
      <x:c r="C1078" s="80" t="n">
        <x:v>4554.600745220154</x:v>
      </x:c>
      <x:c r="D1078" s="80" t="n">
        <x:v>2727.8983166666662</x:v>
      </x:c>
      <x:c r="E1078" s="81"/>
      <x:c r="F1078" s="80"/>
    </x:row>
    <x:row r="1079">
      <x:c r="A1079" s="78"/>
      <x:c r="B1079" s="79" t="str">
        <x:v>12:00-16:00</x:v>
      </x:c>
      <x:c r="C1079" s="80" t="n">
        <x:v>5139.983207896399</x:v>
      </x:c>
      <x:c r="D1079" s="80" t="n">
        <x:v>717.4318554802314</x:v>
      </x:c>
      <x:c r="E1079" s="81"/>
      <x:c r="F1079" s="80"/>
    </x:row>
    <x:row r="1080">
      <x:c r="A1080" s="78"/>
      <x:c r="B1080" s="79" t="str">
        <x:v>16:00-20:00</x:v>
      </x:c>
      <x:c r="C1080" s="80" t="n">
        <x:v>88.54851889695146</x:v>
      </x:c>
      <x:c r="D1080" s="80" t="n">
        <x:v>5646.145351760304</x:v>
      </x:c>
      <x:c r="E1080" s="81"/>
      <x:c r="F1080" s="80"/>
    </x:row>
    <x:row r="1081">
      <x:c r="A1081" s="98"/>
      <x:c r="B1081" s="99" t="str">
        <x:v>20:00-24:00</x:v>
      </x:c>
      <x:c r="C1081" s="100" t="n">
        <x:v>5566.390007693543</x:v>
      </x:c>
      <x:c r="D1081" s="100" t="n">
        <x:v>2643.6409138342215</x:v>
      </x:c>
      <x:c r="E1081" s="101"/>
      <x:c r="F1081" s="100"/>
    </x:row>
    <x:row r="1082">
      <x:c r="A1082" s="102" t="n">
        <x:v>45869</x:v>
      </x:c>
      <x:c r="B1082" s="103" t="str">
        <x:v>0:00-4:00</x:v>
      </x:c>
      <x:c r="C1082" s="104" t="n">
        <x:v>1730.4480280205123</x:v>
      </x:c>
      <x:c r="D1082" s="104" t="n">
        <x:v>176.31672031250014</x:v>
      </x:c>
      <x:c r="E1082" s="105" t="str">
        <x:v>0:00</x:v>
      </x:c>
      <x:c r="F1082" s="104" t="n">
        <x:v>6198.409206070602</x:v>
      </x:c>
    </x:row>
    <x:row r="1083">
      <x:c r="A1083" s="78"/>
      <x:c r="B1083" s="79" t="str">
        <x:v>4:00-8:00</x:v>
      </x:c>
      <x:c r="C1083" s="80" t="n">
        <x:v>3805.403584699706</x:v>
      </x:c>
      <x:c r="D1083" s="80" t="n">
        <x:v>4547.92847791064</x:v>
      </x:c>
      <x:c r="E1083" s="81" t="str">
        <x:v>24:00</x:v>
      </x:c>
      <x:c r="F1083" s="80" t="n">
        <x:v>6199.711147361111</x:v>
      </x:c>
    </x:row>
    <x:row r="1084">
      <x:c r="A1084" s="78"/>
      <x:c r="B1084" s="79" t="str">
        <x:v>8:00-12:00</x:v>
      </x:c>
      <x:c r="C1084" s="80" t="n">
        <x:v>4988.806858828712</x:v>
      </x:c>
      <x:c r="D1084" s="80" t="n">
        <x:v>2697.5916499999994</x:v>
      </x:c>
      <x:c r="E1084" s="81"/>
      <x:c r="F1084" s="80"/>
    </x:row>
    <x:row r="1085">
      <x:c r="A1085" s="78"/>
      <x:c r="B1085" s="79" t="str">
        <x:v>12:00-16:00</x:v>
      </x:c>
      <x:c r="C1085" s="80" t="n">
        <x:v>4306.370963259784</x:v>
      </x:c>
      <x:c r="D1085" s="80" t="n">
        <x:v>1238.7828860120458</x:v>
      </x:c>
      <x:c r="E1085" s="81"/>
      <x:c r="F1085" s="80"/>
    </x:row>
    <x:row r="1086">
      <x:c r="A1086" s="78"/>
      <x:c r="B1086" s="79" t="str">
        <x:v>16:00-20:00</x:v>
      </x:c>
      <x:c r="C1086" s="80" t="n">
        <x:v>182.3413628997422</x:v>
      </x:c>
      <x:c r="D1086" s="80" t="n">
        <x:v>5948.88715981235</x:v>
      </x:c>
      <x:c r="E1086" s="81"/>
      <x:c r="F1086" s="80"/>
    </x:row>
    <x:row r="1087">
      <x:c r="A1087" s="98"/>
      <x:c r="B1087" s="99" t="str">
        <x:v>20:00-24:00</x:v>
      </x:c>
      <x:c r="C1087" s="100" t="n">
        <x:v>5595.429338278034</x:v>
      </x:c>
      <x:c r="D1087" s="100" t="n">
        <x:v>2082.4494689400576</x:v>
      </x:c>
      <x:c r="E1087" s="101"/>
      <x:c r="F1087" s="100"/>
    </x:row>
    <x:row r="1088">
      <x:c r="A1088" s="102" t="n">
        <x:v>45870</x:v>
      </x:c>
      <x:c r="B1088" s="103" t="str">
        <x:v>0:00-4:00</x:v>
      </x:c>
      <x:c r="C1088" s="104" t="n">
        <x:v>105.68995104166675</x:v>
      </x:c>
      <x:c r="D1088" s="104" t="n">
        <x:v>4179.081022411683</x:v>
      </x:c>
      <x:c r="E1088" s="105" t="str">
        <x:v>0:00</x:v>
      </x:c>
      <x:c r="F1088" s="104" t="n">
        <x:v>6199.711147361111</x:v>
      </x:c>
    </x:row>
    <x:row r="1089">
      <x:c r="A1089" s="78"/>
      <x:c r="B1089" s="79" t="str">
        <x:v>4:00-8:00</x:v>
      </x:c>
      <x:c r="C1089" s="80" t="n">
        <x:v>2245.6707576879135</x:v>
      </x:c>
      <x:c r="D1089" s="80" t="n">
        <x:v>1433.7572911950492</x:v>
      </x:c>
      <x:c r="E1089" s="81" t="str">
        <x:v>24:00</x:v>
      </x:c>
      <x:c r="F1089" s="80" t="n">
        <x:v>5900.548565395688</x:v>
      </x:c>
    </x:row>
    <x:row r="1090">
      <x:c r="A1090" s="78"/>
      <x:c r="B1090" s="79" t="str">
        <x:v>8:00-12:00</x:v>
      </x:c>
      <x:c r="C1090" s="80" t="n">
        <x:v>9689.501366556506</x:v>
      </x:c>
      <x:c r="D1090" s="80" t="n">
        <x:v>0</x:v>
      </x:c>
      <x:c r="E1090" s="81"/>
      <x:c r="F1090" s="80"/>
    </x:row>
    <x:row r="1091">
      <x:c r="A1091" s="78"/>
      <x:c r="B1091" s="79" t="str">
        <x:v>12:00-16:00</x:v>
      </x:c>
      <x:c r="C1091" s="80" t="n">
        <x:v>0</x:v>
      </x:c>
      <x:c r="D1091" s="80" t="n">
        <x:v>0</x:v>
      </x:c>
      <x:c r="E1091" s="81"/>
      <x:c r="F1091" s="80"/>
    </x:row>
    <x:row r="1092">
      <x:c r="A1092" s="78"/>
      <x:c r="B1092" s="79" t="str">
        <x:v>16:00-20:00</x:v>
      </x:c>
      <x:c r="C1092" s="80" t="n">
        <x:v>47.902623808906014</x:v>
      </x:c>
      <x:c r="D1092" s="80" t="n">
        <x:v>5562.426341612521</x:v>
      </x:c>
      <x:c r="E1092" s="81"/>
      <x:c r="F1092" s="80"/>
    </x:row>
    <x:row r="1093">
      <x:c r="A1093" s="98"/>
      <x:c r="B1093" s="99" t="str">
        <x:v>20:00-24:00</x:v>
      </x:c>
      <x:c r="C1093" s="100" t="n">
        <x:v>5485.011884165219</x:v>
      </x:c>
      <x:c r="D1093" s="100" t="n">
        <x:v>3328.7407009904027</x:v>
      </x:c>
      <x:c r="E1093" s="101"/>
      <x:c r="F1093" s="100"/>
    </x:row>
    <x:row r="1094">
      <x:c r="A1094" s="102" t="n">
        <x:v>45871</x:v>
      </x:c>
      <x:c r="B1094" s="103" t="str">
        <x:v>0:00-4:00</x:v>
      </x:c>
      <x:c r="C1094" s="104" t="n">
        <x:v>407.1862167968751</x:v>
      </x:c>
      <x:c r="D1094" s="104" t="n">
        <x:v>3185.5352556377165</x:v>
      </x:c>
      <x:c r="E1094" s="105" t="str">
        <x:v>0:00</x:v>
      </x:c>
      <x:c r="F1094" s="104" t="n">
        <x:v>5900.548565395688</x:v>
      </x:c>
    </x:row>
    <x:row r="1095">
      <x:c r="A1095" s="78"/>
      <x:c r="B1095" s="79" t="str">
        <x:v>4:00-8:00</x:v>
      </x:c>
      <x:c r="C1095" s="80" t="n">
        <x:v>1423.8514230928577</x:v>
      </x:c>
      <x:c r="D1095" s="80" t="n">
        <x:v>1421.9603166666666</x:v>
      </x:c>
      <x:c r="E1095" s="81" t="str">
        <x:v>24:00</x:v>
      </x:c>
      <x:c r="F1095" s="80" t="n">
        <x:v>6052.863520183738</x:v>
      </x:c>
    </x:row>
    <x:row r="1096">
      <x:c r="A1096" s="78"/>
      <x:c r="B1096" s="79" t="str">
        <x:v>8:00-12:00</x:v>
      </x:c>
      <x:c r="C1096" s="80" t="n">
        <x:v>9301.06342609578</x:v>
      </x:c>
      <x:c r="D1096" s="80" t="n">
        <x:v>0</x:v>
      </x:c>
      <x:c r="E1096" s="81"/>
      <x:c r="F1096" s="80"/>
    </x:row>
    <x:row r="1097">
      <x:c r="A1097" s="78"/>
      <x:c r="B1097" s="79" t="str">
        <x:v>12:00-16:00</x:v>
      </x:c>
      <x:c r="C1097" s="80" t="n">
        <x:v>9.562948229336136</x:v>
      </x:c>
      <x:c r="D1097" s="80" t="n">
        <x:v>35.227666666666664</x:v>
      </x:c>
      <x:c r="E1097" s="81"/>
      <x:c r="F1097" s="80"/>
    </x:row>
    <x:row r="1098">
      <x:c r="A1098" s="78"/>
      <x:c r="B1098" s="79" t="str">
        <x:v>16:00-20:00</x:v>
      </x:c>
      <x:c r="C1098" s="80" t="n">
        <x:v>33.92799827271944</x:v>
      </x:c>
      <x:c r="D1098" s="80" t="n">
        <x:v>5267.105088219321</x:v>
      </x:c>
      <x:c r="E1098" s="81"/>
      <x:c r="F1098" s="80"/>
    </x:row>
    <x:row r="1099">
      <x:c r="A1099" s="98"/>
      <x:c r="B1099" s="99" t="str">
        <x:v>20:00-24:00</x:v>
      </x:c>
      <x:c r="C1099" s="100" t="n">
        <x:v>6489.361313578639</x:v>
      </x:c>
      <x:c r="D1099" s="100" t="n">
        <x:v>4261.700407614013</x:v>
      </x:c>
      <x:c r="E1099" s="101"/>
      <x:c r="F1099" s="100"/>
    </x:row>
    <x:row r="1100">
      <x:c r="A1100" s="102" t="n">
        <x:v>45872</x:v>
      </x:c>
      <x:c r="B1100" s="103" t="str">
        <x:v>0:00-4:00</x:v>
      </x:c>
      <x:c r="C1100" s="104" t="n">
        <x:v>734.8037440232777</x:v>
      </x:c>
      <x:c r="D1100" s="104" t="n">
        <x:v>154.84104973958358</x:v>
      </x:c>
      <x:c r="E1100" s="105" t="str">
        <x:v>0:00</x:v>
      </x:c>
      <x:c r="F1100" s="104" t="n">
        <x:v>6052.863520183738</x:v>
      </x:c>
    </x:row>
    <x:row r="1101">
      <x:c r="A1101" s="78"/>
      <x:c r="B1101" s="79" t="str">
        <x:v>4:00-8:00</x:v>
      </x:c>
      <x:c r="C1101" s="80" t="n">
        <x:v>4818.749462614</x:v>
      </x:c>
      <x:c r="D1101" s="80" t="n">
        <x:v>5321.0372377022595</x:v>
      </x:c>
      <x:c r="E1101" s="81" t="str">
        <x:v>24:00</x:v>
      </x:c>
      <x:c r="F1101" s="80" t="n">
        <x:v>5716.732472355324</x:v>
      </x:c>
    </x:row>
    <x:row r="1102">
      <x:c r="A1102" s="78"/>
      <x:c r="B1102" s="79" t="str">
        <x:v>8:00-12:00</x:v>
      </x:c>
      <x:c r="C1102" s="80" t="n">
        <x:v>6357.3921624901295</x:v>
      </x:c>
      <x:c r="D1102" s="80" t="n">
        <x:v>844.3478333333334</x:v>
      </x:c>
      <x:c r="E1102" s="81"/>
      <x:c r="F1102" s="80"/>
    </x:row>
    <x:row r="1103">
      <x:c r="A1103" s="78"/>
      <x:c r="B1103" s="79" t="str">
        <x:v>12:00-16:00</x:v>
      </x:c>
      <x:c r="C1103" s="80" t="n">
        <x:v>1166.3990168106343</x:v>
      </x:c>
      <x:c r="D1103" s="80" t="n">
        <x:v>0</x:v>
      </x:c>
      <x:c r="E1103" s="81"/>
      <x:c r="F1103" s="80"/>
    </x:row>
    <x:row r="1104">
      <x:c r="A1104" s="78"/>
      <x:c r="B1104" s="79" t="str">
        <x:v>16:00-20:00</x:v>
      </x:c>
      <x:c r="C1104" s="80" t="n">
        <x:v>16.292548031566792</x:v>
      </x:c>
      <x:c r="D1104" s="80" t="n">
        <x:v>5673.867936654624</x:v>
      </x:c>
      <x:c r="E1104" s="81"/>
      <x:c r="F1104" s="80"/>
    </x:row>
    <x:row r="1105">
      <x:c r="A1105" s="98"/>
      <x:c r="B1105" s="99" t="str">
        <x:v>20:00-24:00</x:v>
      </x:c>
      <x:c r="C1105" s="100" t="n">
        <x:v>5186.290159612911</x:v>
      </x:c>
      <x:c r="D1105" s="100" t="n">
        <x:v>3115.164831417612</x:v>
      </x:c>
      <x:c r="E1105" s="101"/>
      <x:c r="F1105" s="100"/>
    </x:row>
    <x:row r="1106">
      <x:c r="A1106" s="102" t="n">
        <x:v>45873</x:v>
      </x:c>
      <x:c r="B1106" s="103" t="str">
        <x:v>0:00-4:00</x:v>
      </x:c>
      <x:c r="C1106" s="104" t="n">
        <x:v>1987.0181318359373</x:v>
      </x:c>
      <x:c r="D1106" s="104" t="n">
        <x:v>181.5021778645836</x:v>
      </x:c>
      <x:c r="E1106" s="105" t="str">
        <x:v>0:00</x:v>
      </x:c>
      <x:c r="F1106" s="104" t="n">
        <x:v>5716.732472355324</x:v>
      </x:c>
    </x:row>
    <x:row r="1107">
      <x:c r="A1107" s="78"/>
      <x:c r="B1107" s="79" t="str">
        <x:v>4:00-8:00</x:v>
      </x:c>
      <x:c r="C1107" s="80" t="n">
        <x:v>3925.6428482161077</x:v>
      </x:c>
      <x:c r="D1107" s="80" t="n">
        <x:v>5195.749314058324</x:v>
      </x:c>
      <x:c r="E1107" s="81" t="str">
        <x:v>24:00</x:v>
      </x:c>
      <x:c r="F1107" s="80" t="n">
        <x:v>5909.796840011574</x:v>
      </x:c>
    </x:row>
    <x:row r="1108">
      <x:c r="A1108" s="78"/>
      <x:c r="B1108" s="79" t="str">
        <x:v>8:00-12:00</x:v>
      </x:c>
      <x:c r="C1108" s="80" t="n">
        <x:v>5336.325284319736</x:v>
      </x:c>
      <x:c r="D1108" s="80" t="n">
        <x:v>940.3756666666667</x:v>
      </x:c>
      <x:c r="E1108" s="81"/>
      <x:c r="F1108" s="80"/>
    </x:row>
    <x:row r="1109">
      <x:c r="A1109" s="78"/>
      <x:c r="B1109" s="79" t="str">
        <x:v>12:00-16:00</x:v>
      </x:c>
      <x:c r="C1109" s="80" t="n">
        <x:v>2206.0906699530506</x:v>
      </x:c>
      <x:c r="D1109" s="80" t="n">
        <x:v>107.27654627323972</x:v>
      </x:c>
      <x:c r="E1109" s="81"/>
      <x:c r="F1109" s="80"/>
    </x:row>
    <x:row r="1110">
      <x:c r="A1110" s="78"/>
      <x:c r="B1110" s="79" t="str">
        <x:v>16:00-20:00</x:v>
      </x:c>
      <x:c r="C1110" s="80" t="n">
        <x:v>132.99502672301617</x:v>
      </x:c>
      <x:c r="D1110" s="80" t="n">
        <x:v>5590.94301363852</x:v>
      </x:c>
      <x:c r="E1110" s="81"/>
      <x:c r="F1110" s="80"/>
    </x:row>
    <x:row r="1111">
      <x:c r="A1111" s="98"/>
      <x:c r="B1111" s="99" t="str">
        <x:v>20:00-24:00</x:v>
      </x:c>
      <x:c r="C1111" s="100" t="n">
        <x:v>5270.63669074074</x:v>
      </x:c>
      <x:c r="D1111" s="100" t="n">
        <x:v>3085.9493585567943</x:v>
      </x:c>
      <x:c r="E1111" s="101"/>
      <x:c r="F1111" s="100"/>
    </x:row>
    <x:row r="1112">
      <x:c r="A1112" s="102" t="n">
        <x:v>45874</x:v>
      </x:c>
      <x:c r="B1112" s="103" t="str">
        <x:v>0:00-4:00</x:v>
      </x:c>
      <x:c r="C1112" s="104" t="n">
        <x:v>1956.1151244791663</x:v>
      </x:c>
      <x:c r="D1112" s="104" t="n">
        <x:v>968.0636035156252</x:v>
      </x:c>
      <x:c r="E1112" s="105" t="str">
        <x:v>0:00</x:v>
      </x:c>
      <x:c r="F1112" s="104" t="n">
        <x:v>5909.796840011574</x:v>
      </x:c>
    </x:row>
    <x:row r="1113">
      <x:c r="A1113" s="78"/>
      <x:c r="B1113" s="79" t="str">
        <x:v>4:00-8:00</x:v>
      </x:c>
      <x:c r="C1113" s="80" t="n">
        <x:v>4762.041868172397</x:v>
      </x:c>
      <x:c r="D1113" s="80" t="n">
        <x:v>5193.035436921649</x:v>
      </x:c>
      <x:c r="E1113" s="81" t="str">
        <x:v>24:00</x:v>
      </x:c>
      <x:c r="F1113" s="80" t="n">
        <x:v>6147.150703196509</x:v>
      </x:c>
    </x:row>
    <x:row r="1114">
      <x:c r="A1114" s="78"/>
      <x:c r="B1114" s="79" t="str">
        <x:v>8:00-12:00</x:v>
      </x:c>
      <x:c r="C1114" s="80" t="n">
        <x:v>3805.738763859238</x:v>
      </x:c>
      <x:c r="D1114" s="80" t="n">
        <x:v>1338.1039833333332</x:v>
      </x:c>
      <x:c r="E1114" s="81"/>
      <x:c r="F1114" s="80"/>
    </x:row>
    <x:row r="1115">
      <x:c r="A1115" s="78"/>
      <x:c r="B1115" s="79" t="str">
        <x:v>12:00-16:00</x:v>
      </x:c>
      <x:c r="C1115" s="80" t="n">
        <x:v>4242.20118578062</x:v>
      </x:c>
      <x:c r="D1115" s="80" t="n">
        <x:v>60.15265549585957</x:v>
      </x:c>
      <x:c r="E1115" s="81"/>
      <x:c r="F1115" s="80"/>
    </x:row>
    <x:row r="1116">
      <x:c r="A1116" s="78"/>
      <x:c r="B1116" s="79" t="str">
        <x:v>16:00-20:00</x:v>
      </x:c>
      <x:c r="C1116" s="80" t="n">
        <x:v>20.338832598420897</x:v>
      </x:c>
      <x:c r="D1116" s="80" t="n">
        <x:v>5450.485900536033</x:v>
      </x:c>
      <x:c r="E1116" s="81"/>
      <x:c r="F1116" s="80"/>
    </x:row>
    <x:row r="1117">
      <x:c r="A1117" s="98"/>
      <x:c r="B1117" s="99" t="str">
        <x:v>20:00-24:00</x:v>
      </x:c>
      <x:c r="C1117" s="100" t="n">
        <x:v>5416.676194256364</x:v>
      </x:c>
      <x:c r="D1117" s="100" t="n">
        <x:v>3141.060638339485</x:v>
      </x:c>
      <x:c r="E1117" s="101"/>
      <x:c r="F1117" s="100"/>
    </x:row>
    <x:row r="1118">
      <x:c r="A1118" s="102" t="n">
        <x:v>45875</x:v>
      </x:c>
      <x:c r="B1118" s="103" t="str">
        <x:v>0:00-4:00</x:v>
      </x:c>
      <x:c r="C1118" s="104" t="n">
        <x:v>1371.200951483045</x:v>
      </x:c>
      <x:c r="D1118" s="104" t="n">
        <x:v>231.3126703124998</x:v>
      </x:c>
      <x:c r="E1118" s="105" t="str">
        <x:v>0:00</x:v>
      </x:c>
      <x:c r="F1118" s="104" t="n">
        <x:v>6147.150703196509</x:v>
      </x:c>
    </x:row>
    <x:row r="1119">
      <x:c r="A1119" s="78"/>
      <x:c r="B1119" s="79" t="str">
        <x:v>4:00-8:00</x:v>
      </x:c>
      <x:c r="C1119" s="80" t="n">
        <x:v>4113.832407569846</x:v>
      </x:c>
      <x:c r="D1119" s="80" t="n">
        <x:v>5029.541519841932</x:v>
      </x:c>
      <x:c r="E1119" s="81" t="str">
        <x:v>24:00</x:v>
      </x:c>
      <x:c r="F1119" s="80" t="n">
        <x:v>5880.173958247974</x:v>
      </x:c>
    </x:row>
    <x:row r="1120">
      <x:c r="A1120" s="78"/>
      <x:c r="B1120" s="79" t="str">
        <x:v>8:00-12:00</x:v>
      </x:c>
      <x:c r="C1120" s="80" t="n">
        <x:v>4301.922283333333</x:v>
      </x:c>
      <x:c r="D1120" s="80" t="n">
        <x:v>1218.9787333333334</x:v>
      </x:c>
      <x:c r="E1120" s="81"/>
      <x:c r="F1120" s="80"/>
    </x:row>
    <x:row r="1121">
      <x:c r="A1121" s="78"/>
      <x:c r="B1121" s="79" t="str">
        <x:v>12:00-16:00</x:v>
      </x:c>
      <x:c r="C1121" s="80" t="n">
        <x:v>3382.670642318595</x:v>
      </x:c>
      <x:c r="D1121" s="80" t="n">
        <x:v>1772.8350911785517</x:v>
      </x:c>
      <x:c r="E1121" s="81"/>
      <x:c r="F1121" s="80"/>
    </x:row>
    <x:row r="1122">
      <x:c r="A1122" s="78"/>
      <x:c r="B1122" s="79" t="str">
        <x:v>16:00-20:00</x:v>
      </x:c>
      <x:c r="C1122" s="80" t="n">
        <x:v>123.02997321926114</x:v>
      </x:c>
      <x:c r="D1122" s="80" t="n">
        <x:v>5578.7527503219735</x:v>
      </x:c>
      <x:c r="E1122" s="81"/>
      <x:c r="F1122" s="80"/>
    </x:row>
    <x:row r="1123">
      <x:c r="A1123" s="98"/>
      <x:c r="B1123" s="99" t="str">
        <x:v>20:00-24:00</x:v>
      </x:c>
      <x:c r="C1123" s="100" t="n">
        <x:v>5308.3397038741</x:v>
      </x:c>
      <x:c r="D1123" s="100" t="n">
        <x:v>1475.6650345219155</x:v>
      </x:c>
      <x:c r="E1123" s="101"/>
      <x:c r="F1123" s="100"/>
    </x:row>
    <x:row r="1124">
      <x:c r="A1124" s="102" t="n">
        <x:v>45876</x:v>
      </x:c>
      <x:c r="B1124" s="103" t="str">
        <x:v>0:00-4:00</x:v>
      </x:c>
      <x:c r="C1124" s="104" t="n">
        <x:v>2338.287655115098</x:v>
      </x:c>
      <x:c r="D1124" s="104" t="n">
        <x:v>385.83921874999976</x:v>
      </x:c>
      <x:c r="E1124" s="105" t="str">
        <x:v>0:00</x:v>
      </x:c>
      <x:c r="F1124" s="104" t="n">
        <x:v>5880.173958247974</x:v>
      </x:c>
    </x:row>
    <x:row r="1125">
      <x:c r="A1125" s="78"/>
      <x:c r="B1125" s="79" t="str">
        <x:v>4:00-8:00</x:v>
      </x:c>
      <x:c r="C1125" s="80" t="n">
        <x:v>3399.666547607426</x:v>
      </x:c>
      <x:c r="D1125" s="80" t="n">
        <x:v>5711.018038557227</x:v>
      </x:c>
      <x:c r="E1125" s="81" t="str">
        <x:v>24:00</x:v>
      </x:c>
      <x:c r="F1125" s="80" t="n">
        <x:v>5894.94199837963</x:v>
      </x:c>
    </x:row>
    <x:row r="1126">
      <x:c r="A1126" s="78"/>
      <x:c r="B1126" s="79" t="str">
        <x:v>8:00-12:00</x:v>
      </x:c>
      <x:c r="C1126" s="80" t="n">
        <x:v>5178.275027346577</x:v>
      </x:c>
      <x:c r="D1126" s="80" t="n">
        <x:v>1111.0658</x:v>
      </x:c>
      <x:c r="E1126" s="81"/>
      <x:c r="F1126" s="80"/>
    </x:row>
    <x:row r="1127">
      <x:c r="A1127" s="78"/>
      <x:c r="B1127" s="79" t="str">
        <x:v>12:00-16:00</x:v>
      </x:c>
      <x:c r="C1127" s="80" t="n">
        <x:v>3473.6011957136698</x:v>
      </x:c>
      <x:c r="D1127" s="80" t="n">
        <x:v>20.821585218543078</x:v>
      </x:c>
      <x:c r="E1127" s="81"/>
      <x:c r="F1127" s="80"/>
    </x:row>
    <x:row r="1128">
      <x:c r="A1128" s="78"/>
      <x:c r="B1128" s="79" t="str">
        <x:v>16:00-20:00</x:v>
      </x:c>
      <x:c r="C1128" s="80" t="n">
        <x:v>99.68248772116364</x:v>
      </x:c>
      <x:c r="D1128" s="80" t="n">
        <x:v>5690.016815301547</x:v>
      </x:c>
      <x:c r="E1128" s="81"/>
      <x:c r="F1128" s="80"/>
    </x:row>
    <x:row r="1129">
      <x:c r="A1129" s="98"/>
      <x:c r="B1129" s="99" t="str">
        <x:v>20:00-24:00</x:v>
      </x:c>
      <x:c r="C1129" s="100" t="n">
        <x:v>5440.380962705761</x:v>
      </x:c>
      <x:c r="D1129" s="100" t="n">
        <x:v>3211.1613457840544</x:v>
      </x:c>
      <x:c r="E1129" s="101"/>
      <x:c r="F1129" s="100"/>
    </x:row>
    <x:row r="1130">
      <x:c r="A1130" s="102" t="n">
        <x:v>45877</x:v>
      </x:c>
      <x:c r="B1130" s="103" t="str">
        <x:v>0:00-4:00</x:v>
      </x:c>
      <x:c r="C1130" s="104" t="n">
        <x:v>447.73365240885386</x:v>
      </x:c>
      <x:c r="D1130" s="104" t="n">
        <x:v>3826.44499033811</x:v>
      </x:c>
      <x:c r="E1130" s="105" t="str">
        <x:v>0:00</x:v>
      </x:c>
      <x:c r="F1130" s="104" t="n">
        <x:v>5894.94199837963</x:v>
      </x:c>
    </x:row>
    <x:row r="1131">
      <x:c r="A1131" s="78"/>
      <x:c r="B1131" s="79" t="str">
        <x:v>4:00-8:00</x:v>
      </x:c>
      <x:c r="C1131" s="80" t="n">
        <x:v>2386.528509637826</x:v>
      </x:c>
      <x:c r="D1131" s="80" t="n">
        <x:v>1790.6097491536457</x:v>
      </x:c>
      <x:c r="E1131" s="81" t="str">
        <x:v>24:00</x:v>
      </x:c>
      <x:c r="F1131" s="80" t="n">
        <x:v>5974.586900390562</x:v>
      </x:c>
    </x:row>
    <x:row r="1132">
      <x:c r="A1132" s="78"/>
      <x:c r="B1132" s="79" t="str">
        <x:v>8:00-12:00</x:v>
      </x:c>
      <x:c r="C1132" s="80" t="n">
        <x:v>9550.437765052196</x:v>
      </x:c>
      <x:c r="D1132" s="80" t="n">
        <x:v>0</x:v>
      </x:c>
      <x:c r="E1132" s="81"/>
      <x:c r="F1132" s="80"/>
    </x:row>
    <x:row r="1133">
      <x:c r="A1133" s="78"/>
      <x:c r="B1133" s="79" t="str">
        <x:v>12:00-16:00</x:v>
      </x:c>
      <x:c r="C1133" s="80" t="n">
        <x:v>0</x:v>
      </x:c>
      <x:c r="D1133" s="80" t="n">
        <x:v>0</x:v>
      </x:c>
      <x:c r="E1133" s="81"/>
      <x:c r="F1133" s="80"/>
    </x:row>
    <x:row r="1134">
      <x:c r="A1134" s="78"/>
      <x:c r="B1134" s="79" t="str">
        <x:v>16:00-20:00</x:v>
      </x:c>
      <x:c r="C1134" s="80" t="n">
        <x:v>119.3520128736601</x:v>
      </x:c>
      <x:c r="D1134" s="80" t="n">
        <x:v>5483.8880510830595</x:v>
      </x:c>
      <x:c r="E1134" s="81"/>
      <x:c r="F1134" s="80"/>
    </x:row>
    <x:row r="1135">
      <x:c r="A1135" s="98"/>
      <x:c r="B1135" s="99" t="str">
        <x:v>20:00-24:00</x:v>
      </x:c>
      <x:c r="C1135" s="100" t="n">
        <x:v>5429.01367207835</x:v>
      </x:c>
      <x:c r="D1135" s="100" t="n">
        <x:v>3353.159943376563</x:v>
      </x:c>
      <x:c r="E1135" s="101"/>
      <x:c r="F1135" s="100"/>
    </x:row>
    <x:row r="1136">
      <x:c r="A1136" s="102" t="n">
        <x:v>45878</x:v>
      </x:c>
      <x:c r="B1136" s="103" t="str">
        <x:v>0:00-4:00</x:v>
      </x:c>
      <x:c r="C1136" s="104" t="n">
        <x:v>301.85330338541655</x:v>
      </x:c>
      <x:c r="D1136" s="104" t="n">
        <x:v>4071.0877972656253</x:v>
      </x:c>
      <x:c r="E1136" s="105" t="str">
        <x:v>0:00</x:v>
      </x:c>
      <x:c r="F1136" s="104" t="n">
        <x:v>5974.586900390562</x:v>
      </x:c>
    </x:row>
    <x:row r="1137">
      <x:c r="A1137" s="78"/>
      <x:c r="B1137" s="79" t="str">
        <x:v>4:00-8:00</x:v>
      </x:c>
      <x:c r="C1137" s="80" t="n">
        <x:v>2782.352569675433</x:v>
      </x:c>
      <x:c r="D1137" s="80" t="n">
        <x:v>2169.536656225932</x:v>
      </x:c>
      <x:c r="E1137" s="81" t="str">
        <x:v>24:00</x:v>
      </x:c>
      <x:c r="F1137" s="80" t="n">
        <x:v>5914.228114110242</x:v>
      </x:c>
    </x:row>
    <x:row r="1138">
      <x:c r="A1138" s="78"/>
      <x:c r="B1138" s="79" t="str">
        <x:v>8:00-12:00</x:v>
      </x:c>
      <x:c r="C1138" s="80" t="n">
        <x:v>9981.838871556496</x:v>
      </x:c>
      <x:c r="D1138" s="80" t="n">
        <x:v>0</x:v>
      </x:c>
      <x:c r="E1138" s="81"/>
      <x:c r="F1138" s="80"/>
    </x:row>
    <x:row r="1139">
      <x:c r="A1139" s="78"/>
      <x:c r="B1139" s="79" t="str">
        <x:v>12:00-16:00</x:v>
      </x:c>
      <x:c r="C1139" s="80" t="n">
        <x:v>0</x:v>
      </x:c>
      <x:c r="D1139" s="80" t="n">
        <x:v>0</x:v>
      </x:c>
      <x:c r="E1139" s="81"/>
      <x:c r="F1139" s="80"/>
    </x:row>
    <x:row r="1140">
      <x:c r="A1140" s="78"/>
      <x:c r="B1140" s="79" t="str">
        <x:v>16:00-20:00</x:v>
      </x:c>
      <x:c r="C1140" s="80" t="n">
        <x:v>0</x:v>
      </x:c>
      <x:c r="D1140" s="80" t="n">
        <x:v>5679.11725403176</x:v>
      </x:c>
      <x:c r="E1140" s="81"/>
      <x:c r="F1140" s="80"/>
    </x:row>
    <x:row r="1141">
      <x:c r="A1141" s="98"/>
      <x:c r="B1141" s="99" t="str">
        <x:v>20:00-24:00</x:v>
      </x:c>
      <x:c r="C1141" s="100" t="n">
        <x:v>6288.70876370081</x:v>
      </x:c>
      <x:c r="D1141" s="100" t="n">
        <x:v>3811.9315418666756</x:v>
      </x:c>
      <x:c r="E1141" s="101"/>
      <x:c r="F1141" s="100"/>
    </x:row>
    <x:row r="1142">
      <x:c r="A1142" s="102" t="n">
        <x:v>45879</x:v>
      </x:c>
      <x:c r="B1142" s="103" t="str">
        <x:v>0:00-4:00</x:v>
      </x:c>
      <x:c r="C1142" s="104" t="n">
        <x:v>1237.3667632812499</x:v>
      </x:c>
      <x:c r="D1142" s="104" t="n">
        <x:v>172.68321119791665</x:v>
      </x:c>
      <x:c r="E1142" s="105" t="str">
        <x:v>0:00</x:v>
      </x:c>
      <x:c r="F1142" s="104" t="n">
        <x:v>5914.228114110242</x:v>
      </x:c>
    </x:row>
    <x:row r="1143">
      <x:c r="A1143" s="78"/>
      <x:c r="B1143" s="79" t="str">
        <x:v>4:00-8:00</x:v>
      </x:c>
      <x:c r="C1143" s="80" t="n">
        <x:v>2541.4217766024713</x:v>
      </x:c>
      <x:c r="D1143" s="80" t="n">
        <x:v>4973.207674690665</x:v>
      </x:c>
      <x:c r="E1143" s="81" t="str">
        <x:v>24:00</x:v>
      </x:c>
      <x:c r="F1143" s="80" t="n">
        <x:v>6033.967749100117</x:v>
      </x:c>
    </x:row>
    <x:row r="1144">
      <x:c r="A1144" s="78"/>
      <x:c r="B1144" s="79" t="str">
        <x:v>8:00-12:00</x:v>
      </x:c>
      <x:c r="C1144" s="80" t="n">
        <x:v>5380.876176408319</x:v>
      </x:c>
      <x:c r="D1144" s="80" t="n">
        <x:v>1090.8280000000002</x:v>
      </x:c>
      <x:c r="E1144" s="81"/>
      <x:c r="F1144" s="80"/>
    </x:row>
    <x:row r="1145">
      <x:c r="A1145" s="78"/>
      <x:c r="B1145" s="79" t="str">
        <x:v>12:00-16:00</x:v>
      </x:c>
      <x:c r="C1145" s="80" t="n">
        <x:v>3670.8341911440534</x:v>
      </x:c>
      <x:c r="D1145" s="80" t="n">
        <x:v>80.87093938102095</x:v>
      </x:c>
      <x:c r="E1145" s="81"/>
      <x:c r="F1145" s="80"/>
    </x:row>
    <x:row r="1146">
      <x:c r="A1146" s="78"/>
      <x:c r="B1146" s="79" t="str">
        <x:v>16:00-20:00</x:v>
      </x:c>
      <x:c r="C1146" s="80" t="n">
        <x:v>151.4013043576407</x:v>
      </x:c>
      <x:c r="D1146" s="80" t="n">
        <x:v>5739.190120508574</x:v>
      </x:c>
      <x:c r="E1146" s="81"/>
      <x:c r="F1146" s="80"/>
    </x:row>
    <x:row r="1147">
      <x:c r="A1147" s="98"/>
      <x:c r="B1147" s="99" t="str">
        <x:v>20:00-24:00</x:v>
      </x:c>
      <x:c r="C1147" s="100" t="n">
        <x:v>5442.540892454347</x:v>
      </x:c>
      <x:c r="D1147" s="100" t="n">
        <x:v>2759.251677171873</x:v>
      </x:c>
      <x:c r="E1147" s="101"/>
      <x:c r="F1147" s="100"/>
    </x:row>
    <x:row r="1148">
      <x:c r="A1148" s="102" t="n">
        <x:v>45880</x:v>
      </x:c>
      <x:c r="B1148" s="103" t="str">
        <x:v>0:00-4:00</x:v>
      </x:c>
      <x:c r="C1148" s="104" t="n">
        <x:v>3562.2891679592058</x:v>
      </x:c>
      <x:c r="D1148" s="104" t="n">
        <x:v>226.93772141927047</x:v>
      </x:c>
      <x:c r="E1148" s="105" t="str">
        <x:v>0:00</x:v>
      </x:c>
      <x:c r="F1148" s="104" t="n">
        <x:v>6033.967749100117</x:v>
      </x:c>
    </x:row>
    <x:row r="1149">
      <x:c r="A1149" s="78"/>
      <x:c r="B1149" s="79" t="str">
        <x:v>4:00-8:00</x:v>
      </x:c>
      <x:c r="C1149" s="80" t="n">
        <x:v>960.3094650072828</x:v>
      </x:c>
      <x:c r="D1149" s="80" t="n">
        <x:v>5500.491009308042</x:v>
      </x:c>
      <x:c r="E1149" s="81" t="str">
        <x:v>24:00</x:v>
      </x:c>
      <x:c r="F1149" s="80" t="n">
        <x:v>5991.624673712385</x:v>
      </x:c>
    </x:row>
    <x:row r="1150">
      <x:c r="A1150" s="78"/>
      <x:c r="B1150" s="79" t="str">
        <x:v>8:00-12:00</x:v>
      </x:c>
      <x:c r="C1150" s="80" t="n">
        <x:v>4648.034383333334</x:v>
      </x:c>
      <x:c r="D1150" s="80" t="n">
        <x:v>1596.6784000000002</x:v>
      </x:c>
      <x:c r="E1150" s="81"/>
      <x:c r="F1150" s="80"/>
    </x:row>
    <x:row r="1151">
      <x:c r="A1151" s="78"/>
      <x:c r="B1151" s="79" t="str">
        <x:v>12:00-16:00</x:v>
      </x:c>
      <x:c r="C1151" s="80" t="n">
        <x:v>4544.07483185341</x:v>
      </x:c>
      <x:c r="D1151" s="80" t="n">
        <x:v>260.6274149250503</x:v>
      </x:c>
      <x:c r="E1151" s="81"/>
      <x:c r="F1151" s="80"/>
    </x:row>
    <x:row r="1152">
      <x:c r="A1152" s="78"/>
      <x:c r="B1152" s="79" t="str">
        <x:v>16:00-20:00</x:v>
      </x:c>
      <x:c r="C1152" s="80" t="n">
        <x:v>286.92733882504507</x:v>
      </x:c>
      <x:c r="D1152" s="80" t="n">
        <x:v>5628.626658435673</x:v>
      </x:c>
      <x:c r="E1152" s="81"/>
      <x:c r="F1152" s="80"/>
    </x:row>
    <x:row r="1153">
      <x:c r="A1153" s="98"/>
      <x:c r="B1153" s="99" t="str">
        <x:v>20:00-24:00</x:v>
      </x:c>
      <x:c r="C1153" s="100" t="n">
        <x:v>5364.419280751671</x:v>
      </x:c>
      <x:c r="D1153" s="100" t="n">
        <x:v>2511.2516826221777</x:v>
      </x:c>
      <x:c r="E1153" s="101"/>
      <x:c r="F1153" s="100"/>
    </x:row>
    <x:row r="1154">
      <x:c r="A1154" s="102" t="n">
        <x:v>45881</x:v>
      </x:c>
      <x:c r="B1154" s="103" t="str">
        <x:v>0:00-4:00</x:v>
      </x:c>
      <x:c r="C1154" s="104" t="n">
        <x:v>596.3258290425267</x:v>
      </x:c>
      <x:c r="D1154" s="104" t="n">
        <x:v>247.46797024739544</x:v>
      </x:c>
      <x:c r="E1154" s="105" t="str">
        <x:v>0:00</x:v>
      </x:c>
      <x:c r="F1154" s="104" t="n">
        <x:v>5991.624673712385</x:v>
      </x:c>
    </x:row>
    <x:row r="1155">
      <x:c r="A1155" s="78"/>
      <x:c r="B1155" s="79" t="str">
        <x:v>4:00-8:00</x:v>
      </x:c>
      <x:c r="C1155" s="80" t="n">
        <x:v>4109.120683604847</x:v>
      </x:c>
      <x:c r="D1155" s="80" t="n">
        <x:v>5589.012846981028</x:v>
      </x:c>
      <x:c r="E1155" s="81" t="str">
        <x:v>24:00</x:v>
      </x:c>
      <x:c r="F1155" s="80" t="n">
        <x:v>6041.346625737848</x:v>
      </x:c>
    </x:row>
    <x:row r="1156">
      <x:c r="A1156" s="78"/>
      <x:c r="B1156" s="79" t="str">
        <x:v>8:00-12:00</x:v>
      </x:c>
      <x:c r="C1156" s="80" t="n">
        <x:v>2858.596316666666</x:v>
      </x:c>
      <x:c r="D1156" s="80" t="n">
        <x:v>949.4101666666668</x:v>
      </x:c>
      <x:c r="E1156" s="81"/>
      <x:c r="F1156" s="80"/>
    </x:row>
    <x:row r="1157">
      <x:c r="A1157" s="78"/>
      <x:c r="B1157" s="79" t="str">
        <x:v>12:00-16:00</x:v>
      </x:c>
      <x:c r="C1157" s="80" t="n">
        <x:v>4146.62155</x:v>
      </x:c>
      <x:c r="D1157" s="80" t="n">
        <x:v>767.1298304499453</x:v>
      </x:c>
      <x:c r="E1157" s="81"/>
      <x:c r="F1157" s="80"/>
    </x:row>
    <x:row r="1158">
      <x:c r="A1158" s="78"/>
      <x:c r="B1158" s="79" t="str">
        <x:v>16:00-20:00</x:v>
      </x:c>
      <x:c r="C1158" s="80" t="n">
        <x:v>51.17294325870557</x:v>
      </x:c>
      <x:c r="D1158" s="80" t="n">
        <x:v>6236.512601506842</x:v>
      </x:c>
      <x:c r="E1158" s="81"/>
      <x:c r="F1158" s="80"/>
    </x:row>
    <x:row r="1159">
      <x:c r="A1159" s="98"/>
      <x:c r="B1159" s="99" t="str">
        <x:v>20:00-24:00</x:v>
      </x:c>
      <x:c r="C1159" s="100" t="n">
        <x:v>5493.064617074973</x:v>
      </x:c>
      <x:c r="D1159" s="100" t="n">
        <x:v>142.187398439864</x:v>
      </x:c>
      <x:c r="E1159" s="101"/>
      <x:c r="F1159" s="100"/>
    </x:row>
    <x:row r="1160">
      <x:c r="A1160" s="102" t="n">
        <x:v>45882</x:v>
      </x:c>
      <x:c r="B1160" s="103" t="str">
        <x:v>0:00-4:00</x:v>
      </x:c>
      <x:c r="C1160" s="104" t="n">
        <x:v>332.57245930989586</x:v>
      </x:c>
      <x:c r="D1160" s="104" t="n">
        <x:v>303.50432200520834</x:v>
      </x:c>
      <x:c r="E1160" s="105" t="str">
        <x:v>0:00</x:v>
      </x:c>
      <x:c r="F1160" s="104" t="n">
        <x:v>6041.346625737848</x:v>
      </x:c>
    </x:row>
    <x:row r="1161">
      <x:c r="A1161" s="78"/>
      <x:c r="B1161" s="79" t="str">
        <x:v>4:00-8:00</x:v>
      </x:c>
      <x:c r="C1161" s="80" t="n">
        <x:v>3268.0835332361225</x:v>
      </x:c>
      <x:c r="D1161" s="80" t="n">
        <x:v>5293.184941902568</x:v>
      </x:c>
      <x:c r="E1161" s="81" t="str">
        <x:v>24:00</x:v>
      </x:c>
      <x:c r="F1161" s="80" t="n">
        <x:v>6049.192622713727</x:v>
      </x:c>
    </x:row>
    <x:row r="1162">
      <x:c r="A1162" s="78"/>
      <x:c r="B1162" s="79" t="str">
        <x:v>8:00-12:00</x:v>
      </x:c>
      <x:c r="C1162" s="80" t="n">
        <x:v>3154.1717498463586</x:v>
      </x:c>
      <x:c r="D1162" s="80" t="n">
        <x:v>1041.2793666666666</x:v>
      </x:c>
      <x:c r="E1162" s="81"/>
      <x:c r="F1162" s="80"/>
    </x:row>
    <x:row r="1163">
      <x:c r="A1163" s="78"/>
      <x:c r="B1163" s="79" t="str">
        <x:v>12:00-16:00</x:v>
      </x:c>
      <x:c r="C1163" s="80" t="n">
        <x:v>4926.504141321404</x:v>
      </x:c>
      <x:c r="D1163" s="80" t="n">
        <x:v>80.3731000000001</x:v>
      </x:c>
      <x:c r="E1163" s="81"/>
      <x:c r="F1163" s="80"/>
    </x:row>
    <x:row r="1164">
      <x:c r="A1164" s="78"/>
      <x:c r="B1164" s="79" t="str">
        <x:v>16:00-20:00</x:v>
      </x:c>
      <x:c r="C1164" s="80" t="n">
        <x:v>420.76766622336936</x:v>
      </x:c>
      <x:c r="D1164" s="80" t="n">
        <x:v>5242.591475003329</x:v>
      </x:c>
      <x:c r="E1164" s="81"/>
      <x:c r="F1164" s="80"/>
    </x:row>
    <x:row r="1165">
      <x:c r="A1165" s="98"/>
      <x:c r="B1165" s="99" t="str">
        <x:v>20:00-24:00</x:v>
      </x:c>
      <x:c r="C1165" s="100" t="n">
        <x:v>5441.40344903067</x:v>
      </x:c>
      <x:c r="D1165" s="100" t="n">
        <x:v>2242.2428263078723</x:v>
      </x:c>
      <x:c r="E1165" s="101"/>
      <x:c r="F1165" s="100"/>
    </x:row>
    <x:row r="1166">
      <x:c r="A1166" s="102" t="n">
        <x:v>45883</x:v>
      </x:c>
      <x:c r="B1166" s="103" t="str">
        <x:v>0:00-4:00</x:v>
      </x:c>
      <x:c r="C1166" s="104" t="n">
        <x:v>1889.4411045572913</x:v>
      </x:c>
      <x:c r="D1166" s="104" t="n">
        <x:v>913.0831401734719</x:v>
      </x:c>
      <x:c r="E1166" s="105" t="str">
        <x:v>0:00</x:v>
      </x:c>
      <x:c r="F1166" s="104" t="n">
        <x:v>6049.192622713727</x:v>
      </x:c>
    </x:row>
    <x:row r="1167">
      <x:c r="A1167" s="78"/>
      <x:c r="B1167" s="79" t="str">
        <x:v>4:00-8:00</x:v>
      </x:c>
      <x:c r="C1167" s="80" t="n">
        <x:v>2683.5684779637886</x:v>
      </x:c>
      <x:c r="D1167" s="80" t="n">
        <x:v>6045.1196593396</x:v>
      </x:c>
      <x:c r="E1167" s="81" t="str">
        <x:v>24:00</x:v>
      </x:c>
      <x:c r="F1167" s="80" t="n">
        <x:v>6059.402410489004</x:v>
      </x:c>
    </x:row>
    <x:row r="1168">
      <x:c r="A1168" s="78"/>
      <x:c r="B1168" s="79" t="str">
        <x:v>8:00-12:00</x:v>
      </x:c>
      <x:c r="C1168" s="80" t="n">
        <x:v>4548.627233333333</x:v>
      </x:c>
      <x:c r="D1168" s="80" t="n">
        <x:v>1110.208322771358</x:v>
      </x:c>
      <x:c r="E1168" s="81"/>
      <x:c r="F1168" s="80"/>
    </x:row>
    <x:row r="1169">
      <x:c r="A1169" s="78"/>
      <x:c r="B1169" s="79" t="str">
        <x:v>12:00-16:00</x:v>
      </x:c>
      <x:c r="C1169" s="80" t="n">
        <x:v>5381.639316930712</x:v>
      </x:c>
      <x:c r="D1169" s="80" t="n">
        <x:v>0</x:v>
      </x:c>
      <x:c r="E1169" s="81"/>
      <x:c r="F1169" s="80"/>
    </x:row>
    <x:row r="1170">
      <x:c r="A1170" s="78"/>
      <x:c r="B1170" s="79" t="str">
        <x:v>16:00-20:00</x:v>
      </x:c>
      <x:c r="C1170" s="80" t="n">
        <x:v>91.87811441783515</x:v>
      </x:c>
      <x:c r="D1170" s="80" t="n">
        <x:v>5866.124973269618</x:v>
      </x:c>
      <x:c r="E1170" s="81"/>
      <x:c r="F1170" s="80"/>
    </x:row>
    <x:row r="1171">
      <x:c r="A1171" s="98"/>
      <x:c r="B1171" s="99" t="str">
        <x:v>20:00-24:00</x:v>
      </x:c>
      <x:c r="C1171" s="100" t="n">
        <x:v>5481.296913949974</x:v>
      </x:c>
      <x:c r="D1171" s="100" t="n">
        <x:v>2318.2005359820855</x:v>
      </x:c>
      <x:c r="E1171" s="101"/>
      <x:c r="F1171" s="100"/>
    </x:row>
    <x:row r="1172">
      <x:c r="A1172" s="102" t="n">
        <x:v>45884</x:v>
      </x:c>
      <x:c r="B1172" s="103" t="str">
        <x:v>0:00-4:00</x:v>
      </x:c>
      <x:c r="C1172" s="104" t="n">
        <x:v>341.16997988281247</x:v>
      </x:c>
      <x:c r="D1172" s="104" t="n">
        <x:v>3360.070304908037</x:v>
      </x:c>
      <x:c r="E1172" s="105" t="str">
        <x:v>0:00</x:v>
      </x:c>
      <x:c r="F1172" s="104" t="n">
        <x:v>6059.402410489004</x:v>
      </x:c>
    </x:row>
    <x:row r="1173">
      <x:c r="A1173" s="78"/>
      <x:c r="B1173" s="79" t="str">
        <x:v>4:00-8:00</x:v>
      </x:c>
      <x:c r="C1173" s="80" t="n">
        <x:v>1302.451276342425</x:v>
      </x:c>
      <x:c r="D1173" s="80" t="n">
        <x:v>2018.2826755745098</x:v>
      </x:c>
      <x:c r="E1173" s="81" t="str">
        <x:v>24:00</x:v>
      </x:c>
      <x:c r="F1173" s="80" t="n">
        <x:v>5831.350714905961</x:v>
      </x:c>
    </x:row>
    <x:row r="1174">
      <x:c r="A1174" s="78"/>
      <x:c r="B1174" s="79" t="str">
        <x:v>8:00-12:00</x:v>
      </x:c>
      <x:c r="C1174" s="80" t="n">
        <x:v>10263.65135</x:v>
      </x:c>
      <x:c r="D1174" s="80" t="n">
        <x:v>0</x:v>
      </x:c>
      <x:c r="E1174" s="81"/>
      <x:c r="F1174" s="80"/>
    </x:row>
    <x:row r="1175">
      <x:c r="A1175" s="78"/>
      <x:c r="B1175" s="79" t="str">
        <x:v>12:00-16:00</x:v>
      </x:c>
      <x:c r="C1175" s="80" t="n">
        <x:v>0</x:v>
      </x:c>
      <x:c r="D1175" s="80" t="n">
        <x:v>0</x:v>
      </x:c>
      <x:c r="E1175" s="81"/>
      <x:c r="F1175" s="80"/>
    </x:row>
    <x:row r="1176">
      <x:c r="A1176" s="78"/>
      <x:c r="B1176" s="79" t="str">
        <x:v>16:00-20:00</x:v>
      </x:c>
      <x:c r="C1176" s="80" t="n">
        <x:v>206.95656991283488</x:v>
      </x:c>
      <x:c r="D1176" s="80" t="n">
        <x:v>5442.097090861054</x:v>
      </x:c>
      <x:c r="E1176" s="81"/>
      <x:c r="F1176" s="80"/>
    </x:row>
    <x:row r="1177">
      <x:c r="A1177" s="98"/>
      <x:c r="B1177" s="99" t="str">
        <x:v>20:00-24:00</x:v>
      </x:c>
      <x:c r="C1177" s="100" t="n">
        <x:v>5248.217513025655</x:v>
      </x:c>
      <x:c r="D1177" s="100" t="n">
        <x:v>3448.3782729037603</x:v>
      </x:c>
      <x:c r="E1177" s="101"/>
      <x:c r="F1177" s="100"/>
    </x:row>
    <x:row r="1178">
      <x:c r="A1178" s="102" t="n">
        <x:v>45885</x:v>
      </x:c>
      <x:c r="B1178" s="103" t="str">
        <x:v>0:00-4:00</x:v>
      </x:c>
      <x:c r="C1178" s="104" t="n">
        <x:v>232.3791127071239</x:v>
      </x:c>
      <x:c r="D1178" s="104" t="n">
        <x:v>3626.0814375651034</x:v>
      </x:c>
      <x:c r="E1178" s="105" t="str">
        <x:v>0:00</x:v>
      </x:c>
      <x:c r="F1178" s="104" t="n">
        <x:v>5831.350714905961</x:v>
      </x:c>
    </x:row>
    <x:row r="1179">
      <x:c r="A1179" s="78"/>
      <x:c r="B1179" s="79" t="str">
        <x:v>4:00-8:00</x:v>
      </x:c>
      <x:c r="C1179" s="80" t="n">
        <x:v>2459.6321281058977</x:v>
      </x:c>
      <x:c r="D1179" s="80" t="n">
        <x:v>2122.0146689088087</x:v>
      </x:c>
      <x:c r="E1179" s="81" t="str">
        <x:v>24:00</x:v>
      </x:c>
      <x:c r="F1179" s="80" t="n">
        <x:v>5958.856881833045</x:v>
      </x:c>
    </x:row>
    <x:row r="1180">
      <x:c r="A1180" s="78"/>
      <x:c r="B1180" s="79" t="str">
        <x:v>8:00-12:00</x:v>
      </x:c>
      <x:c r="C1180" s="80" t="n">
        <x:v>9925.125133333331</x:v>
      </x:c>
      <x:c r="D1180" s="80" t="n">
        <x:v>0</x:v>
      </x:c>
      <x:c r="E1180" s="81"/>
      <x:c r="F1180" s="80"/>
    </x:row>
    <x:row r="1181">
      <x:c r="A1181" s="78"/>
      <x:c r="B1181" s="79" t="str">
        <x:v>12:00-16:00</x:v>
      </x:c>
      <x:c r="C1181" s="80" t="n">
        <x:v>0</x:v>
      </x:c>
      <x:c r="D1181" s="80" t="n">
        <x:v>0</x:v>
      </x:c>
      <x:c r="E1181" s="81"/>
      <x:c r="F1181" s="80"/>
    </x:row>
    <x:row r="1182">
      <x:c r="A1182" s="78"/>
      <x:c r="B1182" s="79" t="str">
        <x:v>16:00-20:00</x:v>
      </x:c>
      <x:c r="C1182" s="80" t="n">
        <x:v>40.54713572198596</x:v>
      </x:c>
      <x:c r="D1182" s="80" t="n">
        <x:v>5548.1396659714355</x:v>
      </x:c>
      <x:c r="E1182" s="81"/>
      <x:c r="F1182" s="80"/>
    </x:row>
    <x:row r="1183">
      <x:c r="A1183" s="98"/>
      <x:c r="B1183" s="99" t="str">
        <x:v>20:00-24:00</x:v>
      </x:c>
      <x:c r="C1183" s="100" t="n">
        <x:v>5918.584629586227</x:v>
      </x:c>
      <x:c r="D1183" s="100" t="n">
        <x:v>3635.7858702784797</x:v>
      </x:c>
      <x:c r="E1183" s="101"/>
      <x:c r="F1183" s="100"/>
    </x:row>
    <x:row r="1184">
      <x:c r="A1184" s="102" t="n">
        <x:v>45886</x:v>
      </x:c>
      <x:c r="B1184" s="103" t="str">
        <x:v>0:00-4:00</x:v>
      </x:c>
      <x:c r="C1184" s="104" t="n">
        <x:v>1062.4403490234372</x:v>
      </x:c>
      <x:c r="D1184" s="104" t="n">
        <x:v>277.3015214843749</x:v>
      </x:c>
      <x:c r="E1184" s="105" t="str">
        <x:v>0:00</x:v>
      </x:c>
      <x:c r="F1184" s="104" t="n">
        <x:v>5958.856881833045</x:v>
      </x:c>
    </x:row>
    <x:row r="1185">
      <x:c r="A1185" s="78"/>
      <x:c r="B1185" s="79" t="str">
        <x:v>4:00-8:00</x:v>
      </x:c>
      <x:c r="C1185" s="80" t="n">
        <x:v>2581.060828285782</x:v>
      </x:c>
      <x:c r="D1185" s="80" t="n">
        <x:v>6365.560086464288</x:v>
      </x:c>
      <x:c r="E1185" s="81" t="str">
        <x:v>24:00</x:v>
      </x:c>
      <x:c r="F1185" s="80" t="n">
        <x:v>6120.550286004051</x:v>
      </x:c>
    </x:row>
    <x:row r="1186">
      <x:c r="A1186" s="78"/>
      <x:c r="B1186" s="79" t="str">
        <x:v>8:00-12:00</x:v>
      </x:c>
      <x:c r="C1186" s="80" t="n">
        <x:v>6143.745381891013</x:v>
      </x:c>
      <x:c r="D1186" s="80" t="n">
        <x:v>591.3455393215461</x:v>
      </x:c>
      <x:c r="E1186" s="81"/>
      <x:c r="F1186" s="80"/>
    </x:row>
    <x:row r="1187">
      <x:c r="A1187" s="78"/>
      <x:c r="B1187" s="79" t="str">
        <x:v>12:00-16:00</x:v>
      </x:c>
      <x:c r="C1187" s="80" t="n">
        <x:v>4522.921284775656</x:v>
      </x:c>
      <x:c r="D1187" s="80" t="n">
        <x:v>0</x:v>
      </x:c>
      <x:c r="E1187" s="81"/>
      <x:c r="F1187" s="80"/>
    </x:row>
    <x:row r="1188">
      <x:c r="A1188" s="78"/>
      <x:c r="B1188" s="79" t="str">
        <x:v>16:00-20:00</x:v>
      </x:c>
      <x:c r="C1188" s="80" t="n">
        <x:v>187.9479194730784</x:v>
      </x:c>
      <x:c r="D1188" s="80" t="n">
        <x:v>5931.038919019968</x:v>
      </x:c>
      <x:c r="E1188" s="81"/>
      <x:c r="F1188" s="80"/>
    </x:row>
    <x:row r="1189">
      <x:c r="A1189" s="98"/>
      <x:c r="B1189" s="99" t="str">
        <x:v>20:00-24:00</x:v>
      </x:c>
      <x:c r="C1189" s="100" t="n">
        <x:v>5630.559377871014</x:v>
      </x:c>
      <x:c r="D1189" s="100" t="n">
        <x:v>2993.456734425098</x:v>
      </x:c>
      <x:c r="E1189" s="101"/>
      <x:c r="F1189" s="100"/>
    </x:row>
    <x:row r="1190">
      <x:c r="A1190" s="102" t="n">
        <x:v>45887</x:v>
      </x:c>
      <x:c r="B1190" s="103" t="str">
        <x:v>0:00-4:00</x:v>
      </x:c>
      <x:c r="C1190" s="104" t="n">
        <x:v>2672.610031525182</x:v>
      </x:c>
      <x:c r="D1190" s="104" t="n">
        <x:v>1011.7261982421874</x:v>
      </x:c>
      <x:c r="E1190" s="105" t="str">
        <x:v>0:00</x:v>
      </x:c>
      <x:c r="F1190" s="104" t="n">
        <x:v>6120.550286004051</x:v>
      </x:c>
    </x:row>
    <x:row r="1191">
      <x:c r="A1191" s="78"/>
      <x:c r="B1191" s="79" t="str">
        <x:v>4:00-8:00</x:v>
      </x:c>
      <x:c r="C1191" s="80" t="n">
        <x:v>1665.3402191627638</x:v>
      </x:c>
      <x:c r="D1191" s="80" t="n">
        <x:v>6365.441713313878</x:v>
      </x:c>
      <x:c r="E1191" s="81" t="str">
        <x:v>24:00</x:v>
      </x:c>
      <x:c r="F1191" s="80" t="n">
        <x:v>6065.338775486111</x:v>
      </x:c>
    </x:row>
    <x:row r="1192">
      <x:c r="A1192" s="78"/>
      <x:c r="B1192" s="79" t="str">
        <x:v>8:00-12:00</x:v>
      </x:c>
      <x:c r="C1192" s="80" t="n">
        <x:v>5838.993918618655</x:v>
      </x:c>
      <x:c r="D1192" s="80" t="n">
        <x:v>565.0670489048185</x:v>
      </x:c>
      <x:c r="E1192" s="81"/>
      <x:c r="F1192" s="80"/>
    </x:row>
    <x:row r="1193">
      <x:c r="A1193" s="78"/>
      <x:c r="B1193" s="79" t="str">
        <x:v>12:00-16:00</x:v>
      </x:c>
      <x:c r="C1193" s="80" t="n">
        <x:v>4906.919292560564</x:v>
      </x:c>
      <x:c r="D1193" s="80" t="n">
        <x:v>97.14766452260332</x:v>
      </x:c>
      <x:c r="E1193" s="81"/>
      <x:c r="F1193" s="80"/>
    </x:row>
    <x:row r="1194">
      <x:c r="A1194" s="78"/>
      <x:c r="B1194" s="79" t="str">
        <x:v>16:00-20:00</x:v>
      </x:c>
      <x:c r="C1194" s="80" t="n">
        <x:v>124.06338848135448</x:v>
      </x:c>
      <x:c r="D1194" s="80" t="n">
        <x:v>5947.845525638066</x:v>
      </x:c>
      <x:c r="E1194" s="81"/>
      <x:c r="F1194" s="80"/>
    </x:row>
    <x:row r="1195">
      <x:c r="A1195" s="98"/>
      <x:c r="B1195" s="99" t="str">
        <x:v>20:00-24:00</x:v>
      </x:c>
      <x:c r="C1195" s="100" t="n">
        <x:v>5468.893090014146</x:v>
      </x:c>
      <x:c r="D1195" s="100" t="n">
        <x:v>2810.686360538351</x:v>
      </x:c>
      <x:c r="E1195" s="101"/>
      <x:c r="F1195" s="100"/>
    </x:row>
    <x:row r="1196">
      <x:c r="A1196" s="102" t="n">
        <x:v>45888</x:v>
      </x:c>
      <x:c r="B1196" s="103" t="str">
        <x:v>0:00-4:00</x:v>
      </x:c>
      <x:c r="C1196" s="104" t="n">
        <x:v>174.67016256510408</x:v>
      </x:c>
      <x:c r="D1196" s="104" t="n">
        <x:v>353.34858294270816</x:v>
      </x:c>
      <x:c r="E1196" s="105" t="str">
        <x:v>0:00</x:v>
      </x:c>
      <x:c r="F1196" s="104" t="n">
        <x:v>6065.338775486111</x:v>
      </x:c>
    </x:row>
    <x:row r="1197">
      <x:c r="A1197" s="78"/>
      <x:c r="B1197" s="79" t="str">
        <x:v>4:00-8:00</x:v>
      </x:c>
      <x:c r="C1197" s="80" t="n">
        <x:v>3607.4906164330732</x:v>
      </x:c>
      <x:c r="D1197" s="80" t="n">
        <x:v>5657.049031916673</x:v>
      </x:c>
      <x:c r="E1197" s="81" t="str">
        <x:v>24:00</x:v>
      </x:c>
      <x:c r="F1197" s="80" t="n">
        <x:v>6006.747166144387</x:v>
      </x:c>
    </x:row>
    <x:row r="1198">
      <x:c r="A1198" s="78"/>
      <x:c r="B1198" s="79" t="str">
        <x:v>8:00-12:00</x:v>
      </x:c>
      <x:c r="C1198" s="80" t="n">
        <x:v>4621.532383333333</x:v>
      </x:c>
      <x:c r="D1198" s="80" t="n">
        <x:v>1131.4490666666663</x:v>
      </x:c>
      <x:c r="E1198" s="81"/>
      <x:c r="F1198" s="80"/>
    </x:row>
    <x:row r="1199">
      <x:c r="A1199" s="78"/>
      <x:c r="B1199" s="79" t="str">
        <x:v>12:00-16:00</x:v>
      </x:c>
      <x:c r="C1199" s="80" t="n">
        <x:v>5628.480973105061</x:v>
      </x:c>
      <x:c r="D1199" s="80" t="n">
        <x:v>428.2738009957616</x:v>
      </x:c>
      <x:c r="E1199" s="81"/>
      <x:c r="F1199" s="80"/>
    </x:row>
    <x:row r="1200">
      <x:c r="A1200" s="78"/>
      <x:c r="B1200" s="79" t="str">
        <x:v>16:00-20:00</x:v>
      </x:c>
      <x:c r="C1200" s="80" t="n">
        <x:v>425.48215403957755</x:v>
      </x:c>
      <x:c r="D1200" s="80" t="n">
        <x:v>5683.178142973494</x:v>
      </x:c>
      <x:c r="E1200" s="81"/>
      <x:c r="F1200" s="80"/>
    </x:row>
    <x:row r="1201">
      <x:c r="A1201" s="98"/>
      <x:c r="B1201" s="99" t="str">
        <x:v>20:00-24:00</x:v>
      </x:c>
      <x:c r="C1201" s="100" t="n">
        <x:v>5450.974860881237</x:v>
      </x:c>
      <x:c r="D1201" s="100" t="n">
        <x:v>2925.4250547017327</x:v>
      </x:c>
      <x:c r="E1201" s="101"/>
      <x:c r="F1201" s="100"/>
    </x:row>
    <x:row r="1202">
      <x:c r="A1202" s="102" t="n">
        <x:v>45889</x:v>
      </x:c>
      <x:c r="B1202" s="103" t="str">
        <x:v>0:00-4:00</x:v>
      </x:c>
      <x:c r="C1202" s="104" t="n">
        <x:v>451.49696766721945</x:v>
      </x:c>
      <x:c r="D1202" s="104" t="n">
        <x:v>214.05490696614584</x:v>
      </x:c>
      <x:c r="E1202" s="105" t="str">
        <x:v>0:00</x:v>
      </x:c>
      <x:c r="F1202" s="104" t="n">
        <x:v>6006.747166144387</x:v>
      </x:c>
    </x:row>
    <x:row r="1203">
      <x:c r="A1203" s="78"/>
      <x:c r="B1203" s="79" t="str">
        <x:v>4:00-8:00</x:v>
      </x:c>
      <x:c r="C1203" s="80" t="n">
        <x:v>3456.1281966673946</x:v>
      </x:c>
      <x:c r="D1203" s="80" t="n">
        <x:v>7233.527349407093</x:v>
      </x:c>
      <x:c r="E1203" s="81" t="str">
        <x:v>24:00</x:v>
      </x:c>
      <x:c r="F1203" s="80" t="n">
        <x:v>5974.853263881654</x:v>
      </x:c>
    </x:row>
    <x:row r="1204">
      <x:c r="A1204" s="78"/>
      <x:c r="B1204" s="79" t="str">
        <x:v>8:00-12:00</x:v>
      </x:c>
      <x:c r="C1204" s="80" t="n">
        <x:v>3101.9448847114363</x:v>
      </x:c>
      <x:c r="D1204" s="80" t="n">
        <x:v>43.66657626774536</x:v>
      </x:c>
      <x:c r="E1204" s="81"/>
      <x:c r="F1204" s="80"/>
    </x:row>
    <x:row r="1205">
      <x:c r="A1205" s="78"/>
      <x:c r="B1205" s="79" t="str">
        <x:v>12:00-16:00</x:v>
      </x:c>
      <x:c r="C1205" s="80" t="n">
        <x:v>3576.7152843332033</x:v>
      </x:c>
      <x:c r="D1205" s="80" t="n">
        <x:v>512.0095422487469</x:v>
      </x:c>
      <x:c r="E1205" s="81"/>
      <x:c r="F1205" s="80"/>
    </x:row>
    <x:row r="1206">
      <x:c r="A1206" s="78"/>
      <x:c r="B1206" s="79" t="str">
        <x:v>16:00-20:00</x:v>
      </x:c>
      <x:c r="C1206" s="80" t="n">
        <x:v>163.22659443260267</x:v>
      </x:c>
      <x:c r="D1206" s="80" t="n">
        <x:v>5029.918736167818</x:v>
      </x:c>
      <x:c r="E1206" s="81"/>
      <x:c r="F1206" s="80"/>
    </x:row>
    <x:row r="1207">
      <x:c r="A1207" s="98"/>
      <x:c r="B1207" s="99" t="str">
        <x:v>20:00-24:00</x:v>
      </x:c>
      <x:c r="C1207" s="100" t="n">
        <x:v>5454.767446944122</x:v>
      </x:c>
      <x:c r="D1207" s="100" t="n">
        <x:v>120.99369453125018</x:v>
      </x:c>
      <x:c r="E1207" s="101"/>
      <x:c r="F1207" s="100"/>
    </x:row>
    <x:row r="1208">
      <x:c r="A1208" s="102" t="n">
        <x:v>45890</x:v>
      </x:c>
      <x:c r="B1208" s="103" t="str">
        <x:v>0:00-4:00</x:v>
      </x:c>
      <x:c r="C1208" s="104" t="n">
        <x:v>2533.410645528883</x:v>
      </x:c>
      <x:c r="D1208" s="104" t="n">
        <x:v>117.07745136718734</x:v>
      </x:c>
      <x:c r="E1208" s="105" t="str">
        <x:v>0:00</x:v>
      </x:c>
      <x:c r="F1208" s="104" t="n">
        <x:v>5974.853263881654</x:v>
      </x:c>
    </x:row>
    <x:row r="1209">
      <x:c r="A1209" s="78"/>
      <x:c r="B1209" s="79" t="str">
        <x:v>4:00-8:00</x:v>
      </x:c>
      <x:c r="C1209" s="80" t="n">
        <x:v>1670.1488983652855</x:v>
      </x:c>
      <x:c r="D1209" s="80" t="n">
        <x:v>6096.15859075647</x:v>
      </x:c>
      <x:c r="E1209" s="81" t="str">
        <x:v>24:00</x:v>
      </x:c>
      <x:c r="F1209" s="80" t="n">
        <x:v>6048.315890516492</x:v>
      </x:c>
    </x:row>
    <x:row r="1210">
      <x:c r="A1210" s="78"/>
      <x:c r="B1210" s="79" t="str">
        <x:v>8:00-12:00</x:v>
      </x:c>
      <x:c r="C1210" s="80" t="n">
        <x:v>5773.235052217547</x:v>
      </x:c>
      <x:c r="D1210" s="80" t="n">
        <x:v>771.2317000000002</x:v>
      </x:c>
      <x:c r="E1210" s="81"/>
      <x:c r="F1210" s="80"/>
    </x:row>
    <x:row r="1211">
      <x:c r="A1211" s="78"/>
      <x:c r="B1211" s="79" t="str">
        <x:v>12:00-16:00</x:v>
      </x:c>
      <x:c r="C1211" s="80" t="n">
        <x:v>3644.011827850729</x:v>
      </x:c>
      <x:c r="D1211" s="80" t="n">
        <x:v>318.64305830956664</x:v>
      </x:c>
      <x:c r="E1211" s="81"/>
      <x:c r="F1211" s="80"/>
    </x:row>
    <x:row r="1212">
      <x:c r="A1212" s="78"/>
      <x:c r="B1212" s="79" t="str">
        <x:v>16:00-20:00</x:v>
      </x:c>
      <x:c r="C1212" s="80" t="n">
        <x:v>519.6047074018697</x:v>
      </x:c>
      <x:c r="D1212" s="80" t="n">
        <x:v>5729.705956038327</x:v>
      </x:c>
      <x:c r="E1212" s="81"/>
      <x:c r="F1212" s="80"/>
    </x:row>
    <x:row r="1213">
      <x:c r="A1213" s="98"/>
      <x:c r="B1213" s="99" t="str">
        <x:v>20:00-24:00</x:v>
      </x:c>
      <x:c r="C1213" s="100" t="n">
        <x:v>5446.224183746463</x:v>
      </x:c>
      <x:c r="D1213" s="100" t="n">
        <x:v>2766.2414847968207</x:v>
      </x:c>
      <x:c r="E1213" s="101"/>
      <x:c r="F1213" s="100"/>
    </x:row>
    <x:row r="1214">
      <x:c r="A1214" s="102" t="n">
        <x:v>45891</x:v>
      </x:c>
      <x:c r="B1214" s="103" t="str">
        <x:v>0:00-4:00</x:v>
      </x:c>
      <x:c r="C1214" s="104" t="n">
        <x:v>419.4525473940746</x:v>
      </x:c>
      <x:c r="D1214" s="104" t="n">
        <x:v>3134.639431445312</x:v>
      </x:c>
      <x:c r="E1214" s="105" t="str">
        <x:v>0:00</x:v>
      </x:c>
      <x:c r="F1214" s="104" t="n">
        <x:v>6048.315890516492</x:v>
      </x:c>
    </x:row>
    <x:row r="1215">
      <x:c r="A1215" s="78"/>
      <x:c r="B1215" s="79" t="str">
        <x:v>4:00-8:00</x:v>
      </x:c>
      <x:c r="C1215" s="80" t="n">
        <x:v>1380.2263282428737</x:v>
      </x:c>
      <x:c r="D1215" s="80" t="n">
        <x:v>2235.928365705477</x:v>
      </x:c>
      <x:c r="E1215" s="81" t="str">
        <x:v>24:00</x:v>
      </x:c>
      <x:c r="F1215" s="80" t="n">
        <x:v>5958.41359820819</x:v>
      </x:c>
    </x:row>
    <x:row r="1216">
      <x:c r="A1216" s="78"/>
      <x:c r="B1216" s="79" t="str">
        <x:v>8:00-12:00</x:v>
      </x:c>
      <x:c r="C1216" s="80" t="n">
        <x:v>10110.30074866669</x:v>
      </x:c>
      <x:c r="D1216" s="80" t="n">
        <x:v>0</x:v>
      </x:c>
      <x:c r="E1216" s="81"/>
      <x:c r="F1216" s="80"/>
    </x:row>
    <x:row r="1217">
      <x:c r="A1217" s="78"/>
      <x:c r="B1217" s="79" t="str">
        <x:v>12:00-16:00</x:v>
      </x:c>
      <x:c r="C1217" s="80" t="n">
        <x:v>0</x:v>
      </x:c>
      <x:c r="D1217" s="80" t="n">
        <x:v>3.380833333333309</x:v>
      </x:c>
      <x:c r="E1217" s="81"/>
      <x:c r="F1217" s="80"/>
    </x:row>
    <x:row r="1218">
      <x:c r="A1218" s="78"/>
      <x:c r="B1218" s="79" t="str">
        <x:v>16:00-20:00</x:v>
      </x:c>
      <x:c r="C1218" s="80" t="n">
        <x:v>0</x:v>
      </x:c>
      <x:c r="D1218" s="80" t="n">
        <x:v>6188.350367949931</x:v>
      </x:c>
      <x:c r="E1218" s="81"/>
      <x:c r="F1218" s="80"/>
    </x:row>
    <x:row r="1219">
      <x:c r="A1219" s="98"/>
      <x:c r="B1219" s="99" t="str">
        <x:v>20:00-24:00</x:v>
      </x:c>
      <x:c r="C1219" s="100" t="n">
        <x:v>5287.126220231321</x:v>
      </x:c>
      <x:c r="D1219" s="100" t="n">
        <x:v>2448.2687987167365</x:v>
      </x:c>
      <x:c r="E1219" s="101"/>
      <x:c r="F1219" s="100"/>
    </x:row>
    <x:row r="1220">
      <x:c r="A1220" s="102" t="n">
        <x:v>45892</x:v>
      </x:c>
      <x:c r="B1220" s="103" t="str">
        <x:v>0:00-4:00</x:v>
      </x:c>
      <x:c r="C1220" s="104" t="n">
        <x:v>329.1231858723959</x:v>
      </x:c>
      <x:c r="D1220" s="104" t="n">
        <x:v>3365.071478746364</x:v>
      </x:c>
      <x:c r="E1220" s="105" t="str">
        <x:v>0:00</x:v>
      </x:c>
      <x:c r="F1220" s="104" t="n">
        <x:v>5958.41359820819</x:v>
      </x:c>
    </x:row>
    <x:row r="1221">
      <x:c r="A1221" s="78"/>
      <x:c r="B1221" s="79" t="str">
        <x:v>4:00-8:00</x:v>
      </x:c>
      <x:c r="C1221" s="80" t="n">
        <x:v>2105.4654081971175</x:v>
      </x:c>
      <x:c r="D1221" s="80" t="n">
        <x:v>2159.249889801337</x:v>
      </x:c>
      <x:c r="E1221" s="81" t="str">
        <x:v>24:00</x:v>
      </x:c>
      <x:c r="F1221" s="80" t="n">
        <x:v>5887.998384898726</x:v>
      </x:c>
    </x:row>
    <x:row r="1222">
      <x:c r="A1222" s="78"/>
      <x:c r="B1222" s="79" t="str">
        <x:v>8:00-12:00</x:v>
      </x:c>
      <x:c r="C1222" s="80" t="n">
        <x:v>9765.101690079042</x:v>
      </x:c>
      <x:c r="D1222" s="80" t="n">
        <x:v>0</x:v>
      </x:c>
      <x:c r="E1222" s="81"/>
      <x:c r="F1222" s="80"/>
    </x:row>
    <x:row r="1223">
      <x:c r="A1223" s="78"/>
      <x:c r="B1223" s="79" t="str">
        <x:v>12:00-16:00</x:v>
      </x:c>
      <x:c r="C1223" s="80" t="n">
        <x:v>0</x:v>
      </x:c>
      <x:c r="D1223" s="80" t="n">
        <x:v>14.918333333333369</x:v>
      </x:c>
      <x:c r="E1223" s="81"/>
      <x:c r="F1223" s="80"/>
    </x:row>
    <x:row r="1224">
      <x:c r="A1224" s="78"/>
      <x:c r="B1224" s="79" t="str">
        <x:v>16:00-20:00</x:v>
      </x:c>
      <x:c r="C1224" s="80" t="n">
        <x:v>15.78797396516751</x:v>
      </x:c>
      <x:c r="D1224" s="80" t="n">
        <x:v>5652.403384432274</x:v>
      </x:c>
      <x:c r="E1224" s="81"/>
      <x:c r="F1224" s="80"/>
    </x:row>
    <x:row r="1225">
      <x:c r="A1225" s="98"/>
      <x:c r="B1225" s="99" t="str">
        <x:v>20:00-24:00</x:v>
      </x:c>
      <x:c r="C1225" s="100" t="n">
        <x:v>5365.979424610981</x:v>
      </x:c>
      <x:c r="D1225" s="100" t="n">
        <x:v>3112.7113286722147</x:v>
      </x:c>
      <x:c r="E1225" s="101"/>
      <x:c r="F1225" s="100"/>
    </x:row>
    <x:row r="1226">
      <x:c r="A1226" s="102" t="n">
        <x:v>45893</x:v>
      </x:c>
      <x:c r="B1226" s="103" t="str">
        <x:v>0:00-4:00</x:v>
      </x:c>
      <x:c r="C1226" s="104" t="n">
        <x:v>194.59501699218742</x:v>
      </x:c>
      <x:c r="D1226" s="104" t="n">
        <x:v>268.64745462239625</x:v>
      </x:c>
      <x:c r="E1226" s="105" t="str">
        <x:v>0:00</x:v>
      </x:c>
      <x:c r="F1226" s="104" t="n">
        <x:v>5887.998384898726</x:v>
      </x:c>
    </x:row>
    <x:row r="1227">
      <x:c r="A1227" s="78"/>
      <x:c r="B1227" s="79" t="str">
        <x:v>4:00-8:00</x:v>
      </x:c>
      <x:c r="C1227" s="80" t="n">
        <x:v>3017.328075250836</x:v>
      </x:c>
      <x:c r="D1227" s="80" t="n">
        <x:v>5937.339744472154</x:v>
      </x:c>
      <x:c r="E1227" s="81" t="str">
        <x:v>24:00</x:v>
      </x:c>
      <x:c r="F1227" s="80" t="n">
        <x:v>5964.196157042825</x:v>
      </x:c>
    </x:row>
    <x:row r="1228">
      <x:c r="A1228" s="78"/>
      <x:c r="B1228" s="79" t="str">
        <x:v>8:00-12:00</x:v>
      </x:c>
      <x:c r="C1228" s="80" t="n">
        <x:v>8075.040377838606</x:v>
      </x:c>
      <x:c r="D1228" s="80" t="n">
        <x:v>614.8690520311504</x:v>
      </x:c>
      <x:c r="E1228" s="81"/>
      <x:c r="F1228" s="80"/>
    </x:row>
    <x:row r="1229">
      <x:c r="A1229" s="78"/>
      <x:c r="B1229" s="79" t="str">
        <x:v>12:00-16:00</x:v>
      </x:c>
      <x:c r="C1229" s="80" t="n">
        <x:v>2671.2634583092276</x:v>
      </x:c>
      <x:c r="D1229" s="80" t="n">
        <x:v>481.58049108356363</x:v>
      </x:c>
      <x:c r="E1229" s="81"/>
      <x:c r="F1229" s="80"/>
    </x:row>
    <x:row r="1230">
      <x:c r="A1230" s="78"/>
      <x:c r="B1230" s="79" t="str">
        <x:v>16:00-20:00</x:v>
      </x:c>
      <x:c r="C1230" s="80" t="n">
        <x:v>0</x:v>
      </x:c>
      <x:c r="D1230" s="80" t="n">
        <x:v>5803.39646554114</x:v>
      </x:c>
      <x:c r="E1230" s="81"/>
      <x:c r="F1230" s="80"/>
    </x:row>
    <x:row r="1231">
      <x:c r="A1231" s="98"/>
      <x:c r="B1231" s="99" t="str">
        <x:v>20:00-24:00</x:v>
      </x:c>
      <x:c r="C1231" s="100" t="n">
        <x:v>5365.78955076196</x:v>
      </x:c>
      <x:c r="D1231" s="100" t="n">
        <x:v>2478.0421454336847</x:v>
      </x:c>
      <x:c r="E1231" s="101"/>
      <x:c r="F1231" s="100"/>
    </x:row>
    <x:row r="1232">
      <x:c r="A1232" s="102" t="n">
        <x:v>45894</x:v>
      </x:c>
      <x:c r="B1232" s="103" t="str">
        <x:v>0:00-4:00</x:v>
      </x:c>
      <x:c r="C1232" s="104" t="n">
        <x:v>403.86822851562476</x:v>
      </x:c>
      <x:c r="D1232" s="104" t="n">
        <x:v>284.87055206400396</x:v>
      </x:c>
      <x:c r="E1232" s="105" t="str">
        <x:v>0:00</x:v>
      </x:c>
      <x:c r="F1232" s="104" t="n">
        <x:v>5964.196157042825</x:v>
      </x:c>
    </x:row>
    <x:row r="1233">
      <x:c r="A1233" s="78"/>
      <x:c r="B1233" s="79" t="str">
        <x:v>4:00-8:00</x:v>
      </x:c>
      <x:c r="C1233" s="80" t="n">
        <x:v>4017.9991954075167</x:v>
      </x:c>
      <x:c r="D1233" s="80" t="n">
        <x:v>6958.708680456786</x:v>
      </x:c>
      <x:c r="E1233" s="81" t="str">
        <x:v>24:00</x:v>
      </x:c>
      <x:c r="F1233" s="80" t="n">
        <x:v>6112.0180062361105</x:v>
      </x:c>
    </x:row>
    <x:row r="1234">
      <x:c r="A1234" s="78"/>
      <x:c r="B1234" s="79" t="str">
        <x:v>8:00-12:00</x:v>
      </x:c>
      <x:c r="C1234" s="80" t="n">
        <x:v>4680.724318558409</x:v>
      </x:c>
      <x:c r="D1234" s="80" t="n">
        <x:v>625.9099221954971</x:v>
      </x:c>
      <x:c r="E1234" s="81"/>
      <x:c r="F1234" s="80"/>
    </x:row>
    <x:row r="1235">
      <x:c r="A1235" s="78"/>
      <x:c r="B1235" s="79" t="str">
        <x:v>12:00-16:00</x:v>
      </x:c>
      <x:c r="C1235" s="80" t="n">
        <x:v>2690.842171225515</x:v>
      </x:c>
      <x:c r="D1235" s="80" t="n">
        <x:v>1327.6549665470293</x:v>
      </x:c>
      <x:c r="E1235" s="81"/>
      <x:c r="F1235" s="80"/>
    </x:row>
    <x:row r="1236">
      <x:c r="A1236" s="78"/>
      <x:c r="B1236" s="79" t="str">
        <x:v>16:00-20:00</x:v>
      </x:c>
      <x:c r="C1236" s="80" t="n">
        <x:v>220.89398035542968</x:v>
      </x:c>
      <x:c r="D1236" s="80" t="n">
        <x:v>4822.238014265848</x:v>
      </x:c>
      <x:c r="E1236" s="81"/>
      <x:c r="F1236" s="80"/>
    </x:row>
    <x:row r="1237">
      <x:c r="A1237" s="98"/>
      <x:c r="B1237" s="99" t="str">
        <x:v>20:00-24:00</x:v>
      </x:c>
      <x:c r="C1237" s="100" t="n">
        <x:v>5511.302126270576</x:v>
      </x:c>
      <x:c r="D1237" s="100" t="n">
        <x:v>43.33851666666669</x:v>
      </x:c>
      <x:c r="E1237" s="101"/>
      <x:c r="F1237" s="100"/>
    </x:row>
    <x:row r="1238">
      <x:c r="A1238" s="102" t="n">
        <x:v>45895</x:v>
      </x:c>
      <x:c r="B1238" s="103" t="str">
        <x:v>0:00-4:00</x:v>
      </x:c>
      <x:c r="C1238" s="104" t="n">
        <x:v>1317.7381025319194</x:v>
      </x:c>
      <x:c r="D1238" s="104" t="n">
        <x:v>213.46915761718753</x:v>
      </x:c>
      <x:c r="E1238" s="105" t="str">
        <x:v>0:00</x:v>
      </x:c>
      <x:c r="F1238" s="104" t="n">
        <x:v>6112.0180062361105</x:v>
      </x:c>
    </x:row>
    <x:row r="1239">
      <x:c r="A1239" s="78"/>
      <x:c r="B1239" s="79" t="str">
        <x:v>4:00-8:00</x:v>
      </x:c>
      <x:c r="C1239" s="80" t="n">
        <x:v>3452.15461376784</x:v>
      </x:c>
      <x:c r="D1239" s="80" t="n">
        <x:v>5935.283888932292</x:v>
      </x:c>
      <x:c r="E1239" s="81" t="str">
        <x:v>24:00</x:v>
      </x:c>
      <x:c r="F1239" s="80" t="n">
        <x:v>6058.386977731096</x:v>
      </x:c>
    </x:row>
    <x:row r="1240">
      <x:c r="A1240" s="78"/>
      <x:c r="B1240" s="79" t="str">
        <x:v>8:00-12:00</x:v>
      </x:c>
      <x:c r="C1240" s="80" t="n">
        <x:v>6005.656449999999</x:v>
      </x:c>
      <x:c r="D1240" s="80" t="n">
        <x:v>1429.1314</x:v>
      </x:c>
      <x:c r="E1240" s="81"/>
      <x:c r="F1240" s="80"/>
    </x:row>
    <x:row r="1241">
      <x:c r="A1241" s="78"/>
      <x:c r="B1241" s="79" t="str">
        <x:v>12:00-16:00</x:v>
      </x:c>
      <x:c r="C1241" s="80" t="n">
        <x:v>3910.6770365030934</x:v>
      </x:c>
      <x:c r="D1241" s="80" t="n">
        <x:v>111.95439025382043</x:v>
      </x:c>
      <x:c r="E1241" s="81"/>
      <x:c r="F1241" s="80"/>
    </x:row>
    <x:row r="1242">
      <x:c r="A1242" s="78"/>
      <x:c r="B1242" s="79" t="str">
        <x:v>16:00-20:00</x:v>
      </x:c>
      <x:c r="C1242" s="80" t="n">
        <x:v>147.40575935187837</x:v>
      </x:c>
      <x:c r="D1242" s="80" t="n">
        <x:v>5945.745039211421</x:v>
      </x:c>
      <x:c r="E1242" s="81"/>
      <x:c r="F1242" s="80"/>
    </x:row>
    <x:row r="1243">
      <x:c r="A1243" s="98"/>
      <x:c r="B1243" s="99" t="str">
        <x:v>20:00-24:00</x:v>
      </x:c>
      <x:c r="C1243" s="100" t="n">
        <x:v>5491.569640357831</x:v>
      </x:c>
      <x:c r="D1243" s="100" t="n">
        <x:v>2876.0973476749737</x:v>
      </x:c>
      <x:c r="E1243" s="101"/>
      <x:c r="F1243" s="100"/>
    </x:row>
    <x:row r="1244">
      <x:c r="A1244" s="102" t="n">
        <x:v>45896</x:v>
      </x:c>
      <x:c r="B1244" s="103" t="str">
        <x:v>0:00-4:00</x:v>
      </x:c>
      <x:c r="C1244" s="104" t="n">
        <x:v>1221.8104520833333</x:v>
      </x:c>
      <x:c r="D1244" s="104" t="n">
        <x:v>131.6698380859375</x:v>
      </x:c>
      <x:c r="E1244" s="105" t="str">
        <x:v>0:00</x:v>
      </x:c>
      <x:c r="F1244" s="104" t="n">
        <x:v>6058.386977731096</x:v>
      </x:c>
    </x:row>
    <x:row r="1245">
      <x:c r="A1245" s="78"/>
      <x:c r="B1245" s="79" t="str">
        <x:v>4:00-8:00</x:v>
      </x:c>
      <x:c r="C1245" s="80" t="n">
        <x:v>3756.3274601294447</x:v>
      </x:c>
      <x:c r="D1245" s="80" t="n">
        <x:v>5896.601840177707</x:v>
      </x:c>
      <x:c r="E1245" s="81" t="str">
        <x:v>24:00</x:v>
      </x:c>
      <x:c r="F1245" s="80" t="n">
        <x:v>6112.660786215277</x:v>
      </x:c>
    </x:row>
    <x:row r="1246">
      <x:c r="A1246" s="78"/>
      <x:c r="B1246" s="79" t="str">
        <x:v>8:00-12:00</x:v>
      </x:c>
      <x:c r="C1246" s="80" t="n">
        <x:v>4177.275847501429</x:v>
      </x:c>
      <x:c r="D1246" s="80" t="n">
        <x:v>2083.420183333333</x:v>
      </x:c>
      <x:c r="E1246" s="81"/>
      <x:c r="F1246" s="80"/>
    </x:row>
    <x:row r="1247">
      <x:c r="A1247" s="78"/>
      <x:c r="B1247" s="79" t="str">
        <x:v>12:00-16:00</x:v>
      </x:c>
      <x:c r="C1247" s="80" t="n">
        <x:v>4973.809979350108</x:v>
      </x:c>
      <x:c r="D1247" s="80" t="n">
        <x:v>687.0269566869849</x:v>
      </x:c>
      <x:c r="E1247" s="81"/>
      <x:c r="F1247" s="80"/>
    </x:row>
    <x:row r="1248">
      <x:c r="A1248" s="78"/>
      <x:c r="B1248" s="79" t="str">
        <x:v>16:00-20:00</x:v>
      </x:c>
      <x:c r="C1248" s="80" t="n">
        <x:v>74.0325504001529</x:v>
      </x:c>
      <x:c r="D1248" s="80" t="n">
        <x:v>5702.1700547002965</x:v>
      </x:c>
      <x:c r="E1248" s="81"/>
      <x:c r="F1248" s="80"/>
    </x:row>
    <x:row r="1249">
      <x:c r="A1249" s="98"/>
      <x:c r="B1249" s="99" t="str">
        <x:v>20:00-24:00</x:v>
      </x:c>
      <x:c r="C1249" s="100" t="n">
        <x:v>5515.530927713477</x:v>
      </x:c>
      <x:c r="D1249" s="100" t="n">
        <x:v>1422.482345294108</x:v>
      </x:c>
      <x:c r="E1249" s="101"/>
      <x:c r="F1249" s="100"/>
    </x:row>
    <x:row r="1250">
      <x:c r="A1250" s="102" t="n">
        <x:v>45897</x:v>
      </x:c>
      <x:c r="B1250" s="103" t="str">
        <x:v>0:00-4:00</x:v>
      </x:c>
      <x:c r="C1250" s="104" t="n">
        <x:v>3320.9420719195255</x:v>
      </x:c>
      <x:c r="D1250" s="104" t="n">
        <x:v>276.97108027343745</x:v>
      </x:c>
      <x:c r="E1250" s="105" t="str">
        <x:v>0:00</x:v>
      </x:c>
      <x:c r="F1250" s="104" t="n">
        <x:v>6112.660786215277</x:v>
      </x:c>
    </x:row>
    <x:row r="1251">
      <x:c r="A1251" s="78"/>
      <x:c r="B1251" s="79" t="str">
        <x:v>4:00-8:00</x:v>
      </x:c>
      <x:c r="C1251" s="80" t="n">
        <x:v>990.9313507059965</x:v>
      </x:c>
      <x:c r="D1251" s="80" t="n">
        <x:v>6180.673606915308</x:v>
      </x:c>
      <x:c r="E1251" s="81" t="str">
        <x:v>24:00</x:v>
      </x:c>
      <x:c r="F1251" s="80" t="n">
        <x:v>5915.083936840857</x:v>
      </x:c>
    </x:row>
    <x:row r="1252">
      <x:c r="A1252" s="78"/>
      <x:c r="B1252" s="79" t="str">
        <x:v>8:00-12:00</x:v>
      </x:c>
      <x:c r="C1252" s="80" t="n">
        <x:v>3017.462088431606</x:v>
      </x:c>
      <x:c r="D1252" s="80" t="n">
        <x:v>1456.3674927316758</x:v>
      </x:c>
      <x:c r="E1252" s="81"/>
      <x:c r="F1252" s="80"/>
    </x:row>
    <x:row r="1253">
      <x:c r="A1253" s="78"/>
      <x:c r="B1253" s="79" t="str">
        <x:v>12:00-16:00</x:v>
      </x:c>
      <x:c r="C1253" s="80" t="n">
        <x:v>4285.491267056152</x:v>
      </x:c>
      <x:c r="D1253" s="80" t="n">
        <x:v>229.17852527944675</x:v>
      </x:c>
      <x:c r="E1253" s="81"/>
      <x:c r="F1253" s="80"/>
    </x:row>
    <x:row r="1254">
      <x:c r="A1254" s="78"/>
      <x:c r="B1254" s="79" t="str">
        <x:v>16:00-20:00</x:v>
      </x:c>
      <x:c r="C1254" s="80" t="n">
        <x:v>285.61579760621464</x:v>
      </x:c>
      <x:c r="D1254" s="80" t="n">
        <x:v>5904.202456948212</x:v>
      </x:c>
      <x:c r="E1254" s="81"/>
      <x:c r="F1254" s="80"/>
    </x:row>
    <x:row r="1255">
      <x:c r="A1255" s="98"/>
      <x:c r="B1255" s="99" t="str">
        <x:v>20:00-24:00</x:v>
      </x:c>
      <x:c r="C1255" s="100" t="n">
        <x:v>5459.5328475829465</x:v>
      </x:c>
      <x:c r="D1255" s="100" t="n">
        <x:v>192.00609516387462</x:v>
      </x:c>
      <x:c r="E1255" s="101"/>
      <x:c r="F1255" s="100"/>
    </x:row>
    <x:row r="1256">
      <x:c r="A1256" s="102" t="n">
        <x:v>45898</x:v>
      </x:c>
      <x:c r="B1256" s="103" t="str">
        <x:v>0:00-4:00</x:v>
      </x:c>
      <x:c r="C1256" s="104" t="n">
        <x:v>695.7964891276042</x:v>
      </x:c>
      <x:c r="D1256" s="104" t="n">
        <x:v>2843.924374233105</x:v>
      </x:c>
      <x:c r="E1256" s="105" t="str">
        <x:v>0:00</x:v>
      </x:c>
      <x:c r="F1256" s="104" t="n">
        <x:v>5915.083936840857</x:v>
      </x:c>
    </x:row>
    <x:row r="1257">
      <x:c r="A1257" s="78"/>
      <x:c r="B1257" s="79" t="str">
        <x:v>4:00-8:00</x:v>
      </x:c>
      <x:c r="C1257" s="80" t="n">
        <x:v>1871.4877432291664</x:v>
      </x:c>
      <x:c r="D1257" s="80" t="n">
        <x:v>3153.5168913486264</x:v>
      </x:c>
      <x:c r="E1257" s="81" t="str">
        <x:v>24:00</x:v>
      </x:c>
      <x:c r="F1257" s="80" t="n">
        <x:v>6142.798124793693</x:v>
      </x:c>
    </x:row>
    <x:row r="1258">
      <x:c r="A1258" s="78"/>
      <x:c r="B1258" s="79" t="str">
        <x:v>8:00-12:00</x:v>
      </x:c>
      <x:c r="C1258" s="80" t="n">
        <x:v>10264.648758291329</x:v>
      </x:c>
      <x:c r="D1258" s="80" t="n">
        <x:v>0</x:v>
      </x:c>
      <x:c r="E1258" s="81"/>
      <x:c r="F1258" s="80"/>
    </x:row>
    <x:row r="1259">
      <x:c r="A1259" s="78"/>
      <x:c r="B1259" s="79" t="str">
        <x:v>12:00-16:00</x:v>
      </x:c>
      <x:c r="C1259" s="80" t="n">
        <x:v>0</x:v>
      </x:c>
      <x:c r="D1259" s="80" t="n">
        <x:v>39.53425000000001</x:v>
      </x:c>
      <x:c r="E1259" s="81"/>
      <x:c r="F1259" s="80"/>
    </x:row>
    <x:row r="1260">
      <x:c r="A1260" s="78"/>
      <x:c r="B1260" s="79" t="str">
        <x:v>16:00-20:00</x:v>
      </x:c>
      <x:c r="C1260" s="80" t="n">
        <x:v>127.33123023278974</x:v>
      </x:c>
      <x:c r="D1260" s="80" t="n">
        <x:v>5276.258468888028</x:v>
      </x:c>
      <x:c r="E1260" s="81"/>
      <x:c r="F1260" s="80"/>
    </x:row>
    <x:row r="1261">
      <x:c r="A1261" s="98"/>
      <x:c r="B1261" s="99" t="str">
        <x:v>20:00-24:00</x:v>
      </x:c>
      <x:c r="C1261" s="100" t="n">
        <x:v>5491.997916437435</x:v>
      </x:c>
      <x:c r="D1261" s="100" t="n">
        <x:v>3427.3455776005303</x:v>
      </x:c>
      <x:c r="E1261" s="101"/>
      <x:c r="F1261" s="100"/>
    </x:row>
    <x:row r="1262">
      <x:c r="A1262" s="102" t="n">
        <x:v>45899</x:v>
      </x:c>
      <x:c r="B1262" s="103" t="str">
        <x:v>0:00-4:00</x:v>
      </x:c>
      <x:c r="C1262" s="104" t="n">
        <x:v>298.2444264973958</x:v>
      </x:c>
      <x:c r="D1262" s="104" t="n">
        <x:v>2784.1227015690647</x:v>
      </x:c>
      <x:c r="E1262" s="105" t="str">
        <x:v>0:00</x:v>
      </x:c>
      <x:c r="F1262" s="104" t="n">
        <x:v>6142.798124793693</x:v>
      </x:c>
    </x:row>
    <x:row r="1263">
      <x:c r="A1263" s="78"/>
      <x:c r="B1263" s="79" t="str">
        <x:v>4:00-8:00</x:v>
      </x:c>
      <x:c r="C1263" s="80" t="n">
        <x:v>1552.0269114752557</x:v>
      </x:c>
      <x:c r="D1263" s="80" t="n">
        <x:v>2158.7966430024308</x:v>
      </x:c>
      <x:c r="E1263" s="81" t="str">
        <x:v>24:00</x:v>
      </x:c>
      <x:c r="F1263" s="80" t="n">
        <x:v>5785.627976447483</x:v>
      </x:c>
    </x:row>
    <x:row r="1264">
      <x:c r="A1264" s="78"/>
      <x:c r="B1264" s="79" t="str">
        <x:v>8:00-12:00</x:v>
      </x:c>
      <x:c r="C1264" s="80" t="n">
        <x:v>9426.766973455955</x:v>
      </x:c>
      <x:c r="D1264" s="80" t="n">
        <x:v>0</x:v>
      </x:c>
      <x:c r="E1264" s="81"/>
      <x:c r="F1264" s="80"/>
    </x:row>
    <x:row r="1265">
      <x:c r="A1265" s="78"/>
      <x:c r="B1265" s="79" t="str">
        <x:v>12:00-16:00</x:v>
      </x:c>
      <x:c r="C1265" s="80" t="n">
        <x:v>0</x:v>
      </x:c>
      <x:c r="D1265" s="80" t="n">
        <x:v>12.497197934610995</x:v>
      </x:c>
      <x:c r="E1265" s="81"/>
      <x:c r="F1265" s="80"/>
    </x:row>
    <x:row r="1266">
      <x:c r="A1266" s="78"/>
      <x:c r="B1266" s="79" t="str">
        <x:v>16:00-20:00</x:v>
      </x:c>
      <x:c r="C1266" s="80" t="n">
        <x:v>161.9409708798436</x:v>
      </x:c>
      <x:c r="D1266" s="80" t="n">
        <x:v>5733.77850618505</x:v>
      </x:c>
      <x:c r="E1266" s="81"/>
      <x:c r="F1266" s="80"/>
    </x:row>
    <x:row r="1267">
      <x:c r="A1267" s="98"/>
      <x:c r="B1267" s="99" t="str">
        <x:v>20:00-24:00</x:v>
      </x:c>
      <x:c r="C1267" s="100" t="n">
        <x:v>6160.499308401652</x:v>
      </x:c>
      <x:c r="D1267" s="100" t="n">
        <x:v>3887.8357432956177</x:v>
      </x:c>
      <x:c r="E1267" s="101"/>
      <x:c r="F1267" s="100"/>
    </x:row>
    <x:row r="1268">
      <x:c r="A1268" s="102" t="n">
        <x:v>45900</x:v>
      </x:c>
      <x:c r="B1268" s="103" t="str">
        <x:v>0:00-4:00</x:v>
      </x:c>
      <x:c r="C1268" s="104" t="n">
        <x:v>1739.7221274717886</x:v>
      </x:c>
      <x:c r="D1268" s="104" t="n">
        <x:v>28.133567838541808</x:v>
      </x:c>
      <x:c r="E1268" s="105" t="str">
        <x:v>0:00</x:v>
      </x:c>
      <x:c r="F1268" s="104" t="n">
        <x:v>5785.627976447483</x:v>
      </x:c>
    </x:row>
    <x:row r="1269">
      <x:c r="A1269" s="78"/>
      <x:c r="B1269" s="79" t="str">
        <x:v>4:00-8:00</x:v>
      </x:c>
      <x:c r="C1269" s="80" t="n">
        <x:v>2573.4743340968</x:v>
      </x:c>
      <x:c r="D1269" s="80" t="n">
        <x:v>6543.011708157945</x:v>
      </x:c>
      <x:c r="E1269" s="81" t="str">
        <x:v>24:00</x:v>
      </x:c>
      <x:c r="F1269" s="80" t="n">
        <x:v>6393.373103828126</x:v>
      </x:c>
    </x:row>
    <x:row r="1270">
      <x:c r="A1270" s="78"/>
      <x:c r="B1270" s="79" t="str">
        <x:v>8:00-12:00</x:v>
      </x:c>
      <x:c r="C1270" s="80" t="n">
        <x:v>5538.049563529748</x:v>
      </x:c>
      <x:c r="D1270" s="80" t="n">
        <x:v>948.1480166666668</x:v>
      </x:c>
      <x:c r="E1270" s="81"/>
      <x:c r="F1270" s="80"/>
    </x:row>
    <x:row r="1271">
      <x:c r="A1271" s="78"/>
      <x:c r="B1271" s="79" t="str">
        <x:v>12:00-16:00</x:v>
      </x:c>
      <x:c r="C1271" s="80" t="n">
        <x:v>5199.582857665076</x:v>
      </x:c>
      <x:c r="D1271" s="80" t="n">
        <x:v>415.0839427680948</x:v>
      </x:c>
      <x:c r="E1271" s="81"/>
      <x:c r="F1271" s="80"/>
    </x:row>
    <x:row r="1272">
      <x:c r="A1272" s="78"/>
      <x:c r="B1272" s="79" t="str">
        <x:v>16:00-20:00</x:v>
      </x:c>
      <x:c r="C1272" s="80" t="n">
        <x:v>298.66937857271614</x:v>
      </x:c>
      <x:c r="D1272" s="80" t="n">
        <x:v>5457.627827174158</x:v>
      </x:c>
      <x:c r="E1272" s="81"/>
      <x:c r="F1272" s="80"/>
    </x:row>
    <x:row r="1273">
      <x:c r="A1273" s="98"/>
      <x:c r="B1273" s="99" t="str">
        <x:v>20:00-24:00</x:v>
      </x:c>
      <x:c r="C1273" s="100" t="n">
        <x:v>5860.436918991127</x:v>
      </x:c>
      <x:c r="D1273" s="100" t="n">
        <x:v>3241.0718188170977</x:v>
      </x:c>
      <x:c r="E1273" s="101"/>
      <x:c r="F1273" s="100"/>
    </x:row>
    <x:row r="1274">
      <x:c r="A1274" s="102" t="n">
        <x:v>45901</x:v>
      </x:c>
      <x:c r="B1274" s="103" t="str">
        <x:v>0:00-4:00</x:v>
      </x:c>
      <x:c r="C1274" s="104" t="n">
        <x:v>2203.5205447265625</x:v>
      </x:c>
      <x:c r="D1274" s="104" t="n">
        <x:v>0</x:v>
      </x:c>
      <x:c r="E1274" s="105" t="str">
        <x:v>0:00</x:v>
      </x:c>
      <x:c r="F1274" s="104" t="n">
        <x:v>6393.373103828126</x:v>
      </x:c>
    </x:row>
    <x:row r="1275">
      <x:c r="A1275" s="78"/>
      <x:c r="B1275" s="79" t="str">
        <x:v>4:00-8:00</x:v>
      </x:c>
      <x:c r="C1275" s="80" t="n">
        <x:v>2692.7315621310754</x:v>
      </x:c>
      <x:c r="D1275" s="80" t="n">
        <x:v>5843.563116666666</x:v>
      </x:c>
      <x:c r="E1275" s="81" t="str">
        <x:v>24:00</x:v>
      </x:c>
      <x:c r="F1275" s="80" t="n">
        <x:v>9226.522252058883</x:v>
      </x:c>
    </x:row>
    <x:row r="1276">
      <x:c r="A1276" s="78"/>
      <x:c r="B1276" s="79" t="str">
        <x:v>8:00-12:00</x:v>
      </x:c>
      <x:c r="C1276" s="80" t="n">
        <x:v>5656.741461124759</x:v>
      </x:c>
      <x:c r="D1276" s="80" t="n">
        <x:v>770.0439999999999</x:v>
      </x:c>
      <x:c r="E1276" s="81"/>
      <x:c r="F1276" s="80"/>
    </x:row>
    <x:row r="1277">
      <x:c r="A1277" s="78"/>
      <x:c r="B1277" s="79" t="str">
        <x:v>12:00-16:00</x:v>
      </x:c>
      <x:c r="C1277" s="80" t="n">
        <x:v>2508.205596488404</x:v>
      </x:c>
      <x:c r="D1277" s="80" t="n">
        <x:v>0</x:v>
      </x:c>
      <x:c r="E1277" s="81"/>
      <x:c r="F1277" s="80"/>
    </x:row>
    <x:row r="1278">
      <x:c r="A1278" s="78"/>
      <x:c r="B1278" s="79" t="str">
        <x:v>16:00-20:00</x:v>
      </x:c>
      <x:c r="C1278" s="80" t="n">
        <x:v>0</x:v>
      </x:c>
      <x:c r="D1278" s="80" t="n">
        <x:v>4453.509271263021</x:v>
      </x:c>
      <x:c r="E1278" s="81"/>
      <x:c r="F1278" s="80"/>
    </x:row>
    <x:row r="1279">
      <x:c r="A1279" s="98"/>
      <x:c r="B1279" s="99" t="str">
        <x:v>20:00-24:00</x:v>
      </x:c>
      <x:c r="C1279" s="100" t="n">
        <x:v>7050.695792169976</x:v>
      </x:c>
      <x:c r="D1279" s="100" t="n">
        <x:v>2673.6842935416666</x:v>
      </x:c>
      <x:c r="E1279" s="101"/>
      <x:c r="F1279" s="100"/>
    </x:row>
    <x:row r="1280">
      <x:c r="A1280" s="102" t="n">
        <x:v>45902</x:v>
      </x:c>
      <x:c r="B1280" s="103" t="str">
        <x:v>0:00-4:00</x:v>
      </x:c>
      <x:c r="C1280" s="104" t="n">
        <x:v>2362.7881084979444</x:v>
      </x:c>
      <x:c r="D1280" s="104" t="n">
        <x:v>582.5887333333333</x:v>
      </x:c>
      <x:c r="E1280" s="105" t="str">
        <x:v>0:00</x:v>
      </x:c>
      <x:c r="F1280" s="104" t="n">
        <x:v>9226.522252058883</x:v>
      </x:c>
    </x:row>
    <x:row r="1281">
      <x:c r="A1281" s="78"/>
      <x:c r="B1281" s="79" t="str">
        <x:v>4:00-8:00</x:v>
      </x:c>
      <x:c r="C1281" s="80" t="n">
        <x:v>105.63070016294105</x:v>
      </x:c>
      <x:c r="D1281" s="80" t="n">
        <x:v>6694.060828534977</x:v>
      </x:c>
      <x:c r="E1281" s="81" t="str">
        <x:v>24:00</x:v>
      </x:c>
      <x:c r="F1281" s="80" t="n">
        <x:v>8495.77431718938</x:v>
      </x:c>
    </x:row>
    <x:row r="1282">
      <x:c r="A1282" s="78"/>
      <x:c r="B1282" s="79" t="str">
        <x:v>8:00-12:00</x:v>
      </x:c>
      <x:c r="C1282" s="80" t="n">
        <x:v>5608.869849999999</x:v>
      </x:c>
      <x:c r="D1282" s="80" t="n">
        <x:v>1530.127516666667</x:v>
      </x:c>
      <x:c r="E1282" s="81"/>
      <x:c r="F1282" s="80"/>
    </x:row>
    <x:row r="1283">
      <x:c r="A1283" s="78"/>
      <x:c r="B1283" s="79" t="str">
        <x:v>12:00-16:00</x:v>
      </x:c>
      <x:c r="C1283" s="80" t="n">
        <x:v>4543.5842446502065</x:v>
      </x:c>
      <x:c r="D1283" s="80" t="n">
        <x:v>0</x:v>
      </x:c>
      <x:c r="E1283" s="81"/>
      <x:c r="F1283" s="80"/>
    </x:row>
    <x:row r="1284">
      <x:c r="A1284" s="78"/>
      <x:c r="B1284" s="79" t="str">
        <x:v>16:00-20:00</x:v>
      </x:c>
      <x:c r="C1284" s="80" t="n">
        <x:v>0</x:v>
      </x:c>
      <x:c r="D1284" s="80" t="n">
        <x:v>4788.066846992189</x:v>
      </x:c>
      <x:c r="E1284" s="81"/>
      <x:c r="F1284" s="80"/>
    </x:row>
    <x:row r="1285">
      <x:c r="A1285" s="98"/>
      <x:c r="B1285" s="99" t="str">
        <x:v>20:00-24:00</x:v>
      </x:c>
      <x:c r="C1285" s="100" t="n">
        <x:v>6822.237653053144</x:v>
      </x:c>
      <x:c r="D1285" s="100" t="n">
        <x:v>2811.7487665104163</x:v>
      </x:c>
      <x:c r="E1285" s="101"/>
      <x:c r="F1285" s="100"/>
    </x:row>
    <x:row r="1286">
      <x:c r="A1286" s="102" t="n">
        <x:v>45903</x:v>
      </x:c>
      <x:c r="B1286" s="103" t="str">
        <x:v>0:00-4:00</x:v>
      </x:c>
      <x:c r="C1286" s="104" t="n">
        <x:v>2560.2507586784686</x:v>
      </x:c>
      <x:c r="D1286" s="104" t="n">
        <x:v>0</x:v>
      </x:c>
      <x:c r="E1286" s="105" t="str">
        <x:v>0:00</x:v>
      </x:c>
      <x:c r="F1286" s="104" t="n">
        <x:v>8495.77431718938</x:v>
      </x:c>
    </x:row>
    <x:row r="1287">
      <x:c r="A1287" s="78"/>
      <x:c r="B1287" s="79" t="str">
        <x:v>4:00-8:00</x:v>
      </x:c>
      <x:c r="C1287" s="80" t="n">
        <x:v>48.00160765181574</x:v>
      </x:c>
      <x:c r="D1287" s="80" t="n">
        <x:v>6044.92340219797</x:v>
      </x:c>
      <x:c r="E1287" s="81" t="str">
        <x:v>24:00</x:v>
      </x:c>
      <x:c r="F1287" s="80" t="n">
        <x:v>7907.285846499906</x:v>
      </x:c>
    </x:row>
    <x:row r="1288">
      <x:c r="A1288" s="78"/>
      <x:c r="B1288" s="79" t="str">
        <x:v>8:00-12:00</x:v>
      </x:c>
      <x:c r="C1288" s="80" t="n">
        <x:v>4220.387933333333</x:v>
      </x:c>
      <x:c r="D1288" s="80" t="n">
        <x:v>545.8599500000001</x:v>
      </x:c>
      <x:c r="E1288" s="81"/>
      <x:c r="F1288" s="80"/>
    </x:row>
    <x:row r="1289">
      <x:c r="A1289" s="78"/>
      <x:c r="B1289" s="79" t="str">
        <x:v>12:00-16:00</x:v>
      </x:c>
      <x:c r="C1289" s="80" t="n">
        <x:v>3886.604709948611</x:v>
      </x:c>
      <x:c r="D1289" s="80" t="n">
        <x:v>398.5973634028085</x:v>
      </x:c>
      <x:c r="E1289" s="81"/>
      <x:c r="F1289" s="80"/>
    </x:row>
    <x:row r="1290">
      <x:c r="A1290" s="78"/>
      <x:c r="B1290" s="79" t="str">
        <x:v>16:00-20:00</x:v>
      </x:c>
      <x:c r="C1290" s="80" t="n">
        <x:v>448.134634292644</x:v>
      </x:c>
      <x:c r="D1290" s="80" t="n">
        <x:v>4905.646145024485</x:v>
      </x:c>
      <x:c r="E1290" s="81"/>
      <x:c r="F1290" s="80"/>
    </x:row>
    <x:row r="1291">
      <x:c r="A1291" s="98"/>
      <x:c r="B1291" s="99" t="str">
        <x:v>20:00-24:00</x:v>
      </x:c>
      <x:c r="C1291" s="100" t="n">
        <x:v>6419.917881895095</x:v>
      </x:c>
      <x:c r="D1291" s="100" t="n">
        <x:v>2877.083758893229</x:v>
      </x:c>
      <x:c r="E1291" s="101"/>
      <x:c r="F1291" s="100"/>
    </x:row>
    <x:row r="1292">
      <x:c r="A1292" s="102" t="n">
        <x:v>45904</x:v>
      </x:c>
      <x:c r="B1292" s="103" t="str">
        <x:v>0:00-4:00</x:v>
      </x:c>
      <x:c r="C1292" s="104" t="n">
        <x:v>2769.8014248046875</x:v>
      </x:c>
      <x:c r="D1292" s="104" t="n">
        <x:v>0</x:v>
      </x:c>
      <x:c r="E1292" s="105" t="str">
        <x:v>0:00</x:v>
      </x:c>
      <x:c r="F1292" s="104" t="n">
        <x:v>7907.285846499906</x:v>
      </x:c>
    </x:row>
    <x:row r="1293">
      <x:c r="A1293" s="78"/>
      <x:c r="B1293" s="79" t="str">
        <x:v>4:00-8:00</x:v>
      </x:c>
      <x:c r="C1293" s="80" t="n">
        <x:v>444.3254124176383</x:v>
      </x:c>
      <x:c r="D1293" s="80" t="n">
        <x:v>6467.88506672013</x:v>
      </x:c>
      <x:c r="E1293" s="81" t="str">
        <x:v>24:00</x:v>
      </x:c>
      <x:c r="F1293" s="80" t="n">
        <x:v>8117.826357436066</x:v>
      </x:c>
    </x:row>
    <x:row r="1294">
      <x:c r="A1294" s="78"/>
      <x:c r="B1294" s="79" t="str">
        <x:v>8:00-12:00</x:v>
      </x:c>
      <x:c r="C1294" s="80" t="n">
        <x:v>6153.044849999999</x:v>
      </x:c>
      <x:c r="D1294" s="80" t="n">
        <x:v>980.3952499999998</x:v>
      </x:c>
      <x:c r="E1294" s="81"/>
      <x:c r="F1294" s="80"/>
    </x:row>
    <x:row r="1295">
      <x:c r="A1295" s="78"/>
      <x:c r="B1295" s="79" t="str">
        <x:v>12:00-16:00</x:v>
      </x:c>
      <x:c r="C1295" s="80" t="n">
        <x:v>3115.1728206595308</x:v>
      </x:c>
      <x:c r="D1295" s="80" t="n">
        <x:v>210.91622862069997</x:v>
      </x:c>
      <x:c r="E1295" s="81"/>
      <x:c r="F1295" s="80"/>
    </x:row>
    <x:row r="1296">
      <x:c r="A1296" s="78"/>
      <x:c r="B1296" s="79" t="str">
        <x:v>16:00-20:00</x:v>
      </x:c>
      <x:c r="C1296" s="80" t="n">
        <x:v>490.2279405095163</x:v>
      </x:c>
      <x:c r="D1296" s="80" t="n">
        <x:v>5141.831076396196</x:v>
      </x:c>
      <x:c r="E1296" s="81"/>
      <x:c r="F1296" s="80"/>
    </x:row>
    <x:row r="1297">
      <x:c r="A1297" s="98"/>
      <x:c r="B1297" s="99" t="str">
        <x:v>20:00-24:00</x:v>
      </x:c>
      <x:c r="C1297" s="100" t="n">
        <x:v>6741.654163110532</x:v>
      </x:c>
      <x:c r="D1297" s="100" t="n">
        <x:v>2978.0094737369786</x:v>
      </x:c>
      <x:c r="E1297" s="101"/>
      <x:c r="F1297" s="100"/>
    </x:row>
    <x:row r="1298">
      <x:c r="A1298" s="102" t="n">
        <x:v>45905</x:v>
      </x:c>
      <x:c r="B1298" s="103" t="str">
        <x:v>0:00-4:00</x:v>
      </x:c>
      <x:c r="C1298" s="104" t="n">
        <x:v>1169.3163969204356</x:v>
      </x:c>
      <x:c r="D1298" s="104" t="n">
        <x:v>3837.04055</x:v>
      </x:c>
      <x:c r="E1298" s="105" t="str">
        <x:v>0:00</x:v>
      </x:c>
      <x:c r="F1298" s="104" t="n">
        <x:v>8117.826357436066</x:v>
      </x:c>
    </x:row>
    <x:row r="1299">
      <x:c r="A1299" s="78"/>
      <x:c r="B1299" s="79" t="str">
        <x:v>4:00-8:00</x:v>
      </x:c>
      <x:c r="C1299" s="80" t="n">
        <x:v>2823.2777058057086</x:v>
      </x:c>
      <x:c r="D1299" s="80" t="n">
        <x:v>2360.0557</x:v>
      </x:c>
      <x:c r="E1299" s="81" t="str">
        <x:v>24:00</x:v>
      </x:c>
      <x:c r="F1299" s="80" t="n">
        <x:v>8677.301092450312</x:v>
      </x:c>
    </x:row>
    <x:row r="1300">
      <x:c r="A1300" s="78"/>
      <x:c r="B1300" s="79" t="str">
        <x:v>8:00-12:00</x:v>
      </x:c>
      <x:c r="C1300" s="80" t="n">
        <x:v>6638.334944567114</x:v>
      </x:c>
      <x:c r="D1300" s="80" t="n">
        <x:v>0</x:v>
      </x:c>
      <x:c r="E1300" s="81"/>
      <x:c r="F1300" s="80"/>
    </x:row>
    <x:row r="1301">
      <x:c r="A1301" s="78"/>
      <x:c r="B1301" s="79" t="str">
        <x:v>12:00-16:00</x:v>
      </x:c>
      <x:c r="C1301" s="80" t="n">
        <x:v>0</x:v>
      </x:c>
      <x:c r="D1301" s="80" t="n">
        <x:v>0</x:v>
      </x:c>
      <x:c r="E1301" s="81"/>
      <x:c r="F1301" s="80"/>
    </x:row>
    <x:row r="1302">
      <x:c r="A1302" s="78"/>
      <x:c r="B1302" s="79" t="str">
        <x:v>16:00-20:00</x:v>
      </x:c>
      <x:c r="C1302" s="80" t="n">
        <x:v>148.1756838377064</x:v>
      </x:c>
      <x:c r="D1302" s="80" t="n">
        <x:v>4591.386259472924</x:v>
      </x:c>
      <x:c r="E1302" s="81"/>
      <x:c r="F1302" s="80"/>
    </x:row>
    <x:row r="1303">
      <x:c r="A1303" s="98"/>
      <x:c r="B1303" s="99" t="str">
        <x:v>20:00-24:00</x:v>
      </x:c>
      <x:c r="C1303" s="100" t="n">
        <x:v>6620.799163090116</x:v>
      </x:c>
      <x:c r="D1303" s="100" t="n">
        <x:v>2801.9123833333333</x:v>
      </x:c>
      <x:c r="E1303" s="101"/>
      <x:c r="F1303" s="100"/>
    </x:row>
    <x:row r="1304">
      <x:c r="A1304" s="102" t="n">
        <x:v>45906</x:v>
      </x:c>
      <x:c r="B1304" s="103" t="str">
        <x:v>0:00-4:00</x:v>
      </x:c>
      <x:c r="C1304" s="104" t="n">
        <x:v>1419.2904614583333</x:v>
      </x:c>
      <x:c r="D1304" s="104" t="n">
        <x:v>2940.6835441019734</x:v>
      </x:c>
      <x:c r="E1304" s="105" t="str">
        <x:v>0:00</x:v>
      </x:c>
      <x:c r="F1304" s="104" t="n">
        <x:v>8677.301092450312</x:v>
      </x:c>
    </x:row>
    <x:row r="1305">
      <x:c r="A1305" s="78"/>
      <x:c r="B1305" s="79" t="str">
        <x:v>4:00-8:00</x:v>
      </x:c>
      <x:c r="C1305" s="80" t="n">
        <x:v>611.8067746459599</x:v>
      </x:c>
      <x:c r="D1305" s="80" t="n">
        <x:v>3036.1977378638812</x:v>
      </x:c>
      <x:c r="E1305" s="81" t="str">
        <x:v>24:00</x:v>
      </x:c>
      <x:c r="F1305" s="80" t="n">
        <x:v>9131.853895238251</x:v>
      </x:c>
    </x:row>
    <x:row r="1306">
      <x:c r="A1306" s="78"/>
      <x:c r="B1306" s="79" t="str">
        <x:v>8:00-12:00</x:v>
      </x:c>
      <x:c r="C1306" s="80" t="n">
        <x:v>7706.322885822343</x:v>
      </x:c>
      <x:c r="D1306" s="80" t="n">
        <x:v>0</x:v>
      </x:c>
      <x:c r="E1306" s="81"/>
      <x:c r="F1306" s="80"/>
    </x:row>
    <x:row r="1307">
      <x:c r="A1307" s="78"/>
      <x:c r="B1307" s="79" t="str">
        <x:v>12:00-16:00</x:v>
      </x:c>
      <x:c r="C1307" s="80" t="n">
        <x:v>0</x:v>
      </x:c>
      <x:c r="D1307" s="80" t="n">
        <x:v>0</x:v>
      </x:c>
      <x:c r="E1307" s="81"/>
      <x:c r="F1307" s="80"/>
    </x:row>
    <x:row r="1308">
      <x:c r="A1308" s="78"/>
      <x:c r="B1308" s="79" t="str">
        <x:v>16:00-20:00</x:v>
      </x:c>
      <x:c r="C1308" s="80" t="n">
        <x:v>87.67890585230748</x:v>
      </x:c>
      <x:c r="D1308" s="80" t="n">
        <x:v>4331.45758527529</x:v>
      </x:c>
      <x:c r="E1308" s="81"/>
      <x:c r="F1308" s="80"/>
    </x:row>
    <x:row r="1309">
      <x:c r="A1309" s="98"/>
      <x:c r="B1309" s="99" t="str">
        <x:v>20:00-24:00</x:v>
      </x:c>
      <x:c r="C1309" s="100" t="n">
        <x:v>7427.638120060925</x:v>
      </x:c>
      <x:c r="D1309" s="100" t="n">
        <x:v>3257.2806999999993</x:v>
      </x:c>
      <x:c r="E1309" s="101"/>
      <x:c r="F1309" s="100"/>
    </x:row>
    <x:row r="1310">
      <x:c r="A1310" s="102" t="n">
        <x:v>45907</x:v>
      </x:c>
      <x:c r="B1310" s="103" t="str">
        <x:v>0:00-4:00</x:v>
      </x:c>
      <x:c r="C1310" s="104" t="n">
        <x:v>1597.0996968750003</x:v>
      </x:c>
      <x:c r="D1310" s="104" t="n">
        <x:v>0</x:v>
      </x:c>
      <x:c r="E1310" s="105" t="str">
        <x:v>0:00</x:v>
      </x:c>
      <x:c r="F1310" s="104" t="n">
        <x:v>9131.853895238251</x:v>
      </x:c>
    </x:row>
    <x:row r="1311">
      <x:c r="A1311" s="78"/>
      <x:c r="B1311" s="79" t="str">
        <x:v>4:00-8:00</x:v>
      </x:c>
      <x:c r="C1311" s="80" t="n">
        <x:v>304.02243811008464</x:v>
      </x:c>
      <x:c r="D1311" s="80" t="n">
        <x:v>6545.518151719012</x:v>
      </x:c>
      <x:c r="E1311" s="81" t="str">
        <x:v>24:00</x:v>
      </x:c>
      <x:c r="F1311" s="80" t="n">
        <x:v>7592.002611176144</x:v>
      </x:c>
    </x:row>
    <x:row r="1312">
      <x:c r="A1312" s="78"/>
      <x:c r="B1312" s="79" t="str">
        <x:v>8:00-12:00</x:v>
      </x:c>
      <x:c r="C1312" s="80" t="n">
        <x:v>4674.625094300539</x:v>
      </x:c>
      <x:c r="D1312" s="80" t="n">
        <x:v>1463.9639166666666</x:v>
      </x:c>
      <x:c r="E1312" s="81"/>
      <x:c r="F1312" s="80"/>
    </x:row>
    <x:row r="1313">
      <x:c r="A1313" s="78"/>
      <x:c r="B1313" s="79" t="str">
        <x:v>12:00-16:00</x:v>
      </x:c>
      <x:c r="C1313" s="80" t="n">
        <x:v>5165.997909814686</x:v>
      </x:c>
      <x:c r="D1313" s="80" t="n">
        <x:v>0</x:v>
      </x:c>
      <x:c r="E1313" s="81"/>
      <x:c r="F1313" s="80"/>
    </x:row>
    <x:row r="1314">
      <x:c r="A1314" s="78"/>
      <x:c r="B1314" s="79" t="str">
        <x:v>16:00-20:00</x:v>
      </x:c>
      <x:c r="C1314" s="80" t="n">
        <x:v>54.30485255826947</x:v>
      </x:c>
      <x:c r="D1314" s="80" t="n">
        <x:v>5062.340857335286</x:v>
      </x:c>
      <x:c r="E1314" s="81"/>
      <x:c r="F1314" s="80"/>
    </x:row>
    <x:row r="1315">
      <x:c r="A1315" s="98"/>
      <x:c r="B1315" s="99" t="str">
        <x:v>20:00-24:00</x:v>
      </x:c>
      <x:c r="C1315" s="100" t="n">
        <x:v>6383.898575905028</x:v>
      </x:c>
      <x:c r="D1315" s="100" t="n">
        <x:v>3039.8015696614584</x:v>
      </x:c>
      <x:c r="E1315" s="101"/>
      <x:c r="F1315" s="100"/>
    </x:row>
    <x:row r="1316">
      <x:c r="A1316" s="102" t="n">
        <x:v>45908</x:v>
      </x:c>
      <x:c r="B1316" s="103" t="str">
        <x:v>0:00-4:00</x:v>
      </x:c>
      <x:c r="C1316" s="104" t="n">
        <x:v>535.5985780598954</x:v>
      </x:c>
      <x:c r="D1316" s="104" t="n">
        <x:v>30.60255989583345</x:v>
      </x:c>
      <x:c r="E1316" s="105" t="str">
        <x:v>0:00</x:v>
      </x:c>
      <x:c r="F1316" s="104" t="n">
        <x:v>7592.002611176144</x:v>
      </x:c>
    </x:row>
    <x:row r="1317">
      <x:c r="A1317" s="78"/>
      <x:c r="B1317" s="79" t="str">
        <x:v>4:00-8:00</x:v>
      </x:c>
      <x:c r="C1317" s="80" t="n">
        <x:v>3106.1630057061902</x:v>
      </x:c>
      <x:c r="D1317" s="80" t="n">
        <x:v>6456.040673013224</x:v>
      </x:c>
      <x:c r="E1317" s="81" t="str">
        <x:v>24:00</x:v>
      </x:c>
      <x:c r="F1317" s="80" t="n">
        <x:v>6134.427277063657</x:v>
      </x:c>
    </x:row>
    <x:row r="1318">
      <x:c r="A1318" s="78"/>
      <x:c r="B1318" s="79" t="str">
        <x:v>8:00-12:00</x:v>
      </x:c>
      <x:c r="C1318" s="80" t="n">
        <x:v>3382.2131000000004</x:v>
      </x:c>
      <x:c r="D1318" s="80" t="n">
        <x:v>1186.5613666666663</x:v>
      </x:c>
      <x:c r="E1318" s="81"/>
      <x:c r="F1318" s="80"/>
    </x:row>
    <x:row r="1319">
      <x:c r="A1319" s="78"/>
      <x:c r="B1319" s="79" t="str">
        <x:v>12:00-16:00</x:v>
      </x:c>
      <x:c r="C1319" s="80" t="n">
        <x:v>3230.4905833333332</x:v>
      </x:c>
      <x:c r="D1319" s="80" t="n">
        <x:v>1626.6039426062812</x:v>
      </x:c>
      <x:c r="E1319" s="81"/>
      <x:c r="F1319" s="80"/>
    </x:row>
    <x:row r="1320">
      <x:c r="A1320" s="78"/>
      <x:c r="B1320" s="79" t="str">
        <x:v>16:00-20:00</x:v>
      </x:c>
      <x:c r="C1320" s="80" t="n">
        <x:v>114.59117962679511</x:v>
      </x:c>
      <x:c r="D1320" s="80" t="n">
        <x:v>4851.929529724757</x:v>
      </x:c>
      <x:c r="E1320" s="81"/>
      <x:c r="F1320" s="80"/>
    </x:row>
    <x:row r="1321">
      <x:c r="A1321" s="98"/>
      <x:c r="B1321" s="99" t="str">
        <x:v>20:00-24:00</x:v>
      </x:c>
      <x:c r="C1321" s="100" t="n">
        <x:v>5522.20769639982</x:v>
      </x:c>
      <x:c r="D1321" s="100" t="n">
        <x:v>32.00368472656248</x:v>
      </x:c>
      <x:c r="E1321" s="101"/>
      <x:c r="F1321" s="100"/>
    </x:row>
    <x:row r="1322">
      <x:c r="A1322" s="102" t="n">
        <x:v>45909</x:v>
      </x:c>
      <x:c r="B1322" s="103" t="str">
        <x:v>0:00-4:00</x:v>
      </x:c>
      <x:c r="C1322" s="104" t="n">
        <x:v>3754.349669368944</x:v>
      </x:c>
      <x:c r="D1322" s="104" t="n">
        <x:v>8.425008138020871</x:v>
      </x:c>
      <x:c r="E1322" s="105" t="str">
        <x:v>0:00</x:v>
      </x:c>
      <x:c r="F1322" s="104" t="n">
        <x:v>6134.427277063657</x:v>
      </x:c>
    </x:row>
    <x:row r="1323">
      <x:c r="A1323" s="78"/>
      <x:c r="B1323" s="79" t="str">
        <x:v>4:00-8:00</x:v>
      </x:c>
      <x:c r="C1323" s="80" t="n">
        <x:v>871.3380052188418</x:v>
      </x:c>
      <x:c r="D1323" s="80" t="n">
        <x:v>6680.795744791666</x:v>
      </x:c>
      <x:c r="E1323" s="81" t="str">
        <x:v>24:00</x:v>
      </x:c>
      <x:c r="F1323" s="80" t="n">
        <x:v>6416.677845976127</x:v>
      </x:c>
    </x:row>
    <x:row r="1324">
      <x:c r="A1324" s="78"/>
      <x:c r="B1324" s="79" t="str">
        <x:v>8:00-12:00</x:v>
      </x:c>
      <x:c r="C1324" s="80" t="n">
        <x:v>6885.848872530385</x:v>
      </x:c>
      <x:c r="D1324" s="80" t="n">
        <x:v>818.8077833333334</x:v>
      </x:c>
      <x:c r="E1324" s="81"/>
      <x:c r="F1324" s="80"/>
    </x:row>
    <x:row r="1325">
      <x:c r="A1325" s="78"/>
      <x:c r="B1325" s="79" t="str">
        <x:v>12:00-16:00</x:v>
      </x:c>
      <x:c r="C1325" s="80" t="n">
        <x:v>2961.0298032484206</x:v>
      </x:c>
      <x:c r="D1325" s="80" t="n">
        <x:v>476.7934810289189</x:v>
      </x:c>
      <x:c r="E1325" s="81"/>
      <x:c r="F1325" s="80"/>
    </x:row>
    <x:row r="1326">
      <x:c r="A1326" s="78"/>
      <x:c r="B1326" s="79" t="str">
        <x:v>16:00-20:00</x:v>
      </x:c>
      <x:c r="C1326" s="80" t="n">
        <x:v>124.23738202611162</x:v>
      </x:c>
      <x:c r="D1326" s="80" t="n">
        <x:v>5543.834979804262</x:v>
      </x:c>
      <x:c r="E1326" s="81"/>
      <x:c r="F1326" s="80"/>
    </x:row>
    <x:row r="1327">
      <x:c r="A1327" s="98"/>
      <x:c r="B1327" s="99" t="str">
        <x:v>20:00-24:00</x:v>
      </x:c>
      <x:c r="C1327" s="100" t="n">
        <x:v>5797.647383999967</x:v>
      </x:c>
      <x:c r="D1327" s="100" t="n">
        <x:v>2736.8228951606397</x:v>
      </x:c>
      <x:c r="E1327" s="101"/>
      <x:c r="F1327" s="100"/>
    </x:row>
    <x:row r="1328">
      <x:c r="A1328" s="102" t="n">
        <x:v>45910</x:v>
      </x:c>
      <x:c r="B1328" s="103" t="str">
        <x:v>0:00-4:00</x:v>
      </x:c>
      <x:c r="C1328" s="104" t="n">
        <x:v>4523.597069247287</x:v>
      </x:c>
      <x:c r="D1328" s="104" t="n">
        <x:v>164.90072441406244</x:v>
      </x:c>
      <x:c r="E1328" s="105" t="str">
        <x:v>0:00</x:v>
      </x:c>
      <x:c r="F1328" s="104" t="n">
        <x:v>6416.677845976127</x:v>
      </x:c>
    </x:row>
    <x:row r="1329">
      <x:c r="A1329" s="78"/>
      <x:c r="B1329" s="79" t="str">
        <x:v>4:00-8:00</x:v>
      </x:c>
      <x:c r="C1329" s="80" t="n">
        <x:v>192.6749361748507</x:v>
      </x:c>
      <x:c r="D1329" s="80" t="n">
        <x:v>7950.5560166666655</x:v>
      </x:c>
      <x:c r="E1329" s="81" t="str">
        <x:v>24:00</x:v>
      </x:c>
      <x:c r="F1329" s="80" t="n">
        <x:v>6156.87113827252</x:v>
      </x:c>
    </x:row>
    <x:row r="1330">
      <x:c r="A1330" s="78"/>
      <x:c r="B1330" s="79" t="str">
        <x:v>8:00-12:00</x:v>
      </x:c>
      <x:c r="C1330" s="80" t="n">
        <x:v>3362.8100999999997</x:v>
      </x:c>
      <x:c r="D1330" s="80" t="n">
        <x:v>399.73364468972056</x:v>
      </x:c>
      <x:c r="E1330" s="81"/>
      <x:c r="F1330" s="80"/>
    </x:row>
    <x:row r="1331">
      <x:c r="A1331" s="78"/>
      <x:c r="B1331" s="79" t="str">
        <x:v>12:00-16:00</x:v>
      </x:c>
      <x:c r="C1331" s="80" t="n">
        <x:v>3317.3774899774066</x:v>
      </x:c>
      <x:c r="D1331" s="80" t="n">
        <x:v>562.5736343304472</x:v>
      </x:c>
      <x:c r="E1331" s="81"/>
      <x:c r="F1331" s="80"/>
    </x:row>
    <x:row r="1332">
      <x:c r="A1332" s="78"/>
      <x:c r="B1332" s="79" t="str">
        <x:v>16:00-20:00</x:v>
      </x:c>
      <x:c r="C1332" s="80" t="n">
        <x:v>421.02850344144787</x:v>
      </x:c>
      <x:c r="D1332" s="80" t="n">
        <x:v>5189.411401338823</x:v>
      </x:c>
      <x:c r="E1332" s="81"/>
      <x:c r="F1332" s="80"/>
    </x:row>
    <x:row r="1333">
      <x:c r="A1333" s="98"/>
      <x:c r="B1333" s="99" t="str">
        <x:v>20:00-24:00</x:v>
      </x:c>
      <x:c r="C1333" s="100" t="n">
        <x:v>5576.595521436471</x:v>
      </x:c>
      <x:c r="D1333" s="100" t="n">
        <x:v>55.85834791827392</x:v>
      </x:c>
      <x:c r="E1333" s="101"/>
      <x:c r="F1333" s="100"/>
    </x:row>
    <x:row r="1334">
      <x:c r="A1334" s="102" t="n">
        <x:v>45911</x:v>
      </x:c>
      <x:c r="B1334" s="103" t="str">
        <x:v>0:00-4:00</x:v>
      </x:c>
      <x:c r="C1334" s="104" t="n">
        <x:v>4584.966520963541</x:v>
      </x:c>
      <x:c r="D1334" s="104" t="n">
        <x:v>21.688862434895896</x:v>
      </x:c>
      <x:c r="E1334" s="105" t="str">
        <x:v>0:00</x:v>
      </x:c>
      <x:c r="F1334" s="104" t="n">
        <x:v>6156.87113827252</x:v>
      </x:c>
    </x:row>
    <x:row r="1335">
      <x:c r="A1335" s="78"/>
      <x:c r="B1335" s="79" t="str">
        <x:v>4:00-8:00</x:v>
      </x:c>
      <x:c r="C1335" s="80" t="n">
        <x:v>673.4165771540277</x:v>
      </x:c>
      <x:c r="D1335" s="80" t="n">
        <x:v>6795.079154818938</x:v>
      </x:c>
      <x:c r="E1335" s="81" t="str">
        <x:v>24:00</x:v>
      </x:c>
      <x:c r="F1335" s="80" t="n">
        <x:v>6540.452374705715</x:v>
      </x:c>
    </x:row>
    <x:row r="1336">
      <x:c r="A1336" s="78"/>
      <x:c r="B1336" s="79" t="str">
        <x:v>8:00-12:00</x:v>
      </x:c>
      <x:c r="C1336" s="80" t="n">
        <x:v>6132.253266666666</x:v>
      </x:c>
      <x:c r="D1336" s="80" t="n">
        <x:v>1728.5034</x:v>
      </x:c>
      <x:c r="E1336" s="81"/>
      <x:c r="F1336" s="80"/>
    </x:row>
    <x:row r="1337">
      <x:c r="A1337" s="78"/>
      <x:c r="B1337" s="79" t="str">
        <x:v>12:00-16:00</x:v>
      </x:c>
      <x:c r="C1337" s="80" t="n">
        <x:v>4318.113502880659</x:v>
      </x:c>
      <x:c r="D1337" s="80" t="n">
        <x:v>39.61907845449076</x:v>
      </x:c>
      <x:c r="E1337" s="81"/>
      <x:c r="F1337" s="80"/>
    </x:row>
    <x:row r="1338">
      <x:c r="A1338" s="78"/>
      <x:c r="B1338" s="79" t="str">
        <x:v>16:00-20:00</x:v>
      </x:c>
      <x:c r="C1338" s="80" t="n">
        <x:v>190.90505653691594</x:v>
      </x:c>
      <x:c r="D1338" s="80" t="n">
        <x:v>5406.593015012935</x:v>
      </x:c>
      <x:c r="E1338" s="81"/>
      <x:c r="F1338" s="80"/>
    </x:row>
    <x:row r="1339">
      <x:c r="A1339" s="98"/>
      <x:c r="B1339" s="99" t="str">
        <x:v>20:00-24:00</x:v>
      </x:c>
      <x:c r="C1339" s="100" t="n">
        <x:v>5777.326860172325</x:v>
      </x:c>
      <x:c r="D1339" s="100" t="n">
        <x:v>3221.6486218319183</x:v>
      </x:c>
      <x:c r="E1339" s="101"/>
      <x:c r="F1339" s="100"/>
    </x:row>
    <x:row r="1340">
      <x:c r="A1340" s="102" t="n">
        <x:v>45912</x:v>
      </x:c>
      <x:c r="B1340" s="103" t="str">
        <x:v>0:00-4:00</x:v>
      </x:c>
      <x:c r="C1340" s="104" t="n">
        <x:v>742.883869921875</x:v>
      </x:c>
      <x:c r="D1340" s="104" t="n">
        <x:v>1683.0071985182008</x:v>
      </x:c>
      <x:c r="E1340" s="105" t="str">
        <x:v>0:00</x:v>
      </x:c>
      <x:c r="F1340" s="104" t="n">
        <x:v>6540.452374705715</x:v>
      </x:c>
    </x:row>
    <x:row r="1341">
      <x:c r="A1341" s="78"/>
      <x:c r="B1341" s="79" t="str">
        <x:v>4:00-8:00</x:v>
      </x:c>
      <x:c r="C1341" s="80" t="n">
        <x:v>281.1478890206731</x:v>
      </x:c>
      <x:c r="D1341" s="80" t="n">
        <x:v>3485.1205189618586</x:v>
      </x:c>
      <x:c r="E1341" s="81" t="str">
        <x:v>24:00</x:v>
      </x:c>
      <x:c r="F1341" s="80" t="n">
        <x:v>7757.511371328327</x:v>
      </x:c>
    </x:row>
    <x:row r="1342">
      <x:c r="A1342" s="78"/>
      <x:c r="B1342" s="79" t="str">
        <x:v>8:00-12:00</x:v>
      </x:c>
      <x:c r="C1342" s="80" t="n">
        <x:v>10089.203525310437</x:v>
      </x:c>
      <x:c r="D1342" s="80" t="n">
        <x:v>0</x:v>
      </x:c>
      <x:c r="E1342" s="81"/>
      <x:c r="F1342" s="80"/>
    </x:row>
    <x:row r="1343">
      <x:c r="A1343" s="78"/>
      <x:c r="B1343" s="79" t="str">
        <x:v>12:00-16:00</x:v>
      </x:c>
      <x:c r="C1343" s="80" t="n">
        <x:v>0</x:v>
      </x:c>
      <x:c r="D1343" s="80" t="n">
        <x:v>0</x:v>
      </x:c>
      <x:c r="E1343" s="81"/>
      <x:c r="F1343" s="80"/>
    </x:row>
    <x:row r="1344">
      <x:c r="A1344" s="78"/>
      <x:c r="B1344" s="79" t="str">
        <x:v>16:00-20:00</x:v>
      </x:c>
      <x:c r="C1344" s="80" t="n">
        <x:v>208.82592514314442</x:v>
      </x:c>
      <x:c r="D1344" s="80" t="n">
        <x:v>4955.153092963682</x:v>
      </x:c>
      <x:c r="E1344" s="81"/>
      <x:c r="F1344" s="80"/>
    </x:row>
    <x:row r="1345">
      <x:c r="A1345" s="98"/>
      <x:c r="B1345" s="99" t="str">
        <x:v>20:00-24:00</x:v>
      </x:c>
      <x:c r="C1345" s="100" t="n">
        <x:v>5911.286275632073</x:v>
      </x:c>
      <x:c r="D1345" s="100" t="n">
        <x:v>2740.37755546875</x:v>
      </x:c>
      <x:c r="E1345" s="101"/>
      <x:c r="F1345" s="100"/>
    </x:row>
    <x:row r="1346">
      <x:c r="A1346" s="102" t="n">
        <x:v>45913</x:v>
      </x:c>
      <x:c r="B1346" s="103" t="str">
        <x:v>0:00-4:00</x:v>
      </x:c>
      <x:c r="C1346" s="104" t="n">
        <x:v>788.3853244140624</x:v>
      </x:c>
      <x:c r="D1346" s="104" t="n">
        <x:v>1683.0462499999999</x:v>
      </x:c>
      <x:c r="E1346" s="105" t="str">
        <x:v>0:00</x:v>
      </x:c>
      <x:c r="F1346" s="104" t="n">
        <x:v>7757.511371328327</x:v>
      </x:c>
    </x:row>
    <x:row r="1347">
      <x:c r="A1347" s="78"/>
      <x:c r="B1347" s="79" t="str">
        <x:v>4:00-8:00</x:v>
      </x:c>
      <x:c r="C1347" s="80" t="n">
        <x:v>330.5336320963542</x:v>
      </x:c>
      <x:c r="D1347" s="80" t="n">
        <x:v>4297.487873672294</x:v>
      </x:c>
      <x:c r="E1347" s="81" t="str">
        <x:v>24:00</x:v>
      </x:c>
      <x:c r="F1347" s="80" t="n">
        <x:v>6720.452086504205</x:v>
      </x:c>
    </x:row>
    <x:row r="1348">
      <x:c r="A1348" s="78"/>
      <x:c r="B1348" s="79" t="str">
        <x:v>8:00-12:00</x:v>
      </x:c>
      <x:c r="C1348" s="80" t="n">
        <x:v>9644.999425559708</x:v>
      </x:c>
      <x:c r="D1348" s="80" t="n">
        <x:v>0</x:v>
      </x:c>
      <x:c r="E1348" s="81"/>
      <x:c r="F1348" s="80"/>
    </x:row>
    <x:row r="1349">
      <x:c r="A1349" s="78"/>
      <x:c r="B1349" s="79" t="str">
        <x:v>12:00-16:00</x:v>
      </x:c>
      <x:c r="C1349" s="80" t="n">
        <x:v>0</x:v>
      </x:c>
      <x:c r="D1349" s="80" t="n">
        <x:v>21.19583333333336</x:v>
      </x:c>
      <x:c r="E1349" s="81"/>
      <x:c r="F1349" s="80"/>
    </x:row>
    <x:row r="1350">
      <x:c r="A1350" s="78"/>
      <x:c r="B1350" s="79" t="str">
        <x:v>16:00-20:00</x:v>
      </x:c>
      <x:c r="C1350" s="80" t="n">
        <x:v>108.46150251873651</x:v>
      </x:c>
      <x:c r="D1350" s="80" t="n">
        <x:v>5689.368638003449</x:v>
      </x:c>
      <x:c r="E1350" s="81"/>
      <x:c r="F1350" s="80"/>
    </x:row>
    <x:row r="1351">
      <x:c r="A1351" s="98"/>
      <x:c r="B1351" s="99" t="str">
        <x:v>20:00-24:00</x:v>
      </x:c>
      <x:c r="C1351" s="100" t="n">
        <x:v>6518.0956926625195</x:v>
      </x:c>
      <x:c r="D1351" s="100" t="n">
        <x:v>3328.53997890625</x:v>
      </x:c>
      <x:c r="E1351" s="101"/>
      <x:c r="F1351" s="100"/>
    </x:row>
    <x:row r="1352">
      <x:c r="A1352" s="102" t="n">
        <x:v>45914</x:v>
      </x:c>
      <x:c r="B1352" s="103" t="str">
        <x:v>0:00-4:00</x:v>
      </x:c>
      <x:c r="C1352" s="104" t="n">
        <x:v>3341.6029529510565</x:v>
      </x:c>
      <x:c r="D1352" s="104" t="n">
        <x:v>36.002208007812555</x:v>
      </x:c>
      <x:c r="E1352" s="105" t="str">
        <x:v>0:00</x:v>
      </x:c>
      <x:c r="F1352" s="104" t="n">
        <x:v>6720.452086504205</x:v>
      </x:c>
    </x:row>
    <x:row r="1353">
      <x:c r="A1353" s="78"/>
      <x:c r="B1353" s="79" t="str">
        <x:v>4:00-8:00</x:v>
      </x:c>
      <x:c r="C1353" s="80" t="n">
        <x:v>1319.541530974526</x:v>
      </x:c>
      <x:c r="D1353" s="80" t="n">
        <x:v>7123.836535159024</x:v>
      </x:c>
      <x:c r="E1353" s="81" t="str">
        <x:v>24:00</x:v>
      </x:c>
      <x:c r="F1353" s="80" t="n">
        <x:v>6052.526761249999</x:v>
      </x:c>
    </x:row>
    <x:row r="1354">
      <x:c r="A1354" s="78"/>
      <x:c r="B1354" s="79" t="str">
        <x:v>8:00-12:00</x:v>
      </x:c>
      <x:c r="C1354" s="80" t="n">
        <x:v>3460.8739403411137</x:v>
      </x:c>
      <x:c r="D1354" s="80" t="n">
        <x:v>1584.0951666666663</x:v>
      </x:c>
      <x:c r="E1354" s="81"/>
      <x:c r="F1354" s="80"/>
    </x:row>
    <x:row r="1355">
      <x:c r="A1355" s="78"/>
      <x:c r="B1355" s="79" t="str">
        <x:v>12:00-16:00</x:v>
      </x:c>
      <x:c r="C1355" s="80" t="n">
        <x:v>3085.35124229943</x:v>
      </x:c>
      <x:c r="D1355" s="80" t="n">
        <x:v>132.20245931379245</x:v>
      </x:c>
      <x:c r="E1355" s="81"/>
      <x:c r="F1355" s="80"/>
    </x:row>
    <x:row r="1356">
      <x:c r="A1356" s="78"/>
      <x:c r="B1356" s="79" t="str">
        <x:v>16:00-20:00</x:v>
      </x:c>
      <x:c r="C1356" s="80" t="n">
        <x:v>66.56972301425219</x:v>
      </x:c>
      <x:c r="D1356" s="80" t="n">
        <x:v>5224.161414266594</x:v>
      </x:c>
      <x:c r="E1356" s="81"/>
      <x:c r="F1356" s="80"/>
    </x:row>
    <x:row r="1357">
      <x:c r="A1357" s="98"/>
      <x:c r="B1357" s="99" t="str">
        <x:v>20:00-24:00</x:v>
      </x:c>
      <x:c r="C1357" s="100" t="n">
        <x:v>5502.7730113908165</x:v>
      </x:c>
      <x:c r="D1357" s="100" t="n">
        <x:v>89.97205410156243</x:v>
      </x:c>
      <x:c r="E1357" s="101"/>
      <x:c r="F1357" s="100"/>
    </x:row>
    <x:row r="1358">
      <x:c r="A1358" s="102" t="n">
        <x:v>45915</x:v>
      </x:c>
      <x:c r="B1358" s="103" t="str">
        <x:v>0:00-4:00</x:v>
      </x:c>
      <x:c r="C1358" s="104" t="n">
        <x:v>2964.247604926216</x:v>
      </x:c>
      <x:c r="D1358" s="104" t="n">
        <x:v>105.0593208984377</x:v>
      </x:c>
      <x:c r="E1358" s="105" t="str">
        <x:v>0:00</x:v>
      </x:c>
      <x:c r="F1358" s="104" t="n">
        <x:v>6052.526761249999</x:v>
      </x:c>
    </x:row>
    <x:row r="1359">
      <x:c r="A1359" s="78"/>
      <x:c r="B1359" s="79" t="str">
        <x:v>4:00-8:00</x:v>
      </x:c>
      <x:c r="C1359" s="80" t="n">
        <x:v>2442.0361889170163</x:v>
      </x:c>
      <x:c r="D1359" s="80" t="n">
        <x:v>7551.677847522187</x:v>
      </x:c>
      <x:c r="E1359" s="81" t="str">
        <x:v>24:00</x:v>
      </x:c>
      <x:c r="F1359" s="80" t="n">
        <x:v>6189.285042250206</x:v>
      </x:c>
    </x:row>
    <x:row r="1360">
      <x:c r="A1360" s="78"/>
      <x:c r="B1360" s="79" t="str">
        <x:v>8:00-12:00</x:v>
      </x:c>
      <x:c r="C1360" s="80" t="n">
        <x:v>7238.113316666666</x:v>
      </x:c>
      <x:c r="D1360" s="80" t="n">
        <x:v>1089.6267897173952</x:v>
      </x:c>
      <x:c r="E1360" s="81"/>
      <x:c r="F1360" s="80"/>
    </x:row>
    <x:row r="1361">
      <x:c r="A1361" s="78"/>
      <x:c r="B1361" s="79" t="str">
        <x:v>12:00-16:00</x:v>
      </x:c>
      <x:c r="C1361" s="80" t="n">
        <x:v>3428.553350000002</x:v>
      </x:c>
      <x:c r="D1361" s="80" t="n">
        <x:v>415.06287714428834</x:v>
      </x:c>
      <x:c r="E1361" s="81"/>
      <x:c r="F1361" s="80"/>
    </x:row>
    <x:row r="1362">
      <x:c r="A1362" s="78"/>
      <x:c r="B1362" s="79" t="str">
        <x:v>16:00-20:00</x:v>
      </x:c>
      <x:c r="C1362" s="80" t="n">
        <x:v>234.88628182321014</x:v>
      </x:c>
      <x:c r="D1362" s="80" t="n">
        <x:v>6487.962962452426</x:v>
      </x:c>
      <x:c r="E1362" s="81"/>
      <x:c r="F1362" s="80"/>
    </x:row>
    <x:row r="1363">
      <x:c r="A1363" s="98"/>
      <x:c r="B1363" s="99" t="str">
        <x:v>20:00-24:00</x:v>
      </x:c>
      <x:c r="C1363" s="100" t="n">
        <x:v>5551.836579852592</x:v>
      </x:c>
      <x:c r="D1363" s="100" t="n">
        <x:v>1933.8631403354977</x:v>
      </x:c>
      <x:c r="E1363" s="101"/>
      <x:c r="F1363" s="100"/>
    </x:row>
    <x:row r="1364">
      <x:c r="A1364" s="102" t="n">
        <x:v>45916</x:v>
      </x:c>
      <x:c r="B1364" s="103" t="str">
        <x:v>0:00-4:00</x:v>
      </x:c>
      <x:c r="C1364" s="104" t="n">
        <x:v>3549.0845517532443</x:v>
      </x:c>
      <x:c r="D1364" s="104" t="n">
        <x:v>329.3852576822916</x:v>
      </x:c>
      <x:c r="E1364" s="105" t="str">
        <x:v>0:00</x:v>
      </x:c>
      <x:c r="F1364" s="104" t="n">
        <x:v>6189.285042250206</x:v>
      </x:c>
    </x:row>
    <x:row r="1365">
      <x:c r="A1365" s="78"/>
      <x:c r="B1365" s="79" t="str">
        <x:v>4:00-8:00</x:v>
      </x:c>
      <x:c r="C1365" s="80" t="n">
        <x:v>1654.0819807942707</x:v>
      </x:c>
      <x:c r="D1365" s="80" t="n">
        <x:v>7273.638173964155</x:v>
      </x:c>
      <x:c r="E1365" s="81" t="str">
        <x:v>24:00</x:v>
      </x:c>
      <x:c r="F1365" s="80" t="n">
        <x:v>5829.925718223379</x:v>
      </x:c>
    </x:row>
    <x:row r="1366">
      <x:c r="A1366" s="78"/>
      <x:c r="B1366" s="79" t="str">
        <x:v>8:00-12:00</x:v>
      </x:c>
      <x:c r="C1366" s="80" t="n">
        <x:v>3619.5022500000005</x:v>
      </x:c>
      <x:c r="D1366" s="80" t="n">
        <x:v>1101.8979977422302</x:v>
      </x:c>
      <x:c r="E1366" s="81"/>
      <x:c r="F1366" s="80"/>
    </x:row>
    <x:row r="1367">
      <x:c r="A1367" s="78"/>
      <x:c r="B1367" s="79" t="str">
        <x:v>12:00-16:00</x:v>
      </x:c>
      <x:c r="C1367" s="80" t="n">
        <x:v>4791.288555590304</x:v>
      </x:c>
      <x:c r="D1367" s="80" t="n">
        <x:v>436.0974117050182</x:v>
      </x:c>
      <x:c r="E1367" s="81"/>
      <x:c r="F1367" s="80"/>
    </x:row>
    <x:row r="1368">
      <x:c r="A1368" s="78"/>
      <x:c r="B1368" s="79" t="str">
        <x:v>16:00-20:00</x:v>
      </x:c>
      <x:c r="C1368" s="80" t="n">
        <x:v>153.60192719183573</x:v>
      </x:c>
      <x:c r="D1368" s="80" t="n">
        <x:v>5833.19416164168</x:v>
      </x:c>
      <x:c r="E1368" s="81"/>
      <x:c r="F1368" s="80"/>
    </x:row>
    <x:row r="1369">
      <x:c r="A1369" s="98"/>
      <x:c r="B1369" s="99" t="str">
        <x:v>20:00-24:00</x:v>
      </x:c>
      <x:c r="C1369" s="100" t="n">
        <x:v>5267.100672198108</x:v>
      </x:c>
      <x:c r="D1369" s="100" t="n">
        <x:v>767.2849382862626</x:v>
      </x:c>
      <x:c r="E1369" s="101"/>
      <x:c r="F1369" s="100"/>
    </x:row>
    <x:row r="1370">
      <x:c r="A1370" s="102" t="n">
        <x:v>45917</x:v>
      </x:c>
      <x:c r="B1370" s="103" t="str">
        <x:v>0:00-4:00</x:v>
      </x:c>
      <x:c r="C1370" s="104" t="n">
        <x:v>4895.0057499123905</x:v>
      </x:c>
      <x:c r="D1370" s="104" t="n">
        <x:v>56.42007076822904</x:v>
      </x:c>
      <x:c r="E1370" s="105" t="str">
        <x:v>0:00</x:v>
      </x:c>
      <x:c r="F1370" s="104" t="n">
        <x:v>5829.925718223379</x:v>
      </x:c>
    </x:row>
    <x:row r="1371">
      <x:c r="A1371" s="78"/>
      <x:c r="B1371" s="79" t="str">
        <x:v>4:00-8:00</x:v>
      </x:c>
      <x:c r="C1371" s="80" t="n">
        <x:v>774.1902802464348</x:v>
      </x:c>
      <x:c r="D1371" s="80" t="n">
        <x:v>7370.394571207086</x:v>
      </x:c>
      <x:c r="E1371" s="81" t="str">
        <x:v>24:00</x:v>
      </x:c>
      <x:c r="F1371" s="80" t="n">
        <x:v>5887.697785411169</x:v>
      </x:c>
    </x:row>
    <x:row r="1372">
      <x:c r="A1372" s="78"/>
      <x:c r="B1372" s="79" t="str">
        <x:v>8:00-12:00</x:v>
      </x:c>
      <x:c r="C1372" s="80" t="n">
        <x:v>3183.92934875631</x:v>
      </x:c>
      <x:c r="D1372" s="80" t="n">
        <x:v>1336.6408648543756</x:v>
      </x:c>
      <x:c r="E1372" s="81"/>
      <x:c r="F1372" s="80"/>
    </x:row>
    <x:row r="1373">
      <x:c r="A1373" s="78"/>
      <x:c r="B1373" s="79" t="str">
        <x:v>12:00-16:00</x:v>
      </x:c>
      <x:c r="C1373" s="80" t="n">
        <x:v>5421.195885319228</x:v>
      </x:c>
      <x:c r="D1373" s="80" t="n">
        <x:v>74.72643007318315</x:v>
      </x:c>
      <x:c r="E1373" s="81"/>
      <x:c r="F1373" s="80"/>
    </x:row>
    <x:row r="1374">
      <x:c r="A1374" s="78"/>
      <x:c r="B1374" s="79" t="str">
        <x:v>16:00-20:00</x:v>
      </x:c>
      <x:c r="C1374" s="80" t="n">
        <x:v>109.21924373845934</x:v>
      </x:c>
      <x:c r="D1374" s="80" t="n">
        <x:v>5559.738018220015</x:v>
      </x:c>
      <x:c r="E1374" s="81"/>
      <x:c r="F1374" s="80"/>
    </x:row>
    <x:row r="1375">
      <x:c r="A1375" s="98"/>
      <x:c r="B1375" s="99" t="str">
        <x:v>20:00-24:00</x:v>
      </x:c>
      <x:c r="C1375" s="100" t="n">
        <x:v>5399.213485450746</x:v>
      </x:c>
      <x:c r="D1375" s="100" t="n">
        <x:v>1574.115919081194</x:v>
      </x:c>
      <x:c r="E1375" s="101"/>
      <x:c r="F1375" s="100"/>
    </x:row>
    <x:row r="1376">
      <x:c r="A1376" s="102" t="n">
        <x:v>45918</x:v>
      </x:c>
      <x:c r="B1376" s="103" t="str">
        <x:v>0:00-4:00</x:v>
      </x:c>
      <x:c r="C1376" s="104" t="n">
        <x:v>3951.7165836794306</x:v>
      </x:c>
      <x:c r="D1376" s="104" t="n">
        <x:v>82.84348691406262</x:v>
      </x:c>
      <x:c r="E1376" s="105" t="str">
        <x:v>0:00</x:v>
      </x:c>
      <x:c r="F1376" s="104" t="n">
        <x:v>5887.697785411169</x:v>
      </x:c>
    </x:row>
    <x:row r="1377">
      <x:c r="A1377" s="78"/>
      <x:c r="B1377" s="79" t="str">
        <x:v>4:00-8:00</x:v>
      </x:c>
      <x:c r="C1377" s="80" t="n">
        <x:v>1621.1569478448384</x:v>
      </x:c>
      <x:c r="D1377" s="80" t="n">
        <x:v>7044.549219942821</x:v>
      </x:c>
      <x:c r="E1377" s="81" t="str">
        <x:v>24:00</x:v>
      </x:c>
      <x:c r="F1377" s="80" t="n">
        <x:v>6072.654883870804</x:v>
      </x:c>
    </x:row>
    <x:row r="1378">
      <x:c r="A1378" s="78"/>
      <x:c r="B1378" s="79" t="str">
        <x:v>8:00-12:00</x:v>
      </x:c>
      <x:c r="C1378" s="80" t="n">
        <x:v>4353.601753548792</x:v>
      </x:c>
      <x:c r="D1378" s="80" t="n">
        <x:v>1605.5628605478319</x:v>
      </x:c>
      <x:c r="E1378" s="81"/>
      <x:c r="F1378" s="80"/>
    </x:row>
    <x:row r="1379">
      <x:c r="A1379" s="78"/>
      <x:c r="B1379" s="79" t="str">
        <x:v>12:00-16:00</x:v>
      </x:c>
      <x:c r="C1379" s="80" t="n">
        <x:v>5371.810567529446</x:v>
      </x:c>
      <x:c r="D1379" s="80" t="n">
        <x:v>119.22652528906481</x:v>
      </x:c>
      <x:c r="E1379" s="81"/>
      <x:c r="F1379" s="80"/>
    </x:row>
    <x:row r="1380">
      <x:c r="A1380" s="78"/>
      <x:c r="B1380" s="79" t="str">
        <x:v>16:00-20:00</x:v>
      </x:c>
      <x:c r="C1380" s="80" t="n">
        <x:v>118.80588138109874</x:v>
      </x:c>
      <x:c r="D1380" s="80" t="n">
        <x:v>5761.845223971548</x:v>
      </x:c>
      <x:c r="E1380" s="81"/>
      <x:c r="F1380" s="80"/>
    </x:row>
    <x:row r="1381">
      <x:c r="A1381" s="98"/>
      <x:c r="B1381" s="99" t="str">
        <x:v>20:00-24:00</x:v>
      </x:c>
      <x:c r="C1381" s="100" t="n">
        <x:v>5507.22832633343</x:v>
      </x:c>
      <x:c r="D1381" s="100" t="n">
        <x:v>2168.210543577803</x:v>
      </x:c>
      <x:c r="E1381" s="101"/>
      <x:c r="F1381" s="100"/>
    </x:row>
    <x:row r="1382">
      <x:c r="A1382" s="102" t="n">
        <x:v>45919</x:v>
      </x:c>
      <x:c r="B1382" s="103" t="str">
        <x:v>0:00-4:00</x:v>
      </x:c>
      <x:c r="C1382" s="104" t="n">
        <x:v>251.39527779947895</x:v>
      </x:c>
      <x:c r="D1382" s="104" t="n">
        <x:v>877.354359277434</x:v>
      </x:c>
      <x:c r="E1382" s="105" t="str">
        <x:v>0:00</x:v>
      </x:c>
      <x:c r="F1382" s="104" t="n">
        <x:v>6072.654883870804</x:v>
      </x:c>
    </x:row>
    <x:row r="1383">
      <x:c r="A1383" s="78"/>
      <x:c r="B1383" s="79" t="str">
        <x:v>4:00-8:00</x:v>
      </x:c>
      <x:c r="C1383" s="80" t="n">
        <x:v>93.62573608388114</x:v>
      </x:c>
      <x:c r="D1383" s="80" t="n">
        <x:v>3762.9320574518124</x:v>
      </x:c>
      <x:c r="E1383" s="81" t="str">
        <x:v>24:00</x:v>
      </x:c>
      <x:c r="F1383" s="80" t="n">
        <x:v>6078.975636844039</x:v>
      </x:c>
    </x:row>
    <x:row r="1384">
      <x:c r="A1384" s="78"/>
      <x:c r="B1384" s="79" t="str">
        <x:v>8:00-12:00</x:v>
      </x:c>
      <x:c r="C1384" s="80" t="n">
        <x:v>10636.33333333333</x:v>
      </x:c>
      <x:c r="D1384" s="80" t="n">
        <x:v>0</x:v>
      </x:c>
      <x:c r="E1384" s="81"/>
      <x:c r="F1384" s="80"/>
    </x:row>
    <x:row r="1385">
      <x:c r="A1385" s="78"/>
      <x:c r="B1385" s="79" t="str">
        <x:v>12:00-16:00</x:v>
      </x:c>
      <x:c r="C1385" s="80" t="n">
        <x:v>0</x:v>
      </x:c>
      <x:c r="D1385" s="80" t="n">
        <x:v>41.2183333333334</x:v>
      </x:c>
      <x:c r="E1385" s="81"/>
      <x:c r="F1385" s="80"/>
    </x:row>
    <x:row r="1386">
      <x:c r="A1386" s="78"/>
      <x:c r="B1386" s="79" t="str">
        <x:v>16:00-20:00</x:v>
      </x:c>
      <x:c r="C1386" s="80" t="n">
        <x:v>11.015200806178484</x:v>
      </x:c>
      <x:c r="D1386" s="80" t="n">
        <x:v>6694.405916613474</x:v>
      </x:c>
      <x:c r="E1386" s="81"/>
      <x:c r="F1386" s="80"/>
    </x:row>
    <x:row r="1387">
      <x:c r="A1387" s="98"/>
      <x:c r="B1387" s="99" t="str">
        <x:v>20:00-24:00</x:v>
      </x:c>
      <x:c r="C1387" s="100" t="n">
        <x:v>5568.282735076838</x:v>
      </x:c>
      <x:c r="D1387" s="100" t="n">
        <x:v>2032.529004958802</x:v>
      </x:c>
      <x:c r="E1387" s="101"/>
      <x:c r="F1387" s="100"/>
    </x:row>
    <x:row r="1388">
      <x:c r="A1388" s="102" t="n">
        <x:v>45920</x:v>
      </x:c>
      <x:c r="B1388" s="103" t="str">
        <x:v>0:00-4:00</x:v>
      </x:c>
      <x:c r="C1388" s="104" t="n">
        <x:v>110.44474427083327</x:v>
      </x:c>
      <x:c r="D1388" s="104" t="n">
        <x:v>201.50805996093754</x:v>
      </x:c>
      <x:c r="E1388" s="105" t="str">
        <x:v>0:00</x:v>
      </x:c>
      <x:c r="F1388" s="104" t="n">
        <x:v>6078.975636844039</x:v>
      </x:c>
    </x:row>
    <x:row r="1389">
      <x:c r="A1389" s="78"/>
      <x:c r="B1389" s="79" t="str">
        <x:v>4:00-8:00</x:v>
      </x:c>
      <x:c r="C1389" s="80" t="n">
        <x:v>121.98445440732752</x:v>
      </x:c>
      <x:c r="D1389" s="80" t="n">
        <x:v>4329.09760162801</x:v>
      </x:c>
      <x:c r="E1389" s="81" t="str">
        <x:v>24:00</x:v>
      </x:c>
      <x:c r="F1389" s="80" t="n">
        <x:v>6323.103592709057</x:v>
      </x:c>
    </x:row>
    <x:row r="1390">
      <x:c r="A1390" s="78"/>
      <x:c r="B1390" s="79" t="str">
        <x:v>8:00-12:00</x:v>
      </x:c>
      <x:c r="C1390" s="80" t="n">
        <x:v>10606.493749999998</x:v>
      </x:c>
      <x:c r="D1390" s="80" t="n">
        <x:v>0</x:v>
      </x:c>
      <x:c r="E1390" s="81"/>
      <x:c r="F1390" s="80"/>
    </x:row>
    <x:row r="1391">
      <x:c r="A1391" s="78"/>
      <x:c r="B1391" s="79" t="str">
        <x:v>12:00-16:00</x:v>
      </x:c>
      <x:c r="C1391" s="80" t="n">
        <x:v>0</x:v>
      </x:c>
      <x:c r="D1391" s="80" t="n">
        <x:v>39.81356915964094</x:v>
      </x:c>
      <x:c r="E1391" s="81"/>
      <x:c r="F1391" s="80"/>
    </x:row>
    <x:row r="1392">
      <x:c r="A1392" s="78"/>
      <x:c r="B1392" s="79" t="str">
        <x:v>16:00-20:00</x:v>
      </x:c>
      <x:c r="C1392" s="80" t="n">
        <x:v>0</x:v>
      </x:c>
      <x:c r="D1392" s="80" t="n">
        <x:v>6942.999892519943</x:v>
      </x:c>
      <x:c r="E1392" s="81"/>
      <x:c r="F1392" s="80"/>
    </x:row>
    <x:row r="1393">
      <x:c r="A1393" s="98"/>
      <x:c r="B1393" s="99" t="str">
        <x:v>20:00-24:00</x:v>
      </x:c>
      <x:c r="C1393" s="100" t="n">
        <x:v>6518.151085841852</x:v>
      </x:c>
      <x:c r="D1393" s="100" t="n">
        <x:v>2326.095684414167</x:v>
      </x:c>
      <x:c r="E1393" s="101"/>
      <x:c r="F1393" s="100"/>
    </x:row>
    <x:row r="1394">
      <x:c r="A1394" s="102" t="n">
        <x:v>45921</x:v>
      </x:c>
      <x:c r="B1394" s="103" t="str">
        <x:v>0:00-4:00</x:v>
      </x:c>
      <x:c r="C1394" s="104" t="n">
        <x:v>4341.091883686986</x:v>
      </x:c>
      <x:c r="D1394" s="104" t="n">
        <x:v>98.90077259114582</x:v>
      </x:c>
      <x:c r="E1394" s="105" t="str">
        <x:v>0:00</x:v>
      </x:c>
      <x:c r="F1394" s="104" t="n">
        <x:v>6323.103592709057</x:v>
      </x:c>
    </x:row>
    <x:row r="1395">
      <x:c r="A1395" s="78"/>
      <x:c r="B1395" s="79" t="str">
        <x:v>4:00-8:00</x:v>
      </x:c>
      <x:c r="C1395" s="80" t="n">
        <x:v>880.7999675035036</x:v>
      </x:c>
      <x:c r="D1395" s="80" t="n">
        <x:v>6587.610313130017</x:v>
      </x:c>
      <x:c r="E1395" s="81" t="str">
        <x:v>24:00</x:v>
      </x:c>
      <x:c r="F1395" s="80" t="n">
        <x:v>6086.002614440104</x:v>
      </x:c>
    </x:row>
    <x:row r="1396">
      <x:c r="A1396" s="78"/>
      <x:c r="B1396" s="79" t="str">
        <x:v>8:00-12:00</x:v>
      </x:c>
      <x:c r="C1396" s="80" t="n">
        <x:v>4763.190502684939</x:v>
      </x:c>
      <x:c r="D1396" s="80" t="n">
        <x:v>1095.1527833333332</x:v>
      </x:c>
      <x:c r="E1396" s="81"/>
      <x:c r="F1396" s="80"/>
    </x:row>
    <x:row r="1397">
      <x:c r="A1397" s="78"/>
      <x:c r="B1397" s="79" t="str">
        <x:v>12:00-16:00</x:v>
      </x:c>
      <x:c r="C1397" s="80" t="n">
        <x:v>4599.742566638574</x:v>
      </x:c>
      <x:c r="D1397" s="80" t="n">
        <x:v>2.83755000000004</x:v>
      </x:c>
      <x:c r="E1397" s="81"/>
      <x:c r="F1397" s="80"/>
    </x:row>
    <x:row r="1398">
      <x:c r="A1398" s="78"/>
      <x:c r="B1398" s="79" t="str">
        <x:v>16:00-20:00</x:v>
      </x:c>
      <x:c r="C1398" s="80" t="n">
        <x:v>71.64715407981907</x:v>
      </x:c>
      <x:c r="D1398" s="80" t="n">
        <x:v>5958.097388497278</x:v>
      </x:c>
      <x:c r="E1398" s="81"/>
      <x:c r="F1398" s="80"/>
    </x:row>
    <x:row r="1399">
      <x:c r="A1399" s="98"/>
      <x:c r="B1399" s="99" t="str">
        <x:v>20:00-24:00</x:v>
      </x:c>
      <x:c r="C1399" s="100" t="n">
        <x:v>5516.716871241641</x:v>
      </x:c>
      <x:c r="D1399" s="100" t="n">
        <x:v>2811.0751190170126</x:v>
      </x:c>
      <x:c r="E1399" s="101"/>
      <x:c r="F1399" s="100"/>
    </x:row>
    <x:row r="1400">
      <x:c r="A1400" s="102" t="n">
        <x:v>45922</x:v>
      </x:c>
      <x:c r="B1400" s="103" t="str">
        <x:v>0:00-4:00</x:v>
      </x:c>
      <x:c r="C1400" s="104" t="n">
        <x:v>4332.747693221933</x:v>
      </x:c>
      <x:c r="D1400" s="104" t="n">
        <x:v>162.80217200520838</x:v>
      </x:c>
      <x:c r="E1400" s="105" t="str">
        <x:v>0:00</x:v>
      </x:c>
      <x:c r="F1400" s="104" t="n">
        <x:v>6086.002614440104</x:v>
      </x:c>
    </x:row>
    <x:row r="1401">
      <x:c r="A1401" s="78"/>
      <x:c r="B1401" s="79" t="str">
        <x:v>4:00-8:00</x:v>
      </x:c>
      <x:c r="C1401" s="80" t="n">
        <x:v>946.6489196425982</x:v>
      </x:c>
      <x:c r="D1401" s="80" t="n">
        <x:v>7109.050902178652</x:v>
      </x:c>
      <x:c r="E1401" s="81" t="str">
        <x:v>24:00</x:v>
      </x:c>
      <x:c r="F1401" s="80" t="n">
        <x:v>5865.6886833658855</x:v>
      </x:c>
    </x:row>
    <x:row r="1402">
      <x:c r="A1402" s="78"/>
      <x:c r="B1402" s="79" t="str">
        <x:v>8:00-12:00</x:v>
      </x:c>
      <x:c r="C1402" s="80" t="n">
        <x:v>5701.409945921452</x:v>
      </x:c>
      <x:c r="D1402" s="80" t="n">
        <x:v>1401.8605352325037</x:v>
      </x:c>
      <x:c r="E1402" s="81"/>
      <x:c r="F1402" s="80"/>
    </x:row>
    <x:row r="1403">
      <x:c r="A1403" s="78"/>
      <x:c r="B1403" s="79" t="str">
        <x:v>12:00-16:00</x:v>
      </x:c>
      <x:c r="C1403" s="80" t="n">
        <x:v>4440.795401991844</x:v>
      </x:c>
      <x:c r="D1403" s="80" t="n">
        <x:v>368.7134346783206</x:v>
      </x:c>
      <x:c r="E1403" s="81"/>
      <x:c r="F1403" s="80"/>
    </x:row>
    <x:row r="1404">
      <x:c r="A1404" s="78"/>
      <x:c r="B1404" s="79" t="str">
        <x:v>16:00-20:00</x:v>
      </x:c>
      <x:c r="C1404" s="80" t="n">
        <x:v>193.52955231963404</x:v>
      </x:c>
      <x:c r="D1404" s="80" t="n">
        <x:v>6911.935440685285</x:v>
      </x:c>
      <x:c r="E1404" s="81"/>
      <x:c r="F1404" s="80"/>
    </x:row>
    <x:row r="1405">
      <x:c r="A1405" s="98"/>
      <x:c r="B1405" s="99" t="str">
        <x:v>20:00-24:00</x:v>
      </x:c>
      <x:c r="C1405" s="100" t="n">
        <x:v>5302.212936285848</x:v>
      </x:c>
      <x:c r="D1405" s="100" t="n">
        <x:v>1186.9690571873082</x:v>
      </x:c>
      <x:c r="E1405" s="101"/>
      <x:c r="F1405" s="100"/>
    </x:row>
    <x:row r="1406">
      <x:c r="A1406" s="102" t="n">
        <x:v>45923</x:v>
      </x:c>
      <x:c r="B1406" s="103" t="str">
        <x:v>0:00-4:00</x:v>
      </x:c>
      <x:c r="C1406" s="104" t="n">
        <x:v>4915.659702379917</x:v>
      </x:c>
      <x:c r="D1406" s="104" t="n">
        <x:v>35.84818795572926</x:v>
      </x:c>
      <x:c r="E1406" s="105" t="str">
        <x:v>0:00</x:v>
      </x:c>
      <x:c r="F1406" s="104" t="n">
        <x:v>5865.6886833658855</x:v>
      </x:c>
    </x:row>
    <x:row r="1407">
      <x:c r="A1407" s="78"/>
      <x:c r="B1407" s="79" t="str">
        <x:v>4:00-8:00</x:v>
      </x:c>
      <x:c r="C1407" s="80" t="n">
        <x:v>702.5417972799919</x:v>
      </x:c>
      <x:c r="D1407" s="80" t="n">
        <x:v>7029.90941221306</x:v>
      </x:c>
      <x:c r="E1407" s="81" t="str">
        <x:v>24:00</x:v>
      </x:c>
      <x:c r="F1407" s="80" t="n">
        <x:v>6192.715480638021</x:v>
      </x:c>
    </x:row>
    <x:row r="1408">
      <x:c r="A1408" s="78"/>
      <x:c r="B1408" s="79" t="str">
        <x:v>8:00-12:00</x:v>
      </x:c>
      <x:c r="C1408" s="80" t="n">
        <x:v>4075.382897631177</x:v>
      </x:c>
      <x:c r="D1408" s="80" t="n">
        <x:v>1687.4943962517054</x:v>
      </x:c>
      <x:c r="E1408" s="81"/>
      <x:c r="F1408" s="80"/>
    </x:row>
    <x:row r="1409">
      <x:c r="A1409" s="78"/>
      <x:c r="B1409" s="79" t="str">
        <x:v>12:00-16:00</x:v>
      </x:c>
      <x:c r="C1409" s="80" t="n">
        <x:v>5473.901842193693</x:v>
      </x:c>
      <x:c r="D1409" s="80" t="n">
        <x:v>786.6742431273557</x:v>
      </x:c>
      <x:c r="E1409" s="81"/>
      <x:c r="F1409" s="80"/>
    </x:row>
    <x:row r="1410">
      <x:c r="A1410" s="78"/>
      <x:c r="B1410" s="79" t="str">
        <x:v>16:00-20:00</x:v>
      </x:c>
      <x:c r="C1410" s="80" t="n">
        <x:v>95.68104791666656</x:v>
      </x:c>
      <x:c r="D1410" s="80" t="n">
        <x:v>5936.802747740019</x:v>
      </x:c>
      <x:c r="E1410" s="81"/>
      <x:c r="F1410" s="80"/>
    </x:row>
    <x:row r="1411">
      <x:c r="A1411" s="98"/>
      <x:c r="B1411" s="99" t="str">
        <x:v>20:00-24:00</x:v>
      </x:c>
      <x:c r="C1411" s="100" t="n">
        <x:v>5589.483395539159</x:v>
      </x:c>
      <x:c r="D1411" s="100" t="n">
        <x:v>1119.593948349106</x:v>
      </x:c>
      <x:c r="E1411" s="101"/>
      <x:c r="F1411" s="100"/>
    </x:row>
    <x:row r="1412">
      <x:c r="A1412" s="102" t="n">
        <x:v>45924</x:v>
      </x:c>
      <x:c r="B1412" s="103" t="str">
        <x:v>0:00-4:00</x:v>
      </x:c>
      <x:c r="C1412" s="104" t="n">
        <x:v>3580.026117411747</x:v>
      </x:c>
      <x:c r="D1412" s="104" t="n">
        <x:v>201.74406888020826</x:v>
      </x:c>
      <x:c r="E1412" s="105" t="str">
        <x:v>0:00</x:v>
      </x:c>
      <x:c r="F1412" s="104" t="n">
        <x:v>6192.715480638021</x:v>
      </x:c>
    </x:row>
    <x:row r="1413">
      <x:c r="A1413" s="78"/>
      <x:c r="B1413" s="79" t="str">
        <x:v>4:00-8:00</x:v>
      </x:c>
      <x:c r="C1413" s="80" t="n">
        <x:v>1664.1966622595273</x:v>
      </x:c>
      <x:c r="D1413" s="80" t="n">
        <x:v>7566.248739823523</x:v>
      </x:c>
      <x:c r="E1413" s="81" t="str">
        <x:v>24:00</x:v>
      </x:c>
      <x:c r="F1413" s="80" t="n">
        <x:v>6257.331824869128</x:v>
      </x:c>
    </x:row>
    <x:row r="1414">
      <x:c r="A1414" s="78"/>
      <x:c r="B1414" s="79" t="str">
        <x:v>8:00-12:00</x:v>
      </x:c>
      <x:c r="C1414" s="80" t="n">
        <x:v>4821.177237542547</x:v>
      </x:c>
      <x:c r="D1414" s="80" t="n">
        <x:v>973.2715754042205</x:v>
      </x:c>
      <x:c r="E1414" s="81"/>
      <x:c r="F1414" s="80"/>
    </x:row>
    <x:row r="1415">
      <x:c r="A1415" s="78"/>
      <x:c r="B1415" s="79" t="str">
        <x:v>12:00-16:00</x:v>
      </x:c>
      <x:c r="C1415" s="80" t="n">
        <x:v>5696.398298987717</x:v>
      </x:c>
      <x:c r="D1415" s="80" t="n">
        <x:v>25.354302481525394</x:v>
      </x:c>
      <x:c r="E1415" s="81"/>
      <x:c r="F1415" s="80"/>
    </x:row>
    <x:row r="1416">
      <x:c r="A1416" s="78"/>
      <x:c r="B1416" s="79" t="str">
        <x:v>16:00-20:00</x:v>
      </x:c>
      <x:c r="C1416" s="80" t="n">
        <x:v>228.83787563828287</x:v>
      </x:c>
      <x:c r="D1416" s="80" t="n">
        <x:v>5495.006723763881</x:v>
      </x:c>
      <x:c r="E1416" s="81"/>
      <x:c r="F1416" s="80"/>
    </x:row>
    <x:row r="1417">
      <x:c r="A1417" s="98"/>
      <x:c r="B1417" s="99" t="str">
        <x:v>20:00-24:00</x:v>
      </x:c>
      <x:c r="C1417" s="100" t="n">
        <x:v>5609.873622193609</x:v>
      </x:c>
      <x:c r="D1417" s="100" t="n">
        <x:v>3176.632829205729</x:v>
      </x:c>
      <x:c r="E1417" s="101"/>
      <x:c r="F1417" s="100"/>
    </x:row>
    <x:row r="1418">
      <x:c r="A1418" s="102" t="n">
        <x:v>45925</x:v>
      </x:c>
      <x:c r="B1418" s="103" t="str">
        <x:v>0:00-4:00</x:v>
      </x:c>
      <x:c r="C1418" s="104" t="n">
        <x:v>3442.4372312000996</x:v>
      </x:c>
      <x:c r="D1418" s="104" t="n">
        <x:v>162.13580514322916</x:v>
      </x:c>
      <x:c r="E1418" s="105" t="str">
        <x:v>0:00</x:v>
      </x:c>
      <x:c r="F1418" s="104" t="n">
        <x:v>6257.331824869128</x:v>
      </x:c>
    </x:row>
    <x:row r="1419">
      <x:c r="A1419" s="78"/>
      <x:c r="B1419" s="79" t="str">
        <x:v>4:00-8:00</x:v>
      </x:c>
      <x:c r="C1419" s="80" t="n">
        <x:v>1794.3010931157112</x:v>
      </x:c>
      <x:c r="D1419" s="80" t="n">
        <x:v>6993.7199574115375</x:v>
      </x:c>
      <x:c r="E1419" s="81" t="str">
        <x:v>24:00</x:v>
      </x:c>
      <x:c r="F1419" s="80" t="n">
        <x:v>5850.482911754485</x:v>
      </x:c>
    </x:row>
    <x:row r="1420">
      <x:c r="A1420" s="78"/>
      <x:c r="B1420" s="79" t="str">
        <x:v>8:00-12:00</x:v>
      </x:c>
      <x:c r="C1420" s="80" t="n">
        <x:v>5517.052357999404</x:v>
      </x:c>
      <x:c r="D1420" s="80" t="n">
        <x:v>1637.5009225232577</x:v>
      </x:c>
      <x:c r="E1420" s="81"/>
      <x:c r="F1420" s="80"/>
    </x:row>
    <x:row r="1421">
      <x:c r="A1421" s="78"/>
      <x:c r="B1421" s="79" t="str">
        <x:v>12:00-16:00</x:v>
      </x:c>
      <x:c r="C1421" s="80" t="n">
        <x:v>5280.537592871722</x:v>
      </x:c>
      <x:c r="D1421" s="80" t="n">
        <x:v>292.221234582183</x:v>
      </x:c>
      <x:c r="E1421" s="81"/>
      <x:c r="F1421" s="80"/>
    </x:row>
    <x:row r="1422">
      <x:c r="A1422" s="78"/>
      <x:c r="B1422" s="79" t="str">
        <x:v>16:00-20:00</x:v>
      </x:c>
      <x:c r="C1422" s="80" t="n">
        <x:v>188.96420236669383</x:v>
      </x:c>
      <x:c r="D1422" s="80" t="n">
        <x:v>5749.128020039188</x:v>
      </x:c>
      <x:c r="E1422" s="81"/>
      <x:c r="F1422" s="80"/>
    </x:row>
    <x:row r="1423">
      <x:c r="A1423" s="98"/>
      <x:c r="B1423" s="99" t="str">
        <x:v>20:00-24:00</x:v>
      </x:c>
      <x:c r="C1423" s="100" t="n">
        <x:v>5306.324146660719</x:v>
      </x:c>
      <x:c r="D1423" s="100" t="n">
        <x:v>2970.44754771741</x:v>
      </x:c>
      <x:c r="E1423" s="101"/>
      <x:c r="F1423" s="100"/>
    </x:row>
    <x:row r="1424">
      <x:c r="A1424" s="102" t="n">
        <x:v>45926</x:v>
      </x:c>
      <x:c r="B1424" s="103" t="str">
        <x:v>0:00-4:00</x:v>
      </x:c>
      <x:c r="C1424" s="104" t="n">
        <x:v>499.8475434244792</x:v>
      </x:c>
      <x:c r="D1424" s="104" t="n">
        <x:v>84.3286389322916</x:v>
      </x:c>
      <x:c r="E1424" s="105" t="str">
        <x:v>0:00</x:v>
      </x:c>
      <x:c r="F1424" s="104" t="n">
        <x:v>5850.482911754485</x:v>
      </x:c>
    </x:row>
    <x:row r="1425">
      <x:c r="A1425" s="78"/>
      <x:c r="B1425" s="79" t="str">
        <x:v>4:00-8:00</x:v>
      </x:c>
      <x:c r="C1425" s="80" t="n">
        <x:v>73.4860083404243</x:v>
      </x:c>
      <x:c r="D1425" s="80" t="n">
        <x:v>4435.80361443189</x:v>
      </x:c>
      <x:c r="E1425" s="81" t="str">
        <x:v>24:00</x:v>
      </x:c>
      <x:c r="F1425" s="80" t="n">
        <x:v>6649.111231025486</x:v>
      </x:c>
    </x:row>
    <x:row r="1426">
      <x:c r="A1426" s="78"/>
      <x:c r="B1426" s="79" t="str">
        <x:v>8:00-12:00</x:v>
      </x:c>
      <x:c r="C1426" s="80" t="n">
        <x:v>10167.757166666666</x:v>
      </x:c>
      <x:c r="D1426" s="80" t="n">
        <x:v>0</x:v>
      </x:c>
      <x:c r="E1426" s="81"/>
      <x:c r="F1426" s="80"/>
    </x:row>
    <x:row r="1427">
      <x:c r="A1427" s="78"/>
      <x:c r="B1427" s="79" t="str">
        <x:v>12:00-16:00</x:v>
      </x:c>
      <x:c r="C1427" s="80" t="n">
        <x:v>338.78290229082876</x:v>
      </x:c>
      <x:c r="D1427" s="80" t="n">
        <x:v>0</x:v>
      </x:c>
      <x:c r="E1427" s="81"/>
      <x:c r="F1427" s="80"/>
    </x:row>
    <x:row r="1428">
      <x:c r="A1428" s="78"/>
      <x:c r="B1428" s="79" t="str">
        <x:v>16:00-20:00</x:v>
      </x:c>
      <x:c r="C1428" s="80" t="n">
        <x:v>155.761358553692</x:v>
      </x:c>
      <x:c r="D1428" s="80" t="n">
        <x:v>6335.702084697872</x:v>
      </x:c>
      <x:c r="E1428" s="81"/>
      <x:c r="F1428" s="80"/>
    </x:row>
    <x:row r="1429">
      <x:c r="A1429" s="98"/>
      <x:c r="B1429" s="99" t="str">
        <x:v>20:00-24:00</x:v>
      </x:c>
      <x:c r="C1429" s="100" t="n">
        <x:v>5623.910073678144</x:v>
      </x:c>
      <x:c r="D1429" s="100" t="n">
        <x:v>2081.631667486979</x:v>
      </x:c>
      <x:c r="E1429" s="101"/>
      <x:c r="F1429" s="100"/>
    </x:row>
    <x:row r="1430">
      <x:c r="A1430" s="102" t="n">
        <x:v>45927</x:v>
      </x:c>
      <x:c r="B1430" s="103" t="str">
        <x:v>0:00-4:00</x:v>
      </x:c>
      <x:c r="C1430" s="104" t="n">
        <x:v>158.29878645833327</x:v>
      </x:c>
      <x:c r="D1430" s="104" t="n">
        <x:v>1970.2407618489583</x:v>
      </x:c>
      <x:c r="E1430" s="105" t="str">
        <x:v>0:00</x:v>
      </x:c>
      <x:c r="F1430" s="104" t="n">
        <x:v>6649.111231025486</x:v>
      </x:c>
    </x:row>
    <x:row r="1431">
      <x:c r="A1431" s="78"/>
      <x:c r="B1431" s="79" t="str">
        <x:v>4:00-8:00</x:v>
      </x:c>
      <x:c r="C1431" s="80" t="n">
        <x:v>942.1154826721305</x:v>
      </x:c>
      <x:c r="D1431" s="80" t="n">
        <x:v>3739.296758569656</x:v>
      </x:c>
      <x:c r="E1431" s="81" t="str">
        <x:v>24:00</x:v>
      </x:c>
      <x:c r="F1431" s="80" t="n">
        <x:v>5887.962785455728</x:v>
      </x:c>
    </x:row>
    <x:row r="1432">
      <x:c r="A1432" s="78"/>
      <x:c r="B1432" s="79" t="str">
        <x:v>8:00-12:00</x:v>
      </x:c>
      <x:c r="C1432" s="80" t="n">
        <x:v>10560.496116666665</x:v>
      </x:c>
      <x:c r="D1432" s="80" t="n">
        <x:v>0</x:v>
      </x:c>
      <x:c r="E1432" s="81"/>
      <x:c r="F1432" s="80"/>
    </x:row>
    <x:row r="1433">
      <x:c r="A1433" s="78"/>
      <x:c r="B1433" s="79" t="str">
        <x:v>12:00-16:00</x:v>
      </x:c>
      <x:c r="C1433" s="80" t="n">
        <x:v>0</x:v>
      </x:c>
      <x:c r="D1433" s="80" t="n">
        <x:v>111.4482442700656</x:v>
      </x:c>
      <x:c r="E1433" s="81"/>
      <x:c r="F1433" s="80"/>
    </x:row>
    <x:row r="1434">
      <x:c r="A1434" s="78"/>
      <x:c r="B1434" s="79" t="str">
        <x:v>16:00-20:00</x:v>
      </x:c>
      <x:c r="C1434" s="80" t="n">
        <x:v>40.000693739839505</x:v>
      </x:c>
      <x:c r="D1434" s="80" t="n">
        <x:v>7072.599440251875</x:v>
      </x:c>
      <x:c r="E1434" s="81"/>
      <x:c r="F1434" s="80"/>
    </x:row>
    <x:row r="1435">
      <x:c r="A1435" s="98"/>
      <x:c r="B1435" s="99" t="str">
        <x:v>20:00-24:00</x:v>
      </x:c>
      <x:c r="C1435" s="100" t="n">
        <x:v>6063.431484788129</x:v>
      </x:c>
      <x:c r="D1435" s="100" t="n">
        <x:v>2180.565873175561</x:v>
      </x:c>
      <x:c r="E1435" s="101"/>
      <x:c r="F1435" s="100"/>
    </x:row>
    <x:row r="1436">
      <x:c r="A1436" s="102" t="n">
        <x:v>45928</x:v>
      </x:c>
      <x:c r="B1436" s="103" t="str">
        <x:v>0:00-4:00</x:v>
      </x:c>
      <x:c r="C1436" s="104" t="n">
        <x:v>3938.0461727792253</x:v>
      </x:c>
      <x:c r="D1436" s="104" t="n">
        <x:v>192.7835377604166</x:v>
      </x:c>
      <x:c r="E1436" s="105" t="str">
        <x:v>0:00</x:v>
      </x:c>
      <x:c r="F1436" s="104" t="n">
        <x:v>5887.962785455728</x:v>
      </x:c>
    </x:row>
    <x:row r="1437">
      <x:c r="A1437" s="78"/>
      <x:c r="B1437" s="79" t="str">
        <x:v>4:00-8:00</x:v>
      </x:c>
      <x:c r="C1437" s="80" t="n">
        <x:v>1707.4740950520834</x:v>
      </x:c>
      <x:c r="D1437" s="80" t="n">
        <x:v>7188.566690889818</x:v>
      </x:c>
      <x:c r="E1437" s="81" t="str">
        <x:v>24:00</x:v>
      </x:c>
      <x:c r="F1437" s="80" t="n">
        <x:v>6046.710784033566</x:v>
      </x:c>
    </x:row>
    <x:row r="1438">
      <x:c r="A1438" s="78"/>
      <x:c r="B1438" s="79" t="str">
        <x:v>8:00-12:00</x:v>
      </x:c>
      <x:c r="C1438" s="80" t="n">
        <x:v>4638.621518735894</x:v>
      </x:c>
      <x:c r="D1438" s="80" t="n">
        <x:v>1410.6876952032853</x:v>
      </x:c>
      <x:c r="E1438" s="81"/>
      <x:c r="F1438" s="80"/>
    </x:row>
    <x:row r="1439">
      <x:c r="A1439" s="78"/>
      <x:c r="B1439" s="79" t="str">
        <x:v>12:00-16:00</x:v>
      </x:c>
      <x:c r="C1439" s="80" t="n">
        <x:v>4866.734245231701</x:v>
      </x:c>
      <x:c r="D1439" s="80" t="n">
        <x:v>244.41386954640134</x:v>
      </x:c>
      <x:c r="E1439" s="81"/>
      <x:c r="F1439" s="80"/>
    </x:row>
    <x:row r="1440">
      <x:c r="A1440" s="78"/>
      <x:c r="B1440" s="79" t="str">
        <x:v>16:00-20:00</x:v>
      </x:c>
      <x:c r="C1440" s="80" t="n">
        <x:v>328.23094865548705</x:v>
      </x:c>
      <x:c r="D1440" s="80" t="n">
        <x:v>5533.269199155071</x:v>
      </x:c>
      <x:c r="E1440" s="81"/>
      <x:c r="F1440" s="80"/>
    </x:row>
    <x:row r="1441">
      <x:c r="A1441" s="98"/>
      <x:c r="B1441" s="99" t="str">
        <x:v>20:00-24:00</x:v>
      </x:c>
      <x:c r="C1441" s="100" t="n">
        <x:v>5472.456062281379</x:v>
      </x:c>
      <x:c r="D1441" s="100" t="n">
        <x:v>2258.171873340932</x:v>
      </x:c>
      <x:c r="E1441" s="101"/>
      <x:c r="F1441" s="100"/>
    </x:row>
    <x:row r="1442">
      <x:c r="A1442" s="102" t="n">
        <x:v>45929</x:v>
      </x:c>
      <x:c r="B1442" s="103" t="str">
        <x:v>0:00-4:00</x:v>
      </x:c>
      <x:c r="C1442" s="104" t="n">
        <x:v>2128.5251720156566</x:v>
      </x:c>
      <x:c r="D1442" s="104" t="n">
        <x:v>186.25486334635423</x:v>
      </x:c>
      <x:c r="E1442" s="105" t="str">
        <x:v>0:00</x:v>
      </x:c>
      <x:c r="F1442" s="104" t="n">
        <x:v>6046.710784033566</x:v>
      </x:c>
    </x:row>
    <x:row r="1443">
      <x:c r="A1443" s="78"/>
      <x:c r="B1443" s="79" t="str">
        <x:v>4:00-8:00</x:v>
      </x:c>
      <x:c r="C1443" s="80" t="n">
        <x:v>3278.6732123015504</x:v>
      </x:c>
      <x:c r="D1443" s="80" t="n">
        <x:v>6789.8031798037555</x:v>
      </x:c>
      <x:c r="E1443" s="81" t="str">
        <x:v>24:00</x:v>
      </x:c>
      <x:c r="F1443" s="80" t="n">
        <x:v>5938.019948642216</x:v>
      </x:c>
    </x:row>
    <x:row r="1444">
      <x:c r="A1444" s="78"/>
      <x:c r="B1444" s="79" t="str">
        <x:v>8:00-12:00</x:v>
      </x:c>
      <x:c r="C1444" s="80" t="n">
        <x:v>5503.006964979155</x:v>
      </x:c>
      <x:c r="D1444" s="80" t="n">
        <x:v>1765.812353777037</x:v>
      </x:c>
      <x:c r="E1444" s="81"/>
      <x:c r="F1444" s="80"/>
    </x:row>
    <x:row r="1445">
      <x:c r="A1445" s="78"/>
      <x:c r="B1445" s="79" t="str">
        <x:v>12:00-16:00</x:v>
      </x:c>
      <x:c r="C1445" s="80" t="n">
        <x:v>5264.4425507401575</x:v>
      </x:c>
      <x:c r="D1445" s="80" t="n">
        <x:v>295.471099414327</x:v>
      </x:c>
      <x:c r="E1445" s="81"/>
      <x:c r="F1445" s="80"/>
    </x:row>
    <x:row r="1446">
      <x:c r="A1446" s="78"/>
      <x:c r="B1446" s="79" t="str">
        <x:v>16:00-20:00</x:v>
      </x:c>
      <x:c r="C1446" s="80" t="n">
        <x:v>108.73637223697722</x:v>
      </x:c>
      <x:c r="D1446" s="80" t="n">
        <x:v>5820.549515961291</x:v>
      </x:c>
      <x:c r="E1446" s="81"/>
      <x:c r="F1446" s="80"/>
    </x:row>
    <x:row r="1447">
      <x:c r="A1447" s="98"/>
      <x:c r="B1447" s="99" t="str">
        <x:v>20:00-24:00</x:v>
      </x:c>
      <x:c r="C1447" s="100" t="n">
        <x:v>5467.1339542044425</x:v>
      </x:c>
      <x:c r="D1447" s="100" t="n">
        <x:v>2857.8505029965854</x:v>
      </x:c>
      <x:c r="E1447" s="101"/>
      <x:c r="F1447" s="100"/>
    </x:row>
    <x:row r="1448">
      <x:c r="A1448" s="102" t="n">
        <x:v>45930</x:v>
      </x:c>
      <x:c r="B1448" s="103" t="str">
        <x:v>0:00-4:00</x:v>
      </x:c>
      <x:c r="C1448" s="104" t="n">
        <x:v>3853.5698991865997</x:v>
      </x:c>
      <x:c r="D1448" s="104" t="n">
        <x:v>114.30656692708351</x:v>
      </x:c>
      <x:c r="E1448" s="105" t="str">
        <x:v>0:00</x:v>
      </x:c>
      <x:c r="F1448" s="104" t="n">
        <x:v>5938.019948642216</x:v>
      </x:c>
    </x:row>
    <x:row r="1449">
      <x:c r="A1449" s="78"/>
      <x:c r="B1449" s="79" t="str">
        <x:v>4:00-8:00</x:v>
      </x:c>
      <x:c r="C1449" s="80" t="n">
        <x:v>1684.4326056190132</x:v>
      </x:c>
      <x:c r="D1449" s="80" t="n">
        <x:v>6916.408708398787</x:v>
      </x:c>
      <x:c r="E1449" s="81" t="str">
        <x:v>24:00</x:v>
      </x:c>
      <x:c r="F1449" s="80" t="n">
        <x:v>6216.082623875867</x:v>
      </x:c>
    </x:row>
    <x:row r="1450">
      <x:c r="A1450" s="78"/>
      <x:c r="B1450" s="79" t="str">
        <x:v>8:00-12:00</x:v>
      </x:c>
      <x:c r="C1450" s="80" t="n">
        <x:v>4730.168194343049</x:v>
      </x:c>
      <x:c r="D1450" s="80" t="n">
        <x:v>1732.10024384467</x:v>
      </x:c>
      <x:c r="E1450" s="81"/>
      <x:c r="F1450" s="80"/>
    </x:row>
    <x:row r="1451">
      <x:c r="A1451" s="78"/>
      <x:c r="B1451" s="79" t="str">
        <x:v>12:00-16:00</x:v>
      </x:c>
      <x:c r="C1451" s="80" t="n">
        <x:v>4805.669028513348</x:v>
      </x:c>
      <x:c r="D1451" s="80" t="n">
        <x:v>998.0319315701915</x:v>
      </x:c>
      <x:c r="E1451" s="81"/>
      <x:c r="F1451" s="80"/>
    </x:row>
    <x:row r="1452">
      <x:c r="A1452" s="78"/>
      <x:c r="B1452" s="79" t="str">
        <x:v>16:00-20:00</x:v>
      </x:c>
      <x:c r="C1452" s="80" t="n">
        <x:v>71.77641082975504</x:v>
      </x:c>
      <x:c r="D1452" s="80" t="n">
        <x:v>6351.310577840768</x:v>
      </x:c>
      <x:c r="E1452" s="81"/>
      <x:c r="F1452" s="80"/>
    </x:row>
    <x:row r="1453">
      <x:c r="A1453" s="98"/>
      <x:c r="B1453" s="99" t="str">
        <x:v>20:00-24:00</x:v>
      </x:c>
      <x:c r="C1453" s="100" t="n">
        <x:v>5606.919910603138</x:v>
      </x:c>
      <x:c r="D1453" s="100" t="n">
        <x:v>447.13976347507577</x:v>
      </x:c>
      <x:c r="E1453" s="101"/>
      <x:c r="F1453" s="100"/>
    </x:row>
    <x:row r="1454">
      <x:c r="A1454" s="102" t="n">
        <x:v>45931</x:v>
      </x:c>
      <x:c r="B1454" s="103" t="str">
        <x:v>0:00-4:00</x:v>
      </x:c>
      <x:c r="C1454" s="104" t="n">
        <x:v>3572.5335542028356</x:v>
      </x:c>
      <x:c r="D1454" s="104" t="n">
        <x:v>695.6929348307291</x:v>
      </x:c>
      <x:c r="E1454" s="105" t="str">
        <x:v>0:00</x:v>
      </x:c>
      <x:c r="F1454" s="104" t="n">
        <x:v>6216.082623875867</x:v>
      </x:c>
    </x:row>
    <x:row r="1455">
      <x:c r="A1455" s="78"/>
      <x:c r="B1455" s="79" t="str">
        <x:v>4:00-8:00</x:v>
      </x:c>
      <x:c r="C1455" s="80" t="n">
        <x:v>2587.8005217222635</x:v>
      </x:c>
      <x:c r="D1455" s="80" t="n">
        <x:v>6026.820772225161</x:v>
      </x:c>
      <x:c r="E1455" s="81" t="str">
        <x:v>24:00</x:v>
      </x:c>
      <x:c r="F1455" s="80" t="n">
        <x:v>8816.362420527636</x:v>
      </x:c>
    </x:row>
    <x:row r="1456">
      <x:c r="A1456" s="78"/>
      <x:c r="B1456" s="79" t="str">
        <x:v>8:00-12:00</x:v>
      </x:c>
      <x:c r="C1456" s="80" t="n">
        <x:v>8620.986638767421</x:v>
      </x:c>
      <x:c r="D1456" s="80" t="n">
        <x:v>1124.8304333333333</x:v>
      </x:c>
      <x:c r="E1456" s="81"/>
      <x:c r="F1456" s="80"/>
    </x:row>
    <x:row r="1457">
      <x:c r="A1457" s="78"/>
      <x:c r="B1457" s="79" t="str">
        <x:v>12:00-16:00</x:v>
      </x:c>
      <x:c r="C1457" s="80" t="n">
        <x:v>77.88111111111195</x:v>
      </x:c>
      <x:c r="D1457" s="80" t="n">
        <x:v>63.08369999999983</x:v>
      </x:c>
      <x:c r="E1457" s="81"/>
      <x:c r="F1457" s="80"/>
    </x:row>
    <x:row r="1458">
      <x:c r="A1458" s="78"/>
      <x:c r="B1458" s="79" t="str">
        <x:v>16:00-20:00</x:v>
      </x:c>
      <x:c r="C1458" s="80" t="n">
        <x:v>326.25998042859874</x:v>
      </x:c>
      <x:c r="D1458" s="80" t="n">
        <x:v>4560.577168875028</x:v>
      </x:c>
      <x:c r="E1458" s="81"/>
      <x:c r="F1458" s="80"/>
    </x:row>
    <x:row r="1459">
      <x:c r="A1459" s="98"/>
      <x:c r="B1459" s="99" t="str">
        <x:v>20:00-24:00</x:v>
      </x:c>
      <x:c r="C1459" s="100" t="n">
        <x:v>6495.575986753633</x:v>
      </x:c>
      <x:c r="D1459" s="100" t="n">
        <x:v>2750.383786067708</x:v>
      </x:c>
      <x:c r="E1459" s="101"/>
      <x:c r="F1459" s="100"/>
    </x:row>
    <x:row r="1460">
      <x:c r="A1460" s="102" t="n">
        <x:v>45932</x:v>
      </x:c>
      <x:c r="B1460" s="103" t="str">
        <x:v>0:00-4:00</x:v>
      </x:c>
      <x:c r="C1460" s="104" t="n">
        <x:v>1490.9361195526274</x:v>
      </x:c>
      <x:c r="D1460" s="104" t="n">
        <x:v>201.895713671875</x:v>
      </x:c>
      <x:c r="E1460" s="105" t="str">
        <x:v>0:00</x:v>
      </x:c>
      <x:c r="F1460" s="104" t="n">
        <x:v>8816.362420527636</x:v>
      </x:c>
    </x:row>
    <x:row r="1461">
      <x:c r="A1461" s="78"/>
      <x:c r="B1461" s="79" t="str">
        <x:v>4:00-8:00</x:v>
      </x:c>
      <x:c r="C1461" s="80" t="n">
        <x:v>950.0247575896014</x:v>
      </x:c>
      <x:c r="D1461" s="80" t="n">
        <x:v>6785.004979148613</x:v>
      </x:c>
      <x:c r="E1461" s="81" t="str">
        <x:v>24:00</x:v>
      </x:c>
      <x:c r="F1461" s="80" t="n">
        <x:v>8896.083112548758</x:v>
      </x:c>
    </x:row>
    <x:row r="1462">
      <x:c r="A1462" s="78"/>
      <x:c r="B1462" s="79" t="str">
        <x:v>8:00-12:00</x:v>
      </x:c>
      <x:c r="C1462" s="80" t="n">
        <x:v>6558.294633682413</x:v>
      </x:c>
      <x:c r="D1462" s="80" t="n">
        <x:v>1702.946983333333</x:v>
      </x:c>
      <x:c r="E1462" s="81"/>
      <x:c r="F1462" s="80"/>
    </x:row>
    <x:row r="1463">
      <x:c r="A1463" s="78"/>
      <x:c r="B1463" s="79" t="str">
        <x:v>12:00-16:00</x:v>
      </x:c>
      <x:c r="C1463" s="80" t="n">
        <x:v>3932.9932517419593</x:v>
      </x:c>
      <x:c r="D1463" s="80" t="n">
        <x:v>0</x:v>
      </x:c>
      <x:c r="E1463" s="81"/>
      <x:c r="F1463" s="80"/>
    </x:row>
    <x:row r="1464">
      <x:c r="A1464" s="78"/>
      <x:c r="B1464" s="79" t="str">
        <x:v>16:00-20:00</x:v>
      </x:c>
      <x:c r="C1464" s="80" t="n">
        <x:v>215.82977331579798</x:v>
      </x:c>
      <x:c r="D1464" s="80" t="n">
        <x:v>4530.789656750378</x:v>
      </x:c>
      <x:c r="E1464" s="81"/>
      <x:c r="F1464" s="80"/>
    </x:row>
    <x:row r="1465">
      <x:c r="A1465" s="98"/>
      <x:c r="B1465" s="99" t="str">
        <x:v>20:00-24:00</x:v>
      </x:c>
      <x:c r="C1465" s="100" t="n">
        <x:v>6611.375821909884</x:v>
      </x:c>
      <x:c r="D1465" s="100" t="n">
        <x:v>2712.7720740885416</x:v>
      </x:c>
      <x:c r="E1465" s="101"/>
      <x:c r="F1465" s="100"/>
    </x:row>
    <x:row r="1466">
      <x:c r="A1466" s="102" t="n">
        <x:v>45933</x:v>
      </x:c>
      <x:c r="B1466" s="103" t="str">
        <x:v>0:00-4:00</x:v>
      </x:c>
      <x:c r="C1466" s="104" t="n">
        <x:v>279.9835654296875</x:v>
      </x:c>
      <x:c r="D1466" s="104" t="n">
        <x:v>1659.7220178066234</x:v>
      </x:c>
      <x:c r="E1466" s="105" t="str">
        <x:v>0:00</x:v>
      </x:c>
      <x:c r="F1466" s="104" t="n">
        <x:v>8896.083112548758</x:v>
      </x:c>
    </x:row>
    <x:row r="1467">
      <x:c r="A1467" s="78"/>
      <x:c r="B1467" s="79" t="str">
        <x:v>4:00-8:00</x:v>
      </x:c>
      <x:c r="C1467" s="80" t="n">
        <x:v>173.20156601562502</x:v>
      </x:c>
      <x:c r="D1467" s="80" t="n">
        <x:v>5254.773149649711</x:v>
      </x:c>
      <x:c r="E1467" s="81" t="str">
        <x:v>24:00</x:v>
      </x:c>
      <x:c r="F1467" s="80" t="n">
        <x:v>7945.372461808466</x:v>
      </x:c>
    </x:row>
    <x:row r="1468">
      <x:c r="A1468" s="78"/>
      <x:c r="B1468" s="79" t="str">
        <x:v>8:00-12:00</x:v>
      </x:c>
      <x:c r="C1468" s="80" t="n">
        <x:v>10198.69186381698</x:v>
      </x:c>
      <x:c r="D1468" s="80" t="n">
        <x:v>0</x:v>
      </x:c>
      <x:c r="E1468" s="81"/>
      <x:c r="F1468" s="80"/>
    </x:row>
    <x:row r="1469">
      <x:c r="A1469" s="78"/>
      <x:c r="B1469" s="79" t="str">
        <x:v>12:00-16:00</x:v>
      </x:c>
      <x:c r="C1469" s="80" t="n">
        <x:v>0</x:v>
      </x:c>
      <x:c r="D1469" s="80" t="n">
        <x:v>0</x:v>
      </x:c>
      <x:c r="E1469" s="81"/>
      <x:c r="F1469" s="80"/>
    </x:row>
    <x:row r="1470">
      <x:c r="A1470" s="78"/>
      <x:c r="B1470" s="79" t="str">
        <x:v>16:00-20:00</x:v>
      </x:c>
      <x:c r="C1470" s="80" t="n">
        <x:v>11.252709028035529</x:v>
      </x:c>
      <x:c r="D1470" s="80" t="n">
        <x:v>5746.432731010219</x:v>
      </x:c>
      <x:c r="E1470" s="81"/>
      <x:c r="F1470" s="80"/>
    </x:row>
    <x:row r="1471">
      <x:c r="A1471" s="98"/>
      <x:c r="B1471" s="99" t="str">
        <x:v>20:00-24:00</x:v>
      </x:c>
      <x:c r="C1471" s="100" t="n">
        <x:v>6176.818521389049</x:v>
      </x:c>
      <x:c r="D1471" s="100" t="n">
        <x:v>1835.0697499999999</x:v>
      </x:c>
      <x:c r="E1471" s="101"/>
      <x:c r="F1471" s="100"/>
    </x:row>
    <x:row r="1472">
      <x:c r="A1472" s="102" t="n">
        <x:v>45934</x:v>
      </x:c>
      <x:c r="B1472" s="103" t="str">
        <x:v>0:00-4:00</x:v>
      </x:c>
      <x:c r="C1472" s="104" t="n">
        <x:v>187.37490488281253</x:v>
      </x:c>
      <x:c r="D1472" s="104" t="n">
        <x:v>2246.1510797021115</x:v>
      </x:c>
      <x:c r="E1472" s="105" t="str">
        <x:v>0:00</x:v>
      </x:c>
      <x:c r="F1472" s="104" t="n">
        <x:v>7945.372461808466</x:v>
      </x:c>
    </x:row>
    <x:row r="1473">
      <x:c r="A1473" s="78"/>
      <x:c r="B1473" s="79" t="str">
        <x:v>4:00-8:00</x:v>
      </x:c>
      <x:c r="C1473" s="80" t="n">
        <x:v>69.49450744557714</x:v>
      </x:c>
      <x:c r="D1473" s="80" t="n">
        <x:v>3980.0781369115057</x:v>
      </x:c>
      <x:c r="E1473" s="81" t="str">
        <x:v>24:00</x:v>
      </x:c>
      <x:c r="F1473" s="80" t="n">
        <x:v>7496.984391431343</x:v>
      </x:c>
    </x:row>
    <x:row r="1474">
      <x:c r="A1474" s="78"/>
      <x:c r="B1474" s="79" t="str">
        <x:v>8:00-12:00</x:v>
      </x:c>
      <x:c r="C1474" s="80" t="n">
        <x:v>10601.6417</x:v>
      </x:c>
      <x:c r="D1474" s="80" t="n">
        <x:v>0</x:v>
      </x:c>
      <x:c r="E1474" s="81"/>
      <x:c r="F1474" s="80"/>
    </x:row>
    <x:row r="1475">
      <x:c r="A1475" s="78"/>
      <x:c r="B1475" s="79" t="str">
        <x:v>12:00-16:00</x:v>
      </x:c>
      <x:c r="C1475" s="80" t="n">
        <x:v>0</x:v>
      </x:c>
      <x:c r="D1475" s="80" t="n">
        <x:v>0</x:v>
      </x:c>
      <x:c r="E1475" s="81"/>
      <x:c r="F1475" s="80"/>
    </x:row>
    <x:row r="1476">
      <x:c r="A1476" s="78"/>
      <x:c r="B1476" s="79" t="str">
        <x:v>16:00-20:00</x:v>
      </x:c>
      <x:c r="C1476" s="80" t="n">
        <x:v>12.138034990219037</x:v>
      </x:c>
      <x:c r="D1476" s="80" t="n">
        <x:v>5797.308285328869</x:v>
      </x:c>
      <x:c r="E1476" s="81"/>
      <x:c r="F1476" s="80"/>
    </x:row>
    <x:row r="1477">
      <x:c r="A1477" s="98"/>
      <x:c r="B1477" s="99" t="str">
        <x:v>20:00-24:00</x:v>
      </x:c>
      <x:c r="C1477" s="100" t="n">
        <x:v>6461.65545481803</x:v>
      </x:c>
      <x:c r="D1477" s="100" t="n">
        <x:v>2419.178489127604</x:v>
      </x:c>
      <x:c r="E1477" s="101"/>
      <x:c r="F1477" s="100"/>
    </x:row>
    <x:row r="1478">
      <x:c r="A1478" s="102" t="n">
        <x:v>45935</x:v>
      </x:c>
      <x:c r="B1478" s="103" t="str">
        <x:v>0:00-4:00</x:v>
      </x:c>
      <x:c r="C1478" s="104" t="n">
        <x:v>3709.9041637525015</x:v>
      </x:c>
      <x:c r="D1478" s="104" t="n">
        <x:v>203.45994960937503</x:v>
      </x:c>
      <x:c r="E1478" s="105" t="str">
        <x:v>0:00</x:v>
      </x:c>
      <x:c r="F1478" s="104" t="n">
        <x:v>7496.984391431343</x:v>
      </x:c>
    </x:row>
    <x:row r="1479">
      <x:c r="A1479" s="78"/>
      <x:c r="B1479" s="79" t="str">
        <x:v>4:00-8:00</x:v>
      </x:c>
      <x:c r="C1479" s="80" t="n">
        <x:v>33.4166235255658</x:v>
      </x:c>
      <x:c r="D1479" s="80" t="n">
        <x:v>7089.762169052507</x:v>
      </x:c>
      <x:c r="E1479" s="81" t="str">
        <x:v>24:00</x:v>
      </x:c>
      <x:c r="F1479" s="80" t="n">
        <x:v>7855.540740093784</x:v>
      </x:c>
    </x:row>
    <x:row r="1480">
      <x:c r="A1480" s="78"/>
      <x:c r="B1480" s="79" t="str">
        <x:v>8:00-12:00</x:v>
      </x:c>
      <x:c r="C1480" s="80" t="n">
        <x:v>5291.795416666666</x:v>
      </x:c>
      <x:c r="D1480" s="80" t="n">
        <x:v>1406.1536713215585</x:v>
      </x:c>
      <x:c r="E1480" s="81"/>
      <x:c r="F1480" s="80"/>
    </x:row>
    <x:row r="1481">
      <x:c r="A1481" s="78"/>
      <x:c r="B1481" s="79" t="str">
        <x:v>12:00-16:00</x:v>
      </x:c>
      <x:c r="C1481" s="80" t="n">
        <x:v>5391.651504923841</x:v>
      </x:c>
      <x:c r="D1481" s="80" t="n">
        <x:v>13.592006488309238</x:v>
      </x:c>
      <x:c r="E1481" s="81"/>
      <x:c r="F1481" s="80"/>
    </x:row>
    <x:row r="1482">
      <x:c r="A1482" s="78"/>
      <x:c r="B1482" s="79" t="str">
        <x:v>16:00-20:00</x:v>
      </x:c>
      <x:c r="C1482" s="80" t="n">
        <x:v>255.57199793782044</x:v>
      </x:c>
      <x:c r="D1482" s="80" t="n">
        <x:v>5515.409653123094</x:v>
      </x:c>
      <x:c r="E1482" s="81"/>
      <x:c r="F1482" s="80"/>
    </x:row>
    <x:row r="1483">
      <x:c r="A1483" s="98"/>
      <x:c r="B1483" s="99" t="str">
        <x:v>20:00-24:00</x:v>
      </x:c>
      <x:c r="C1483" s="100" t="n">
        <x:v>5983.776486037487</x:v>
      </x:c>
      <x:c r="D1483" s="100" t="n">
        <x:v>2188.4759528125</x:v>
      </x:c>
      <x:c r="E1483" s="101"/>
      <x:c r="F1483" s="100"/>
    </x:row>
    <x:row r="1484">
      <x:c r="A1484" s="102" t="n">
        <x:v>45936</x:v>
      </x:c>
      <x:c r="B1484" s="103" t="str">
        <x:v>0:00-4:00</x:v>
      </x:c>
      <x:c r="C1484" s="104" t="n">
        <x:v>2628.8185385025668</x:v>
      </x:c>
      <x:c r="D1484" s="104" t="n">
        <x:v>102.319673111979</x:v>
      </x:c>
      <x:c r="E1484" s="105" t="str">
        <x:v>0:00</x:v>
      </x:c>
      <x:c r="F1484" s="104" t="n">
        <x:v>7855.540740093784</x:v>
      </x:c>
    </x:row>
    <x:row r="1485">
      <x:c r="A1485" s="78"/>
      <x:c r="B1485" s="79" t="str">
        <x:v>4:00-8:00</x:v>
      </x:c>
      <x:c r="C1485" s="80" t="n">
        <x:v>893.0790763077939</x:v>
      </x:c>
      <x:c r="D1485" s="80" t="n">
        <x:v>7098.777575758746</x:v>
      </x:c>
      <x:c r="E1485" s="81" t="str">
        <x:v>24:00</x:v>
      </x:c>
      <x:c r="F1485" s="80" t="n">
        <x:v>6583.2664495141735</x:v>
      </x:c>
    </x:row>
    <x:row r="1486">
      <x:c r="A1486" s="78"/>
      <x:c r="B1486" s="79" t="str">
        <x:v>8:00-12:00</x:v>
      </x:c>
      <x:c r="C1486" s="80" t="n">
        <x:v>4377.672154758195</x:v>
      </x:c>
      <x:c r="D1486" s="80" t="n">
        <x:v>1641.6264852100787</x:v>
      </x:c>
      <x:c r="E1486" s="81"/>
      <x:c r="F1486" s="80"/>
    </x:row>
    <x:row r="1487">
      <x:c r="A1487" s="78"/>
      <x:c r="B1487" s="79" t="str">
        <x:v>12:00-16:00</x:v>
      </x:c>
      <x:c r="C1487" s="80" t="n">
        <x:v>5091.470114674967</x:v>
      </x:c>
      <x:c r="D1487" s="80" t="n">
        <x:v>89.98906487057502</x:v>
      </x:c>
      <x:c r="E1487" s="81"/>
      <x:c r="F1487" s="80"/>
    </x:row>
    <x:row r="1488">
      <x:c r="A1488" s="78"/>
      <x:c r="B1488" s="79" t="str">
        <x:v>16:00-20:00</x:v>
      </x:c>
      <x:c r="C1488" s="80" t="n">
        <x:v>423.34766754653936</x:v>
      </x:c>
      <x:c r="D1488" s="80" t="n">
        <x:v>4998.0586671103265</x:v>
      </x:c>
      <x:c r="E1488" s="81"/>
      <x:c r="F1488" s="80"/>
    </x:row>
    <x:row r="1489">
      <x:c r="A1489" s="98"/>
      <x:c r="B1489" s="99" t="str">
        <x:v>20:00-24:00</x:v>
      </x:c>
      <x:c r="C1489" s="100" t="n">
        <x:v>5978.483943719778</x:v>
      </x:c>
      <x:c r="D1489" s="100" t="n">
        <x:v>2922.5013068229164</x:v>
      </x:c>
      <x:c r="E1489" s="101"/>
      <x:c r="F1489" s="100"/>
    </x:row>
    <x:row r="1490">
      <x:c r="A1490" s="102" t="n">
        <x:v>45937</x:v>
      </x:c>
      <x:c r="B1490" s="103" t="str">
        <x:v>0:00-4:00</x:v>
      </x:c>
      <x:c r="C1490" s="104" t="n">
        <x:v>3934.7098742377243</x:v>
      </x:c>
      <x:c r="D1490" s="104" t="n">
        <x:v>159.39375338541663</x:v>
      </x:c>
      <x:c r="E1490" s="105" t="str">
        <x:v>0:00</x:v>
      </x:c>
      <x:c r="F1490" s="104" t="n">
        <x:v>6583.2664495141735</x:v>
      </x:c>
    </x:row>
    <x:row r="1491">
      <x:c r="A1491" s="78"/>
      <x:c r="B1491" s="79" t="str">
        <x:v>4:00-8:00</x:v>
      </x:c>
      <x:c r="C1491" s="80" t="n">
        <x:v>862.0279828481831</x:v>
      </x:c>
      <x:c r="D1491" s="80" t="n">
        <x:v>7276.776065666242</x:v>
      </x:c>
      <x:c r="E1491" s="81" t="str">
        <x:v>24:00</x:v>
      </x:c>
      <x:c r="F1491" s="80" t="n">
        <x:v>7329.600057529705</x:v>
      </x:c>
    </x:row>
    <x:row r="1492">
      <x:c r="A1492" s="78"/>
      <x:c r="B1492" s="79" t="str">
        <x:v>8:00-12:00</x:v>
      </x:c>
      <x:c r="C1492" s="80" t="n">
        <x:v>3782.3483896944576</x:v>
      </x:c>
      <x:c r="D1492" s="80" t="n">
        <x:v>1294.1276497506838</x:v>
      </x:c>
      <x:c r="E1492" s="81"/>
      <x:c r="F1492" s="80"/>
    </x:row>
    <x:row r="1493">
      <x:c r="A1493" s="78"/>
      <x:c r="B1493" s="79" t="str">
        <x:v>12:00-16:00</x:v>
      </x:c>
      <x:c r="C1493" s="80" t="n">
        <x:v>6049.564810827294</x:v>
      </x:c>
      <x:c r="D1493" s="80" t="n">
        <x:v>210.2015200109508</x:v>
      </x:c>
      <x:c r="E1493" s="81"/>
      <x:c r="F1493" s="80"/>
    </x:row>
    <x:row r="1494">
      <x:c r="A1494" s="78"/>
      <x:c r="B1494" s="79" t="str">
        <x:v>16:00-20:00</x:v>
      </x:c>
      <x:c r="C1494" s="80" t="n">
        <x:v>677.7866466132745</x:v>
      </x:c>
      <x:c r="D1494" s="80" t="n">
        <x:v>4946.837948954185</x:v>
      </x:c>
      <x:c r="E1494" s="81"/>
      <x:c r="F1494" s="80"/>
    </x:row>
    <x:row r="1495">
      <x:c r="A1495" s="98"/>
      <x:c r="B1495" s="99" t="str">
        <x:v>20:00-24:00</x:v>
      </x:c>
      <x:c r="C1495" s="100" t="n">
        <x:v>6106.596111760545</x:v>
      </x:c>
      <x:c r="D1495" s="100" t="n">
        <x:v>2785.5202059635412</x:v>
      </x:c>
      <x:c r="E1495" s="101"/>
      <x:c r="F1495" s="100"/>
    </x:row>
    <x:row r="1496">
      <x:c r="A1496" s="102" t="n">
        <x:v>45938</x:v>
      </x:c>
      <x:c r="B1496" s="103" t="str">
        <x:v>0:00-4:00</x:v>
      </x:c>
      <x:c r="C1496" s="104" t="n">
        <x:v>3138.738828135398</x:v>
      </x:c>
      <x:c r="D1496" s="104" t="n">
        <x:v>110.60666516927074</x:v>
      </x:c>
      <x:c r="E1496" s="105" t="str">
        <x:v>0:00</x:v>
      </x:c>
      <x:c r="F1496" s="104" t="n">
        <x:v>7329.600057529705</x:v>
      </x:c>
    </x:row>
    <x:row r="1497">
      <x:c r="A1497" s="78"/>
      <x:c r="B1497" s="79" t="str">
        <x:v>4:00-8:00</x:v>
      </x:c>
      <x:c r="C1497" s="80" t="n">
        <x:v>873.5164146556674</x:v>
      </x:c>
      <x:c r="D1497" s="80" t="n">
        <x:v>7596.069554476691</x:v>
      </x:c>
      <x:c r="E1497" s="81" t="str">
        <x:v>24:00</x:v>
      </x:c>
      <x:c r="F1497" s="80" t="n">
        <x:v>6427.789197139714</x:v>
      </x:c>
    </x:row>
    <x:row r="1498">
      <x:c r="A1498" s="78"/>
      <x:c r="B1498" s="79" t="str">
        <x:v>8:00-12:00</x:v>
      </x:c>
      <x:c r="C1498" s="80" t="n">
        <x:v>5242.029656751773</x:v>
      </x:c>
      <x:c r="D1498" s="80" t="n">
        <x:v>1059.8905787915394</x:v>
      </x:c>
      <x:c r="E1498" s="81"/>
      <x:c r="F1498" s="80"/>
    </x:row>
    <x:row r="1499">
      <x:c r="A1499" s="78"/>
      <x:c r="B1499" s="79" t="str">
        <x:v>12:00-16:00</x:v>
      </x:c>
      <x:c r="C1499" s="80" t="n">
        <x:v>5426.789533548164</x:v>
      </x:c>
      <x:c r="D1499" s="80" t="n">
        <x:v>24.696234212968932</x:v>
      </x:c>
      <x:c r="E1499" s="81"/>
      <x:c r="F1499" s="80"/>
    </x:row>
    <x:row r="1500">
      <x:c r="A1500" s="78"/>
      <x:c r="B1500" s="79" t="str">
        <x:v>16:00-20:00</x:v>
      </x:c>
      <x:c r="C1500" s="80" t="n">
        <x:v>147.769977608606</x:v>
      </x:c>
      <x:c r="D1500" s="80" t="n">
        <x:v>5709.051174158225</x:v>
      </x:c>
      <x:c r="E1500" s="81"/>
      <x:c r="F1500" s="80"/>
    </x:row>
    <x:row r="1501">
      <x:c r="A1501" s="98"/>
      <x:c r="B1501" s="99" t="str">
        <x:v>20:00-24:00</x:v>
      </x:c>
      <x:c r="C1501" s="100" t="n">
        <x:v>5677.969460872395</x:v>
      </x:c>
      <x:c r="D1501" s="100" t="n">
        <x:v>2921.834803515625</x:v>
      </x:c>
      <x:c r="E1501" s="101"/>
      <x:c r="F1501" s="100"/>
    </x:row>
    <x:row r="1502">
      <x:c r="A1502" s="102" t="n">
        <x:v>45939</x:v>
      </x:c>
      <x:c r="B1502" s="103" t="str">
        <x:v>0:00-4:00</x:v>
      </x:c>
      <x:c r="C1502" s="104" t="n">
        <x:v>4249.487603906249</x:v>
      </x:c>
      <x:c r="D1502" s="104" t="n">
        <x:v>91.24016490885435</x:v>
      </x:c>
      <x:c r="E1502" s="105" t="str">
        <x:v>0:00</x:v>
      </x:c>
      <x:c r="F1502" s="104" t="n">
        <x:v>6427.789197139714</x:v>
      </x:c>
    </x:row>
    <x:row r="1503">
      <x:c r="A1503" s="78"/>
      <x:c r="B1503" s="79" t="str">
        <x:v>4:00-8:00</x:v>
      </x:c>
      <x:c r="C1503" s="80" t="n">
        <x:v>696.4191887559336</x:v>
      </x:c>
      <x:c r="D1503" s="80" t="n">
        <x:v>7320.904030272845</x:v>
      </x:c>
      <x:c r="E1503" s="81" t="str">
        <x:v>24:00</x:v>
      </x:c>
      <x:c r="F1503" s="80" t="n">
        <x:v>6062.498223507668</x:v>
      </x:c>
    </x:row>
    <x:row r="1504">
      <x:c r="A1504" s="78"/>
      <x:c r="B1504" s="79" t="str">
        <x:v>8:00-12:00</x:v>
      </x:c>
      <x:c r="C1504" s="80" t="n">
        <x:v>5242.370325965836</x:v>
      </x:c>
      <x:c r="D1504" s="80" t="n">
        <x:v>1299.0505843004166</x:v>
      </x:c>
      <x:c r="E1504" s="81"/>
      <x:c r="F1504" s="80"/>
    </x:row>
    <x:row r="1505">
      <x:c r="A1505" s="78"/>
      <x:c r="B1505" s="79" t="str">
        <x:v>12:00-16:00</x:v>
      </x:c>
      <x:c r="C1505" s="80" t="n">
        <x:v>5425.789491753394</x:v>
      </x:c>
      <x:c r="D1505" s="80" t="n">
        <x:v>93.97574144730706</x:v>
      </x:c>
      <x:c r="E1505" s="81"/>
      <x:c r="F1505" s="80"/>
    </x:row>
    <x:row r="1506">
      <x:c r="A1506" s="78"/>
      <x:c r="B1506" s="79" t="str">
        <x:v>16:00-20:00</x:v>
      </x:c>
      <x:c r="C1506" s="80" t="n">
        <x:v>2.3665901943710423</x:v>
      </x:c>
      <x:c r="D1506" s="80" t="n">
        <x:v>6532.472679572658</x:v>
      </x:c>
      <x:c r="E1506" s="81"/>
      <x:c r="F1506" s="80"/>
    </x:row>
    <x:row r="1507">
      <x:c r="A1507" s="98"/>
      <x:c r="B1507" s="99" t="str">
        <x:v>20:00-24:00</x:v>
      </x:c>
      <x:c r="C1507" s="100" t="n">
        <x:v>5445.597995382426</x:v>
      </x:c>
      <x:c r="D1507" s="100" t="n">
        <x:v>2051.363944492917</x:v>
      </x:c>
      <x:c r="E1507" s="101"/>
      <x:c r="F1507" s="100"/>
    </x:row>
    <x:row r="1508">
      <x:c r="A1508" s="102" t="n">
        <x:v>45940</x:v>
      </x:c>
      <x:c r="B1508" s="103" t="str">
        <x:v>0:00-4:00</x:v>
      </x:c>
      <x:c r="C1508" s="104" t="n">
        <x:v>2348.0752928535553</x:v>
      </x:c>
      <x:c r="D1508" s="104" t="n">
        <x:v>1469.4312546874999</x:v>
      </x:c>
      <x:c r="E1508" s="105" t="str">
        <x:v>0:00</x:v>
      </x:c>
      <x:c r="F1508" s="104" t="n">
        <x:v>6062.498223507668</x:v>
      </x:c>
    </x:row>
    <x:row r="1509">
      <x:c r="A1509" s="78"/>
      <x:c r="B1509" s="79" t="str">
        <x:v>4:00-8:00</x:v>
      </x:c>
      <x:c r="C1509" s="80" t="n">
        <x:v>145.32199759114596</x:v>
      </x:c>
      <x:c r="D1509" s="80" t="n">
        <x:v>4842.238185729608</x:v>
      </x:c>
      <x:c r="E1509" s="81" t="str">
        <x:v>24:00</x:v>
      </x:c>
      <x:c r="F1509" s="80" t="n">
        <x:v>5918.950331881657</x:v>
      </x:c>
    </x:row>
    <x:row r="1510">
      <x:c r="A1510" s="78"/>
      <x:c r="B1510" s="79" t="str">
        <x:v>8:00-12:00</x:v>
      </x:c>
      <x:c r="C1510" s="80" t="n">
        <x:v>10562.678066666667</x:v>
      </x:c>
      <x:c r="D1510" s="80" t="n">
        <x:v>0</x:v>
      </x:c>
      <x:c r="E1510" s="81"/>
      <x:c r="F1510" s="80"/>
    </x:row>
    <x:row r="1511">
      <x:c r="A1511" s="78"/>
      <x:c r="B1511" s="79" t="str">
        <x:v>12:00-16:00</x:v>
      </x:c>
      <x:c r="C1511" s="80" t="n">
        <x:v>0</x:v>
      </x:c>
      <x:c r="D1511" s="80" t="n">
        <x:v>49.79291666666661</x:v>
      </x:c>
      <x:c r="E1511" s="81"/>
      <x:c r="F1511" s="80"/>
    </x:row>
    <x:row r="1512">
      <x:c r="A1512" s="78"/>
      <x:c r="B1512" s="79" t="str">
        <x:v>16:00-20:00</x:v>
      </x:c>
      <x:c r="C1512" s="80" t="n">
        <x:v>0</x:v>
      </x:c>
      <x:c r="D1512" s="80" t="n">
        <x:v>6452.655387147237</x:v>
      </x:c>
      <x:c r="E1512" s="81"/>
      <x:c r="F1512" s="80"/>
    </x:row>
    <x:row r="1513">
      <x:c r="A1513" s="98"/>
      <x:c r="B1513" s="99" t="str">
        <x:v>20:00-24:00</x:v>
      </x:c>
      <x:c r="C1513" s="100" t="n">
        <x:v>5326.001389884903</x:v>
      </x:c>
      <x:c r="D1513" s="100" t="n">
        <x:v>2204.5575232993797</x:v>
      </x:c>
      <x:c r="E1513" s="101"/>
      <x:c r="F1513" s="100"/>
    </x:row>
    <x:row r="1514">
      <x:c r="A1514" s="102" t="n">
        <x:v>45941</x:v>
      </x:c>
      <x:c r="B1514" s="103" t="str">
        <x:v>0:00-4:00</x:v>
      </x:c>
      <x:c r="C1514" s="104" t="n">
        <x:v>184.3547227213541</x:v>
      </x:c>
      <x:c r="D1514" s="104" t="n">
        <x:v>111.83005670572902</x:v>
      </x:c>
      <x:c r="E1514" s="105" t="str">
        <x:v>0:00</x:v>
      </x:c>
      <x:c r="F1514" s="104" t="n">
        <x:v>5918.950331881657</x:v>
      </x:c>
    </x:row>
    <x:row r="1515">
      <x:c r="A1515" s="78"/>
      <x:c r="B1515" s="79" t="str">
        <x:v>4:00-8:00</x:v>
      </x:c>
      <x:c r="C1515" s="80" t="n">
        <x:v>652.1320813498679</x:v>
      </x:c>
      <x:c r="D1515" s="80" t="n">
        <x:v>4779.446028285451</x:v>
      </x:c>
      <x:c r="E1515" s="81" t="str">
        <x:v>24:00</x:v>
      </x:c>
      <x:c r="F1515" s="80" t="n">
        <x:v>6029.284008552517</x:v>
      </x:c>
    </x:row>
    <x:row r="1516">
      <x:c r="A1516" s="78"/>
      <x:c r="B1516" s="79" t="str">
        <x:v>8:00-12:00</x:v>
      </x:c>
      <x:c r="C1516" s="80" t="n">
        <x:v>10625.514166666666</x:v>
      </x:c>
      <x:c r="D1516" s="80" t="n">
        <x:v>0</x:v>
      </x:c>
      <x:c r="E1516" s="81"/>
      <x:c r="F1516" s="80"/>
    </x:row>
    <x:row r="1517">
      <x:c r="A1517" s="78"/>
      <x:c r="B1517" s="79" t="str">
        <x:v>12:00-16:00</x:v>
      </x:c>
      <x:c r="C1517" s="80" t="n">
        <x:v>0</x:v>
      </x:c>
      <x:c r="D1517" s="80" t="n">
        <x:v>15.18166666666669</x:v>
      </x:c>
      <x:c r="E1517" s="81"/>
      <x:c r="F1517" s="80"/>
    </x:row>
    <x:row r="1518">
      <x:c r="A1518" s="78"/>
      <x:c r="B1518" s="79" t="str">
        <x:v>16:00-20:00</x:v>
      </x:c>
      <x:c r="C1518" s="80" t="n">
        <x:v>1.6513954127144643</x:v>
      </x:c>
      <x:c r="D1518" s="80" t="n">
        <x:v>6534.044351799342</x:v>
      </x:c>
      <x:c r="E1518" s="81"/>
      <x:c r="F1518" s="80"/>
    </x:row>
    <x:row r="1519">
      <x:c r="A1519" s="98"/>
      <x:c r="B1519" s="99" t="str">
        <x:v>20:00-24:00</x:v>
      </x:c>
      <x:c r="C1519" s="100" t="n">
        <x:v>6181.437738010383</x:v>
      </x:c>
      <x:c r="D1519" s="100" t="n">
        <x:v>2752.7205719094336</x:v>
      </x:c>
      <x:c r="E1519" s="101"/>
      <x:c r="F1519" s="100"/>
    </x:row>
    <x:row r="1520">
      <x:c r="A1520" s="102" t="n">
        <x:v>45942</x:v>
      </x:c>
      <x:c r="B1520" s="103" t="str">
        <x:v>0:00-4:00</x:v>
      </x:c>
      <x:c r="C1520" s="104" t="n">
        <x:v>5348.816045084232</x:v>
      </x:c>
      <x:c r="D1520" s="104" t="n">
        <x:v>70.69601412760437</x:v>
      </x:c>
      <x:c r="E1520" s="105" t="str">
        <x:v>0:00</x:v>
      </x:c>
      <x:c r="F1520" s="104" t="n">
        <x:v>6029.284008552517</x:v>
      </x:c>
    </x:row>
    <x:row r="1521">
      <x:c r="A1521" s="78"/>
      <x:c r="B1521" s="79" t="str">
        <x:v>4:00-8:00</x:v>
      </x:c>
      <x:c r="C1521" s="80" t="n">
        <x:v>78.69991980314518</x:v>
      </x:c>
      <x:c r="D1521" s="80" t="n">
        <x:v>6798.317300547551</x:v>
      </x:c>
      <x:c r="E1521" s="81" t="str">
        <x:v>24:00</x:v>
      </x:c>
      <x:c r="F1521" s="80" t="n">
        <x:v>5846.219401435185</x:v>
      </x:c>
    </x:row>
    <x:row r="1522">
      <x:c r="A1522" s="78"/>
      <x:c r="B1522" s="79" t="str">
        <x:v>8:00-12:00</x:v>
      </x:c>
      <x:c r="C1522" s="80" t="n">
        <x:v>4140.664251506938</x:v>
      </x:c>
      <x:c r="D1522" s="80" t="n">
        <x:v>1873.6302245808888</x:v>
      </x:c>
      <x:c r="E1522" s="81"/>
      <x:c r="F1522" s="80"/>
    </x:row>
    <x:row r="1523">
      <x:c r="A1523" s="78"/>
      <x:c r="B1523" s="79" t="str">
        <x:v>12:00-16:00</x:v>
      </x:c>
      <x:c r="C1523" s="80" t="n">
        <x:v>4803.697431716119</x:v>
      </x:c>
      <x:c r="D1523" s="80" t="n">
        <x:v>54.05881666666664</x:v>
      </x:c>
      <x:c r="E1523" s="81"/>
      <x:c r="F1523" s="80"/>
    </x:row>
    <x:row r="1524">
      <x:c r="A1524" s="78"/>
      <x:c r="B1524" s="79" t="str">
        <x:v>16:00-20:00</x:v>
      </x:c>
      <x:c r="C1524" s="80" t="n">
        <x:v>44.00497008606294</x:v>
      </x:c>
      <x:c r="D1524" s="80" t="n">
        <x:v>7226.518172513721</x:v>
      </x:c>
      <x:c r="E1524" s="81"/>
      <x:c r="F1524" s="80"/>
    </x:row>
    <x:row r="1525">
      <x:c r="A1525" s="98"/>
      <x:c r="B1525" s="99" t="str">
        <x:v>20:00-24:00</x:v>
      </x:c>
      <x:c r="C1525" s="100" t="n">
        <x:v>5273.620545897633</x:v>
      </x:c>
      <x:c r="D1525" s="100" t="n">
        <x:v>90.03518088541668</x:v>
      </x:c>
      <x:c r="E1525" s="101"/>
      <x:c r="F1525" s="100"/>
    </x:row>
    <x:row r="1526">
      <x:c r="A1526" s="102" t="n">
        <x:v>45943</x:v>
      </x:c>
      <x:c r="B1526" s="103" t="str">
        <x:v>0:00-4:00</x:v>
      </x:c>
      <x:c r="C1526" s="104" t="n">
        <x:v>4851.487240267328</x:v>
      </x:c>
      <x:c r="D1526" s="104" t="n">
        <x:v>73.06748749999986</x:v>
      </x:c>
      <x:c r="E1526" s="105" t="str">
        <x:v>0:00</x:v>
      </x:c>
      <x:c r="F1526" s="104" t="n">
        <x:v>5846.219401435185</x:v>
      </x:c>
    </x:row>
    <x:row r="1527">
      <x:c r="A1527" s="78"/>
      <x:c r="B1527" s="79" t="str">
        <x:v>4:00-8:00</x:v>
      </x:c>
      <x:c r="C1527" s="80" t="n">
        <x:v>939.5560693948391</x:v>
      </x:c>
      <x:c r="D1527" s="80" t="n">
        <x:v>6725.421782203583</x:v>
      </x:c>
      <x:c r="E1527" s="81" t="str">
        <x:v>24:00</x:v>
      </x:c>
      <x:c r="F1527" s="80" t="n">
        <x:v>6175.666307844331</x:v>
      </x:c>
    </x:row>
    <x:row r="1528">
      <x:c r="A1528" s="78"/>
      <x:c r="B1528" s="79" t="str">
        <x:v>8:00-12:00</x:v>
      </x:c>
      <x:c r="C1528" s="80" t="n">
        <x:v>5471.272497491955</x:v>
      </x:c>
      <x:c r="D1528" s="80" t="n">
        <x:v>2073.8532724144425</x:v>
      </x:c>
      <x:c r="E1528" s="81"/>
      <x:c r="F1528" s="80"/>
    </x:row>
    <x:row r="1529">
      <x:c r="A1529" s="78"/>
      <x:c r="B1529" s="79" t="str">
        <x:v>12:00-16:00</x:v>
      </x:c>
      <x:c r="C1529" s="80" t="n">
        <x:v>5369.763681511869</x:v>
      </x:c>
      <x:c r="D1529" s="80" t="n">
        <x:v>206.12570567464502</x:v>
      </x:c>
      <x:c r="E1529" s="81"/>
      <x:c r="F1529" s="80"/>
    </x:row>
    <x:row r="1530">
      <x:c r="A1530" s="78"/>
      <x:c r="B1530" s="79" t="str">
        <x:v>16:00-20:00</x:v>
      </x:c>
      <x:c r="C1530" s="80" t="n">
        <x:v>4.800424218749981</x:v>
      </x:c>
      <x:c r="D1530" s="80" t="n">
        <x:v>6387.571554983218</x:v>
      </x:c>
      <x:c r="E1530" s="81"/>
      <x:c r="F1530" s="80"/>
    </x:row>
    <x:row r="1531">
      <x:c r="A1531" s="98"/>
      <x:c r="B1531" s="99" t="str">
        <x:v>20:00-24:00</x:v>
      </x:c>
      <x:c r="C1531" s="100" t="n">
        <x:v>5528.518119827032</x:v>
      </x:c>
      <x:c r="D1531" s="100" t="n">
        <x:v>2191.430387952423</x:v>
      </x:c>
      <x:c r="E1531" s="101"/>
      <x:c r="F1531" s="100"/>
    </x:row>
    <x:row r="1532">
      <x:c r="A1532" s="102" t="n">
        <x:v>45944</x:v>
      </x:c>
      <x:c r="B1532" s="103" t="str">
        <x:v>0:00-4:00</x:v>
      </x:c>
      <x:c r="C1532" s="104" t="n">
        <x:v>5157.757040768065</x:v>
      </x:c>
      <x:c r="D1532" s="104" t="n">
        <x:v>126.01381868489591</x:v>
      </x:c>
      <x:c r="E1532" s="105" t="str">
        <x:v>0:00</x:v>
      </x:c>
      <x:c r="F1532" s="104" t="n">
        <x:v>6175.666307844331</x:v>
      </x:c>
    </x:row>
    <x:row r="1533">
      <x:c r="A1533" s="78"/>
      <x:c r="B1533" s="79" t="str">
        <x:v>4:00-8:00</x:v>
      </x:c>
      <x:c r="C1533" s="80" t="n">
        <x:v>845.6608024088542</x:v>
      </x:c>
      <x:c r="D1533" s="80" t="n">
        <x:v>7852.485324985464</x:v>
      </x:c>
      <x:c r="E1533" s="81" t="str">
        <x:v>24:00</x:v>
      </x:c>
      <x:c r="F1533" s="80" t="n">
        <x:v>5958.83945513527</x:v>
      </x:c>
    </x:row>
    <x:row r="1534">
      <x:c r="A1534" s="78"/>
      <x:c r="B1534" s="79" t="str">
        <x:v>8:00-12:00</x:v>
      </x:c>
      <x:c r="C1534" s="80" t="n">
        <x:v>3470.351789893155</x:v>
      </x:c>
      <x:c r="D1534" s="80" t="n">
        <x:v>1362.3689863628429</x:v>
      </x:c>
      <x:c r="E1534" s="81"/>
      <x:c r="F1534" s="80"/>
    </x:row>
    <x:row r="1535">
      <x:c r="A1535" s="78"/>
      <x:c r="B1535" s="79" t="str">
        <x:v>12:00-16:00</x:v>
      </x:c>
      <x:c r="C1535" s="80" t="n">
        <x:v>5378.540623253848</x:v>
      </x:c>
      <x:c r="D1535" s="80" t="n">
        <x:v>516.1483845368865</x:v>
      </x:c>
      <x:c r="E1535" s="81"/>
      <x:c r="F1535" s="80"/>
    </x:row>
    <x:row r="1536">
      <x:c r="A1536" s="78"/>
      <x:c r="B1536" s="79" t="str">
        <x:v>16:00-20:00</x:v>
      </x:c>
      <x:c r="C1536" s="80" t="n">
        <x:v>17.528846294859704</x:v>
      </x:c>
      <x:c r="D1536" s="80" t="n">
        <x:v>6500.9537725340615</x:v>
      </x:c>
      <x:c r="E1536" s="81"/>
      <x:c r="F1536" s="80"/>
    </x:row>
    <x:row r="1537">
      <x:c r="A1537" s="98"/>
      <x:c r="B1537" s="99" t="str">
        <x:v>20:00-24:00</x:v>
      </x:c>
      <x:c r="C1537" s="100" t="n">
        <x:v>5360.333782058577</x:v>
      </x:c>
      <x:c r="D1537" s="100" t="n">
        <x:v>223.6139169226643</x:v>
      </x:c>
      <x:c r="E1537" s="101"/>
      <x:c r="F1537" s="100"/>
    </x:row>
    <x:row r="1538">
      <x:c r="A1538" s="102" t="n">
        <x:v>45945</x:v>
      </x:c>
      <x:c r="B1538" s="103" t="str">
        <x:v>0:00-4:00</x:v>
      </x:c>
      <x:c r="C1538" s="104" t="n">
        <x:v>4579.1109650406715</x:v>
      </x:c>
      <x:c r="D1538" s="104" t="n">
        <x:v>138.7909211588543</x:v>
      </x:c>
      <x:c r="E1538" s="105" t="str">
        <x:v>0:00</x:v>
      </x:c>
      <x:c r="F1538" s="104" t="n">
        <x:v>5958.83945513527</x:v>
      </x:c>
    </x:row>
    <x:row r="1539">
      <x:c r="A1539" s="78"/>
      <x:c r="B1539" s="79" t="str">
        <x:v>4:00-8:00</x:v>
      </x:c>
      <x:c r="C1539" s="80" t="n">
        <x:v>852.4592380208331</x:v>
      </x:c>
      <x:c r="D1539" s="80" t="n">
        <x:v>6698.991620786259</x:v>
      </x:c>
      <x:c r="E1539" s="81" t="str">
        <x:v>24:00</x:v>
      </x:c>
      <x:c r="F1539" s="80" t="n">
        <x:v>6035.701113376012</x:v>
      </x:c>
    </x:row>
    <x:row r="1540">
      <x:c r="A1540" s="78"/>
      <x:c r="B1540" s="79" t="str">
        <x:v>8:00-12:00</x:v>
      </x:c>
      <x:c r="C1540" s="80" t="n">
        <x:v>4034.065814347643</x:v>
      </x:c>
      <x:c r="D1540" s="80" t="n">
        <x:v>1844.7448321564486</x:v>
      </x:c>
      <x:c r="E1540" s="81"/>
      <x:c r="F1540" s="80"/>
    </x:row>
    <x:row r="1541">
      <x:c r="A1541" s="78"/>
      <x:c r="B1541" s="79" t="str">
        <x:v>12:00-16:00</x:v>
      </x:c>
      <x:c r="C1541" s="80" t="n">
        <x:v>3635.9102422811347</x:v>
      </x:c>
      <x:c r="D1541" s="80" t="n">
        <x:v>494.0139791190699</x:v>
      </x:c>
      <x:c r="E1541" s="81"/>
      <x:c r="F1541" s="80"/>
    </x:row>
    <x:row r="1542">
      <x:c r="A1542" s="78"/>
      <x:c r="B1542" s="79" t="str">
        <x:v>16:00-20:00</x:v>
      </x:c>
      <x:c r="C1542" s="80" t="n">
        <x:v>26.95150844232296</x:v>
      </x:c>
      <x:c r="D1542" s="80" t="n">
        <x:v>5740.49734858852</x:v>
      </x:c>
      <x:c r="E1542" s="81"/>
      <x:c r="F1542" s="80"/>
    </x:row>
    <x:row r="1543">
      <x:c r="A1543" s="98"/>
      <x:c r="B1543" s="99" t="str">
        <x:v>20:00-24:00</x:v>
      </x:c>
      <x:c r="C1543" s="100" t="n">
        <x:v>5376.174830111078</x:v>
      </x:c>
      <x:c r="D1543" s="100" t="n">
        <x:v>2.57061035156255</x:v>
      </x:c>
      <x:c r="E1543" s="101"/>
      <x:c r="F1543" s="100"/>
    </x:row>
    <x:row r="1544">
      <x:c r="A1544" s="102" t="n">
        <x:v>45946</x:v>
      </x:c>
      <x:c r="B1544" s="103" t="str">
        <x:v>0:00-4:00</x:v>
      </x:c>
      <x:c r="C1544" s="104" t="n">
        <x:v>5317.2735469650215</x:v>
      </x:c>
      <x:c r="D1544" s="104" t="n">
        <x:v>125.9796483723959</x:v>
      </x:c>
      <x:c r="E1544" s="105" t="str">
        <x:v>0:00</x:v>
      </x:c>
      <x:c r="F1544" s="104" t="n">
        <x:v>6035.701113376012</x:v>
      </x:c>
    </x:row>
    <x:row r="1545">
      <x:c r="A1545" s="78"/>
      <x:c r="B1545" s="79" t="str">
        <x:v>4:00-8:00</x:v>
      </x:c>
      <x:c r="C1545" s="80" t="n">
        <x:v>29.074428450520827</x:v>
      </x:c>
      <x:c r="D1545" s="80" t="n">
        <x:v>6880.994634448876</x:v>
      </x:c>
      <x:c r="E1545" s="81" t="str">
        <x:v>24:00</x:v>
      </x:c>
      <x:c r="F1545" s="80" t="n">
        <x:v>6030.830709665798</x:v>
      </x:c>
    </x:row>
    <x:row r="1546">
      <x:c r="A1546" s="78"/>
      <x:c r="B1546" s="79" t="str">
        <x:v>8:00-12:00</x:v>
      </x:c>
      <x:c r="C1546" s="80" t="n">
        <x:v>4995.582153047353</x:v>
      </x:c>
      <x:c r="D1546" s="80" t="n">
        <x:v>1675.6985793037293</x:v>
      </x:c>
      <x:c r="E1546" s="81"/>
      <x:c r="F1546" s="80"/>
    </x:row>
    <x:row r="1547">
      <x:c r="A1547" s="78"/>
      <x:c r="B1547" s="79" t="str">
        <x:v>12:00-16:00</x:v>
      </x:c>
      <x:c r="C1547" s="80" t="n">
        <x:v>4440.0211798307155</x:v>
      </x:c>
      <x:c r="D1547" s="80" t="n">
        <x:v>1589.7432219020088</x:v>
      </x:c>
      <x:c r="E1547" s="81"/>
      <x:c r="F1547" s="80"/>
    </x:row>
    <x:row r="1548">
      <x:c r="A1548" s="78"/>
      <x:c r="B1548" s="79" t="str">
        <x:v>16:00-20:00</x:v>
      </x:c>
      <x:c r="C1548" s="80" t="n">
        <x:v>0</x:v>
      </x:c>
      <x:c r="D1548" s="80" t="n">
        <x:v>6053.095477729229</x:v>
      </x:c>
      <x:c r="E1548" s="81"/>
      <x:c r="F1548" s="80"/>
    </x:row>
    <x:row r="1549">
      <x:c r="A1549" s="98"/>
      <x:c r="B1549" s="99" t="str">
        <x:v>20:00-24:00</x:v>
      </x:c>
      <x:c r="C1549" s="100" t="n">
        <x:v>5398.626249069251</x:v>
      </x:c>
      <x:c r="D1549" s="100" t="n">
        <x:v>25.1396230468751</x:v>
      </x:c>
      <x:c r="E1549" s="101"/>
      <x:c r="F1549" s="100"/>
    </x:row>
    <x:row r="1550">
      <x:c r="A1550" s="102" t="n">
        <x:v>45947</x:v>
      </x:c>
      <x:c r="B1550" s="103" t="str">
        <x:v>0:00-4:00</x:v>
      </x:c>
      <x:c r="C1550" s="104" t="n">
        <x:v>913.363698111979</x:v>
      </x:c>
      <x:c r="D1550" s="104" t="n">
        <x:v>1144.2256418591971</x:v>
      </x:c>
      <x:c r="E1550" s="105" t="str">
        <x:v>0:00</x:v>
      </x:c>
      <x:c r="F1550" s="104" t="n">
        <x:v>6030.830709665798</x:v>
      </x:c>
    </x:row>
    <x:row r="1551">
      <x:c r="A1551" s="78"/>
      <x:c r="B1551" s="79" t="str">
        <x:v>4:00-8:00</x:v>
      </x:c>
      <x:c r="C1551" s="80" t="n">
        <x:v>12.941395703124991</x:v>
      </x:c>
      <x:c r="D1551" s="80" t="n">
        <x:v>3951.2769478302553</x:v>
      </x:c>
      <x:c r="E1551" s="81" t="str">
        <x:v>24:00</x:v>
      </x:c>
      <x:c r="F1551" s="80" t="n">
        <x:v>5792.291055720487</x:v>
      </x:c>
    </x:row>
    <x:row r="1552">
      <x:c r="A1552" s="78"/>
      <x:c r="B1552" s="79" t="str">
        <x:v>8:00-12:00</x:v>
      </x:c>
      <x:c r="C1552" s="80" t="n">
        <x:v>10663.515833333335</x:v>
      </x:c>
      <x:c r="D1552" s="80" t="n">
        <x:v>0</x:v>
      </x:c>
      <x:c r="E1552" s="81"/>
      <x:c r="F1552" s="80"/>
    </x:row>
    <x:row r="1553">
      <x:c r="A1553" s="78"/>
      <x:c r="B1553" s="79" t="str">
        <x:v>12:00-16:00</x:v>
      </x:c>
      <x:c r="C1553" s="80" t="n">
        <x:v>0</x:v>
      </x:c>
      <x:c r="D1553" s="80" t="n">
        <x:v>14.630270323121977</x:v>
      </x:c>
      <x:c r="E1553" s="81"/>
      <x:c r="F1553" s="80"/>
    </x:row>
    <x:row r="1554">
      <x:c r="A1554" s="78"/>
      <x:c r="B1554" s="79" t="str">
        <x:v>16:00-20:00</x:v>
      </x:c>
      <x:c r="C1554" s="80" t="n">
        <x:v>86.5302160440661</x:v>
      </x:c>
      <x:c r="D1554" s="80" t="n">
        <x:v>6453.30137855654</x:v>
      </x:c>
      <x:c r="E1554" s="81"/>
      <x:c r="F1554" s="80"/>
    </x:row>
    <x:row r="1555">
      <x:c r="A1555" s="98"/>
      <x:c r="B1555" s="99" t="str">
        <x:v>20:00-24:00</x:v>
      </x:c>
      <x:c r="C1555" s="100" t="n">
        <x:v>5239.560308189461</x:v>
      </x:c>
      <x:c r="D1555" s="100" t="n">
        <x:v>2353.1397256010555</x:v>
      </x:c>
      <x:c r="E1555" s="101"/>
      <x:c r="F1555" s="100"/>
    </x:row>
    <x:row r="1556">
      <x:c r="A1556" s="102" t="n">
        <x:v>45948</x:v>
      </x:c>
      <x:c r="B1556" s="103" t="str">
        <x:v>0:00-4:00</x:v>
      </x:c>
      <x:c r="C1556" s="104" t="n">
        <x:v>771.7192097023799</x:v>
      </x:c>
      <x:c r="D1556" s="104" t="n">
        <x:v>184.72311901041672</x:v>
      </x:c>
      <x:c r="E1556" s="105" t="str">
        <x:v>0:00</x:v>
      </x:c>
      <x:c r="F1556" s="104" t="n">
        <x:v>5792.291055720487</x:v>
      </x:c>
    </x:row>
    <x:row r="1557">
      <x:c r="A1557" s="78"/>
      <x:c r="B1557" s="79" t="str">
        <x:v>4:00-8:00</x:v>
      </x:c>
      <x:c r="C1557" s="80" t="n">
        <x:v>52.41014244791671</x:v>
      </x:c>
      <x:c r="D1557" s="80" t="n">
        <x:v>4615.883606379762</x:v>
      </x:c>
      <x:c r="E1557" s="81" t="str">
        <x:v>24:00</x:v>
      </x:c>
      <x:c r="F1557" s="80" t="n">
        <x:v>5916.522592445024</x:v>
      </x:c>
    </x:row>
    <x:row r="1558">
      <x:c r="A1558" s="78"/>
      <x:c r="B1558" s="79" t="str">
        <x:v>8:00-12:00</x:v>
      </x:c>
      <x:c r="C1558" s="80" t="n">
        <x:v>10666.666666666668</x:v>
      </x:c>
      <x:c r="D1558" s="80" t="n">
        <x:v>0</x:v>
      </x:c>
      <x:c r="E1558" s="81"/>
      <x:c r="F1558" s="80"/>
    </x:row>
    <x:row r="1559">
      <x:c r="A1559" s="78"/>
      <x:c r="B1559" s="79" t="str">
        <x:v>12:00-16:00</x:v>
      </x:c>
      <x:c r="C1559" s="80" t="n">
        <x:v>0</x:v>
      </x:c>
      <x:c r="D1559" s="80" t="n">
        <x:v>54.69759493248981</x:v>
      </x:c>
      <x:c r="E1559" s="81"/>
      <x:c r="F1559" s="80"/>
    </x:row>
    <x:row r="1560">
      <x:c r="A1560" s="78"/>
      <x:c r="B1560" s="79" t="str">
        <x:v>16:00-20:00</x:v>
      </x:c>
      <x:c r="C1560" s="80" t="n">
        <x:v>9.931201419474235</x:v>
      </x:c>
      <x:c r="D1560" s="80" t="n">
        <x:v>6563.591762713095</x:v>
      </x:c>
      <x:c r="E1560" s="81"/>
      <x:c r="F1560" s="80"/>
    </x:row>
    <x:row r="1561">
      <x:c r="A1561" s="98"/>
      <x:c r="B1561" s="99" t="str">
        <x:v>20:00-24:00</x:v>
      </x:c>
      <x:c r="C1561" s="100" t="n">
        <x:v>6033.79316325553</x:v>
      </x:c>
      <x:c r="D1561" s="100" t="n">
        <x:v>2672.2570445406454</x:v>
      </x:c>
      <x:c r="E1561" s="101"/>
      <x:c r="F1561" s="100"/>
    </x:row>
    <x:row r="1562">
      <x:c r="A1562" s="102" t="n">
        <x:v>45949</x:v>
      </x:c>
      <x:c r="B1562" s="103" t="str">
        <x:v>0:00-4:00</x:v>
      </x:c>
      <x:c r="C1562" s="104" t="n">
        <x:v>4607.76561842046</x:v>
      </x:c>
      <x:c r="D1562" s="104" t="n">
        <x:v>172.55651601562488</x:v>
      </x:c>
      <x:c r="E1562" s="105" t="str">
        <x:v>0:00</x:v>
      </x:c>
      <x:c r="F1562" s="104" t="n">
        <x:v>5916.522592445024</x:v>
      </x:c>
    </x:row>
    <x:row r="1563">
      <x:c r="A1563" s="78"/>
      <x:c r="B1563" s="79" t="str">
        <x:v>4:00-8:00</x:v>
      </x:c>
      <x:c r="C1563" s="80" t="n">
        <x:v>855.557625</x:v>
      </x:c>
      <x:c r="D1563" s="80" t="n">
        <x:v>6860.856245027348</x:v>
      </x:c>
      <x:c r="E1563" s="81" t="str">
        <x:v>24:00</x:v>
      </x:c>
      <x:c r="F1563" s="80" t="n">
        <x:v>5995.120541082901</x:v>
      </x:c>
    </x:row>
    <x:row r="1564">
      <x:c r="A1564" s="78"/>
      <x:c r="B1564" s="79" t="str">
        <x:v>8:00-12:00</x:v>
      </x:c>
      <x:c r="C1564" s="80" t="n">
        <x:v>5403.890731184356</x:v>
      </x:c>
      <x:c r="D1564" s="80" t="n">
        <x:v>1636.7493993281198</x:v>
      </x:c>
      <x:c r="E1564" s="81"/>
      <x:c r="F1564" s="80"/>
    </x:row>
    <x:row r="1565">
      <x:c r="A1565" s="78"/>
      <x:c r="B1565" s="79" t="str">
        <x:v>12:00-16:00</x:v>
      </x:c>
      <x:c r="C1565" s="80" t="n">
        <x:v>4699.429479952769</x:v>
      </x:c>
      <x:c r="D1565" s="80" t="n">
        <x:v>1560.1393983308644</x:v>
      </x:c>
      <x:c r="E1565" s="81"/>
      <x:c r="F1565" s="80"/>
    </x:row>
    <x:row r="1566">
      <x:c r="A1566" s="78"/>
      <x:c r="B1566" s="79" t="str">
        <x:v>16:00-20:00</x:v>
      </x:c>
      <x:c r="C1566" s="80" t="n">
        <x:v>0</x:v>
      </x:c>
      <x:c r="D1566" s="80" t="n">
        <x:v>6623.5499726902035</x:v>
      </x:c>
      <x:c r="E1566" s="81"/>
      <x:c r="F1566" s="80"/>
    </x:row>
    <x:row r="1567">
      <x:c r="A1567" s="98"/>
      <x:c r="B1567" s="99" t="str">
        <x:v>20:00-24:00</x:v>
      </x:c>
      <x:c r="C1567" s="100" t="n">
        <x:v>5360.657845609086</x:v>
      </x:c>
      <x:c r="D1567" s="100" t="n">
        <x:v>26.52436796874997</x:v>
      </x:c>
      <x:c r="E1567" s="101"/>
      <x:c r="F1567" s="100"/>
    </x:row>
    <x:row r="1568">
      <x:c r="A1568" s="102" t="n">
        <x:v>45950</x:v>
      </x:c>
      <x:c r="B1568" s="103" t="str">
        <x:v>0:00-4:00</x:v>
      </x:c>
      <x:c r="C1568" s="104" t="n">
        <x:v>4657.588453440874</x:v>
      </x:c>
      <x:c r="D1568" s="104" t="n">
        <x:v>107.45124492187472</x:v>
      </x:c>
      <x:c r="E1568" s="105" t="str">
        <x:v>0:00</x:v>
      </x:c>
      <x:c r="F1568" s="104" t="n">
        <x:v>5995.120541082901</x:v>
      </x:c>
    </x:row>
    <x:row r="1569">
      <x:c r="A1569" s="78"/>
      <x:c r="B1569" s="79" t="str">
        <x:v>4:00-8:00</x:v>
      </x:c>
      <x:c r="C1569" s="80" t="n">
        <x:v>834.2322890953562</x:v>
      </x:c>
      <x:c r="D1569" s="80" t="n">
        <x:v>6595.718827532523</x:v>
      </x:c>
      <x:c r="E1569" s="81" t="str">
        <x:v>24:00</x:v>
      </x:c>
      <x:c r="F1569" s="80" t="n">
        <x:v>5867.635954746094</x:v>
      </x:c>
    </x:row>
    <x:row r="1570">
      <x:c r="A1570" s="78"/>
      <x:c r="B1570" s="79" t="str">
        <x:v>8:00-12:00</x:v>
      </x:c>
      <x:c r="C1570" s="80" t="n">
        <x:v>4686.402790315209</x:v>
      </x:c>
      <x:c r="D1570" s="80" t="n">
        <x:v>2060.8132159745605</x:v>
      </x:c>
      <x:c r="E1570" s="81"/>
      <x:c r="F1570" s="80"/>
    </x:row>
    <x:row r="1571">
      <x:c r="A1571" s="78"/>
      <x:c r="B1571" s="79" t="str">
        <x:v>12:00-16:00</x:v>
      </x:c>
      <x:c r="C1571" s="80" t="n">
        <x:v>5066.434863859194</x:v>
      </x:c>
      <x:c r="D1571" s="80" t="n">
        <x:v>294.1414150256247</x:v>
      </x:c>
      <x:c r="E1571" s="81"/>
      <x:c r="F1571" s="80"/>
    </x:row>
    <x:row r="1572">
      <x:c r="A1572" s="78"/>
      <x:c r="B1572" s="79" t="str">
        <x:v>16:00-20:00</x:v>
      </x:c>
      <x:c r="C1572" s="80" t="n">
        <x:v>18.15359326091516</x:v>
      </x:c>
      <x:c r="D1572" s="80" t="n">
        <x:v>6770.623086239083</x:v>
      </x:c>
      <x:c r="E1572" s="81"/>
      <x:c r="F1572" s="80"/>
    </x:row>
    <x:row r="1573">
      <x:c r="A1573" s="98"/>
      <x:c r="B1573" s="99" t="str">
        <x:v>20:00-24:00</x:v>
      </x:c>
      <x:c r="C1573" s="100" t="n">
        <x:v>5279.746022382168</x:v>
      </x:c>
      <x:c r="D1573" s="100" t="n">
        <x:v>925.4603280159711</x:v>
      </x:c>
      <x:c r="E1573" s="101"/>
      <x:c r="F1573" s="100"/>
    </x:row>
    <x:row r="1574">
      <x:c r="A1574" s="102" t="n">
        <x:v>45951</x:v>
      </x:c>
      <x:c r="B1574" s="103" t="str">
        <x:v>0:00-4:00</x:v>
      </x:c>
      <x:c r="C1574" s="104" t="n">
        <x:v>3946.8334671223947</x:v>
      </x:c>
      <x:c r="D1574" s="104" t="n">
        <x:v>61.18120214843759</x:v>
      </x:c>
      <x:c r="E1574" s="105" t="str">
        <x:v>0:00</x:v>
      </x:c>
      <x:c r="F1574" s="104" t="n">
        <x:v>5867.635954746094</x:v>
      </x:c>
    </x:row>
    <x:row r="1575">
      <x:c r="A1575" s="78"/>
      <x:c r="B1575" s="79" t="str">
        <x:v>4:00-8:00</x:v>
      </x:c>
      <x:c r="C1575" s="80" t="n">
        <x:v>1662.614796158854</x:v>
      </x:c>
      <x:c r="D1575" s="80" t="n">
        <x:v>6534.130391539661</x:v>
      </x:c>
      <x:c r="E1575" s="81" t="str">
        <x:v>24:00</x:v>
      </x:c>
      <x:c r="F1575" s="80" t="n">
        <x:v>5917.98413235677</x:v>
      </x:c>
    </x:row>
    <x:row r="1576">
      <x:c r="A1576" s="78"/>
      <x:c r="B1576" s="79" t="str">
        <x:v>8:00-12:00</x:v>
      </x:c>
      <x:c r="C1576" s="80" t="n">
        <x:v>4231.318765203183</x:v>
      </x:c>
      <x:c r="D1576" s="80" t="n">
        <x:v>2149.213858841198</x:v>
      </x:c>
      <x:c r="E1576" s="81"/>
      <x:c r="F1576" s="80"/>
    </x:row>
    <x:row r="1577">
      <x:c r="A1577" s="78"/>
      <x:c r="B1577" s="79" t="str">
        <x:v>12:00-16:00</x:v>
      </x:c>
      <x:c r="C1577" s="80" t="n">
        <x:v>4149.7509229776015</x:v>
      </x:c>
      <x:c r="D1577" s="80" t="n">
        <x:v>714.315320570545</x:v>
      </x:c>
      <x:c r="E1577" s="81"/>
      <x:c r="F1577" s="80"/>
    </x:row>
    <x:row r="1578">
      <x:c r="A1578" s="78"/>
      <x:c r="B1578" s="79" t="str">
        <x:v>16:00-20:00</x:v>
      </x:c>
      <x:c r="C1578" s="80" t="n">
        <x:v>42.46026351462899</x:v>
      </x:c>
      <x:c r="D1578" s="80" t="n">
        <x:v>6108.743940302738</x:v>
      </x:c>
      <x:c r="E1578" s="81"/>
      <x:c r="F1578" s="80"/>
    </x:row>
    <x:row r="1579">
      <x:c r="A1579" s="98"/>
      <x:c r="B1579" s="99" t="str">
        <x:v>20:00-24:00</x:v>
      </x:c>
      <x:c r="C1579" s="100" t="n">
        <x:v>5292.494611279899</x:v>
      </x:c>
      <x:c r="D1579" s="100" t="n">
        <x:v>40.73491601562489</x:v>
      </x:c>
      <x:c r="E1579" s="101"/>
      <x:c r="F1579" s="100"/>
    </x:row>
    <x:row r="1580">
      <x:c r="A1580" s="102" t="n">
        <x:v>45952</x:v>
      </x:c>
      <x:c r="B1580" s="103" t="str">
        <x:v>0:00-4:00</x:v>
      </x:c>
      <x:c r="C1580" s="104" t="n">
        <x:v>5132.04722845052</x:v>
      </x:c>
      <x:c r="D1580" s="104" t="n">
        <x:v>160.2031555338541</x:v>
      </x:c>
      <x:c r="E1580" s="105" t="str">
        <x:v>0:00</x:v>
      </x:c>
      <x:c r="F1580" s="104" t="n">
        <x:v>5917.98413235677</x:v>
      </x:c>
    </x:row>
    <x:row r="1581">
      <x:c r="A1581" s="78"/>
      <x:c r="B1581" s="79" t="str">
        <x:v>4:00-8:00</x:v>
      </x:c>
      <x:c r="C1581" s="80" t="n">
        <x:v>1273.0326110676851</x:v>
      </x:c>
      <x:c r="D1581" s="80" t="n">
        <x:v>6780.089735200144</x:v>
      </x:c>
      <x:c r="E1581" s="81" t="str">
        <x:v>24:00</x:v>
      </x:c>
      <x:c r="F1581" s="80" t="n">
        <x:v>5941.050224290365</x:v>
      </x:c>
    </x:row>
    <x:row r="1582">
      <x:c r="A1582" s="78"/>
      <x:c r="B1582" s="79" t="str">
        <x:v>8:00-12:00</x:v>
      </x:c>
      <x:c r="C1582" s="80" t="n">
        <x:v>5300.01548957804</x:v>
      </x:c>
      <x:c r="D1582" s="80" t="n">
        <x:v>2494.007498396844</x:v>
      </x:c>
      <x:c r="E1582" s="81"/>
      <x:c r="F1582" s="80"/>
    </x:row>
    <x:row r="1583">
      <x:c r="A1583" s="78"/>
      <x:c r="B1583" s="79" t="str">
        <x:v>12:00-16:00</x:v>
      </x:c>
      <x:c r="C1583" s="80" t="n">
        <x:v>5331.208270970417</x:v>
      </x:c>
      <x:c r="D1583" s="80" t="n">
        <x:v>231.2742962740964</x:v>
      </x:c>
      <x:c r="E1583" s="81"/>
      <x:c r="F1583" s="80"/>
    </x:row>
    <x:row r="1584">
      <x:c r="A1584" s="78"/>
      <x:c r="B1584" s="79" t="str">
        <x:v>16:00-20:00</x:v>
      </x:c>
      <x:c r="C1584" s="80" t="n">
        <x:v>0</x:v>
      </x:c>
      <x:c r="D1584" s="80" t="n">
        <x:v>7794.352807324056</x:v>
      </x:c>
      <x:c r="E1584" s="81"/>
      <x:c r="F1584" s="80"/>
    </x:row>
    <x:row r="1585">
      <x:c r="A1585" s="98"/>
      <x:c r="B1585" s="99" t="str">
        <x:v>20:00-24:00</x:v>
      </x:c>
      <x:c r="C1585" s="100" t="n">
        <x:v>5286.36750997862</x:v>
      </x:c>
      <x:c r="D1585" s="100" t="n">
        <x:v>600.6766236674513</x:v>
      </x:c>
      <x:c r="E1585" s="101"/>
      <x:c r="F1585" s="100"/>
    </x:row>
    <x:row r="1586">
      <x:c r="A1586" s="102" t="n">
        <x:v>45953</x:v>
      </x:c>
      <x:c r="B1586" s="103" t="str">
        <x:v>0:00-4:00</x:v>
      </x:c>
      <x:c r="C1586" s="104" t="n">
        <x:v>5163.363796419269</x:v>
      </x:c>
      <x:c r="D1586" s="104" t="n">
        <x:v>165.46574550781224</x:v>
      </x:c>
      <x:c r="E1586" s="105" t="str">
        <x:v>0:00</x:v>
      </x:c>
      <x:c r="F1586" s="104" t="n">
        <x:v>5941.050224290365</x:v>
      </x:c>
    </x:row>
    <x:row r="1587">
      <x:c r="A1587" s="78"/>
      <x:c r="B1587" s="79" t="str">
        <x:v>4:00-8:00</x:v>
      </x:c>
      <x:c r="C1587" s="80" t="n">
        <x:v>475.9317911373553</x:v>
      </x:c>
      <x:c r="D1587" s="80" t="n">
        <x:v>5669.003083077977</x:v>
      </x:c>
      <x:c r="E1587" s="81" t="str">
        <x:v>24:00</x:v>
      </x:c>
      <x:c r="F1587" s="80" t="n">
        <x:v>5841.989863209636</x:v>
      </x:c>
    </x:row>
    <x:row r="1588">
      <x:c r="A1588" s="78"/>
      <x:c r="B1588" s="79" t="str">
        <x:v>8:00-12:00</x:v>
      </x:c>
      <x:c r="C1588" s="80" t="n">
        <x:v>6705.406841529328</x:v>
      </x:c>
      <x:c r="D1588" s="80" t="n">
        <x:v>3000.3057991964097</x:v>
      </x:c>
      <x:c r="E1588" s="81"/>
      <x:c r="F1588" s="80"/>
    </x:row>
    <x:row r="1589">
      <x:c r="A1589" s="78"/>
      <x:c r="B1589" s="79" t="str">
        <x:v>12:00-16:00</x:v>
      </x:c>
      <x:c r="C1589" s="80" t="n">
        <x:v>4380.4399718046525</x:v>
      </x:c>
      <x:c r="D1589" s="80" t="n">
        <x:v>556.5809324799318</x:v>
      </x:c>
      <x:c r="E1589" s="81"/>
      <x:c r="F1589" s="80"/>
    </x:row>
    <x:row r="1590">
      <x:c r="A1590" s="78"/>
      <x:c r="B1590" s="79" t="str">
        <x:v>16:00-20:00</x:v>
      </x:c>
      <x:c r="C1590" s="80" t="n">
        <x:v>31.282425385527176</x:v>
      </x:c>
      <x:c r="D1590" s="80" t="n">
        <x:v>8025.336225535513</x:v>
      </x:c>
      <x:c r="E1590" s="81"/>
      <x:c r="F1590" s="80"/>
    </x:row>
    <x:row r="1591">
      <x:c r="A1591" s="98"/>
      <x:c r="B1591" s="99" t="str">
        <x:v>20:00-24:00</x:v>
      </x:c>
      <x:c r="C1591" s="100" t="n">
        <x:v>5162.5757853499545</x:v>
      </x:c>
      <x:c r="D1591" s="100" t="n">
        <x:v>426.85303459214674</x:v>
      </x:c>
      <x:c r="E1591" s="101"/>
      <x:c r="F1591" s="100"/>
    </x:row>
    <x:row r="1592">
      <x:c r="A1592" s="102" t="n">
        <x:v>45954</x:v>
      </x:c>
      <x:c r="B1592" s="103" t="str">
        <x:v>0:00-4:00</x:v>
      </x:c>
      <x:c r="C1592" s="104" t="n">
        <x:v>1893.06392943561</x:v>
      </x:c>
      <x:c r="D1592" s="104" t="n">
        <x:v>100.53854993489574</x:v>
      </x:c>
      <x:c r="E1592" s="105" t="str">
        <x:v>0:00</x:v>
      </x:c>
      <x:c r="F1592" s="104" t="n">
        <x:v>5841.989863209636</x:v>
      </x:c>
    </x:row>
    <x:row r="1593">
      <x:c r="A1593" s="78"/>
      <x:c r="B1593" s="79" t="str">
        <x:v>4:00-8:00</x:v>
      </x:c>
      <x:c r="C1593" s="80" t="n">
        <x:v>25.784946289062475</x:v>
      </x:c>
      <x:c r="D1593" s="80" t="n">
        <x:v>5631.519916290761</x:v>
      </x:c>
      <x:c r="E1593" s="81" t="str">
        <x:v>24:00</x:v>
      </x:c>
      <x:c r="F1593" s="80" t="n">
        <x:v>5861.563729380787</x:v>
      </x:c>
    </x:row>
    <x:row r="1594">
      <x:c r="A1594" s="78"/>
      <x:c r="B1594" s="79" t="str">
        <x:v>8:00-12:00</x:v>
      </x:c>
      <x:c r="C1594" s="80" t="n">
        <x:v>10666.666666666664</x:v>
      </x:c>
      <x:c r="D1594" s="80" t="n">
        <x:v>0</x:v>
      </x:c>
      <x:c r="E1594" s="81"/>
      <x:c r="F1594" s="80"/>
    </x:row>
    <x:row r="1595">
      <x:c r="A1595" s="78"/>
      <x:c r="B1595" s="79" t="str">
        <x:v>12:00-16:00</x:v>
      </x:c>
      <x:c r="C1595" s="80" t="n">
        <x:v>0</x:v>
      </x:c>
      <x:c r="D1595" s="80" t="n">
        <x:v>98.45143204533596</x:v>
      </x:c>
      <x:c r="E1595" s="81"/>
      <x:c r="F1595" s="80"/>
    </x:row>
    <x:row r="1596">
      <x:c r="A1596" s="78"/>
      <x:c r="B1596" s="79" t="str">
        <x:v>16:00-20:00</x:v>
      </x:c>
      <x:c r="C1596" s="80" t="n">
        <x:v>0</x:v>
      </x:c>
      <x:c r="D1596" s="80" t="n">
        <x:v>6737.011553871394</x:v>
      </x:c>
      <x:c r="E1596" s="81"/>
      <x:c r="F1596" s="80"/>
    </x:row>
    <x:row r="1597">
      <x:c r="A1597" s="98"/>
      <x:c r="B1597" s="99" t="str">
        <x:v>20:00-24:00</x:v>
      </x:c>
      <x:c r="C1597" s="100" t="n">
        <x:v>5228.257223826517</x:v>
      </x:c>
      <x:c r="D1597" s="100" t="n">
        <x:v>1844.0180089400455</x:v>
      </x:c>
      <x:c r="E1597" s="101"/>
      <x:c r="F1597" s="100"/>
    </x:row>
    <x:row r="1598">
      <x:c r="A1598" s="102" t="n">
        <x:v>45955</x:v>
      </x:c>
      <x:c r="B1598" s="103" t="str">
        <x:v>0:00-4:00</x:v>
      </x:c>
      <x:c r="C1598" s="104" t="n">
        <x:v>1858.7280993643146</x:v>
      </x:c>
      <x:c r="D1598" s="104" t="n">
        <x:v>652.5312824869791</x:v>
      </x:c>
      <x:c r="E1598" s="105" t="str">
        <x:v>0:00</x:v>
      </x:c>
      <x:c r="F1598" s="104" t="n">
        <x:v>5861.563729380787</x:v>
      </x:c>
    </x:row>
    <x:row r="1599">
      <x:c r="A1599" s="78"/>
      <x:c r="B1599" s="79" t="str">
        <x:v>4:00-8:00</x:v>
      </x:c>
      <x:c r="C1599" s="80" t="n">
        <x:v>50.366731705729194</x:v>
      </x:c>
      <x:c r="D1599" s="80" t="n">
        <x:v>4966.434359440103</x:v>
      </x:c>
      <x:c r="E1599" s="81" t="str">
        <x:v>24:00</x:v>
      </x:c>
      <x:c r="F1599" s="80" t="n">
        <x:v>5918.533196951678</x:v>
      </x:c>
    </x:row>
    <x:row r="1600">
      <x:c r="A1600" s="78"/>
      <x:c r="B1600" s="79" t="str">
        <x:v>8:00-12:00</x:v>
      </x:c>
      <x:c r="C1600" s="80" t="n">
        <x:v>10500.132833333333</x:v>
      </x:c>
      <x:c r="D1600" s="80" t="n">
        <x:v>0</x:v>
      </x:c>
      <x:c r="E1600" s="81"/>
      <x:c r="F1600" s="80"/>
    </x:row>
    <x:row r="1601">
      <x:c r="A1601" s="78"/>
      <x:c r="B1601" s="79" t="str">
        <x:v>12:00-16:00</x:v>
      </x:c>
      <x:c r="C1601" s="80" t="n">
        <x:v>19.484193251638317</x:v>
      </x:c>
      <x:c r="D1601" s="80" t="n">
        <x:v>24.239825655668405</x:v>
      </x:c>
      <x:c r="E1601" s="81"/>
      <x:c r="F1601" s="80"/>
    </x:row>
    <x:row r="1602">
      <x:c r="A1602" s="78"/>
      <x:c r="B1602" s="79" t="str">
        <x:v>16:00-20:00</x:v>
      </x:c>
      <x:c r="C1602" s="80" t="n">
        <x:v>9.553079836975883</x:v>
      </x:c>
      <x:c r="D1602" s="80" t="n">
        <x:v>6534.66827172116</x:v>
      </x:c>
      <x:c r="E1602" s="81"/>
      <x:c r="F1602" s="80"/>
    </x:row>
    <x:row r="1603">
      <x:c r="A1603" s="98"/>
      <x:c r="B1603" s="99" t="str">
        <x:v>20:00-24:00</x:v>
      </x:c>
      <x:c r="C1603" s="100" t="n">
        <x:v>5975.7169239012665</x:v>
      </x:c>
      <x:c r="D1603" s="100" t="n">
        <x:v>2686.1790476108226</x:v>
      </x:c>
      <x:c r="E1603" s="101"/>
      <x:c r="F1603" s="100"/>
    </x:row>
    <x:row r="1604">
      <x:c r="A1604" s="102" t="n">
        <x:v>45956</x:v>
      </x:c>
      <x:c r="B1604" s="103" t="str">
        <x:v>0:00-4:00</x:v>
      </x:c>
      <x:c r="C1604" s="104" t="n">
        <x:v>4572.223578126608</x:v>
      </x:c>
      <x:c r="D1604" s="104" t="n">
        <x:v>197.52063196614608</x:v>
      </x:c>
      <x:c r="E1604" s="105" t="str">
        <x:v>0:00</x:v>
      </x:c>
      <x:c r="F1604" s="104" t="n">
        <x:v>5918.533196951678</x:v>
      </x:c>
    </x:row>
    <x:row r="1605">
      <x:c r="A1605" s="78"/>
      <x:c r="B1605" s="79" t="str">
        <x:v>4:00-8:00</x:v>
      </x:c>
      <x:c r="C1605" s="80" t="n">
        <x:v>894.9773421874999</x:v>
      </x:c>
      <x:c r="D1605" s="80" t="n">
        <x:v>5656.760468762439</x:v>
      </x:c>
      <x:c r="E1605" s="81" t="str">
        <x:v>24:00</x:v>
      </x:c>
      <x:c r="F1605" s="80" t="n">
        <x:v>6006.62562473452</x:v>
      </x:c>
    </x:row>
    <x:row r="1606">
      <x:c r="A1606" s="78"/>
      <x:c r="B1606" s="79" t="str">
        <x:v>8:00-12:00</x:v>
      </x:c>
      <x:c r="C1606" s="80" t="n">
        <x:v>5712.256287214277</x:v>
      </x:c>
      <x:c r="D1606" s="80" t="n">
        <x:v>2820.8315219823526</x:v>
      </x:c>
      <x:c r="E1606" s="81"/>
      <x:c r="F1606" s="80"/>
    </x:row>
    <x:row r="1607">
      <x:c r="A1607" s="78"/>
      <x:c r="B1607" s="79" t="str">
        <x:v>12:00-16:00</x:v>
      </x:c>
      <x:c r="C1607" s="80" t="n">
        <x:v>4901.812410738843</x:v>
      </x:c>
      <x:c r="D1607" s="80" t="n">
        <x:v>498.46361009737205</x:v>
      </x:c>
      <x:c r="E1607" s="81"/>
      <x:c r="F1607" s="80"/>
    </x:row>
    <x:row r="1608">
      <x:c r="A1608" s="78"/>
      <x:c r="B1608" s="79" t="str">
        <x:v>16:00-20:00</x:v>
      </x:c>
      <x:c r="C1608" s="80" t="n">
        <x:v>5.481170314582073</x:v>
      </x:c>
      <x:c r="D1608" s="80" t="n">
        <x:v>7707.246124783955</x:v>
      </x:c>
      <x:c r="E1608" s="81"/>
      <x:c r="F1608" s="80"/>
    </x:row>
    <x:row r="1609">
      <x:c r="A1609" s="98"/>
      <x:c r="B1609" s="99" t="str">
        <x:v>20:00-24:00</x:v>
      </x:c>
      <x:c r="C1609" s="100" t="n">
        <x:v>5361.824437237172</x:v>
      </x:c>
      <x:c r="D1609" s="100" t="n">
        <x:v>413.24039031655275</x:v>
      </x:c>
      <x:c r="E1609" s="101"/>
      <x:c r="F1609" s="100"/>
    </x:row>
    <x:row r="1610">
      <x:c r="A1610" s="102" t="n">
        <x:v>45957</x:v>
      </x:c>
      <x:c r="B1610" s="103" t="str">
        <x:v>0:00-4:00</x:v>
      </x:c>
      <x:c r="C1610" s="104" t="n">
        <x:v>4578.26316752588</x:v>
      </x:c>
      <x:c r="D1610" s="104" t="n">
        <x:v>108.81455071614585</x:v>
      </x:c>
      <x:c r="E1610" s="105" t="str">
        <x:v>0:00</x:v>
      </x:c>
      <x:c r="F1610" s="104" t="n">
        <x:v>6006.62562473452</x:v>
      </x:c>
    </x:row>
    <x:row r="1611">
      <x:c r="A1611" s="78"/>
      <x:c r="B1611" s="79" t="str">
        <x:v>4:00-8:00</x:v>
      </x:c>
      <x:c r="C1611" s="80" t="n">
        <x:v>853.5301806640623</x:v>
      </x:c>
      <x:c r="D1611" s="80" t="n">
        <x:v>5799.385914149371</x:v>
      </x:c>
      <x:c r="E1611" s="81" t="str">
        <x:v>24:00</x:v>
      </x:c>
      <x:c r="F1611" s="80" t="n">
        <x:v>5860.440366234085</x:v>
      </x:c>
    </x:row>
    <x:row r="1612">
      <x:c r="A1612" s="78"/>
      <x:c r="B1612" s="79" t="str">
        <x:v>8:00-12:00</x:v>
      </x:c>
      <x:c r="C1612" s="80" t="n">
        <x:v>6574.869792257438</x:v>
      </x:c>
      <x:c r="D1612" s="80" t="n">
        <x:v>2817.5152094294</x:v>
      </x:c>
      <x:c r="E1612" s="81"/>
      <x:c r="F1612" s="80"/>
    </x:row>
    <x:row r="1613">
      <x:c r="A1613" s="78"/>
      <x:c r="B1613" s="79" t="str">
        <x:v>12:00-16:00</x:v>
      </x:c>
      <x:c r="C1613" s="80" t="n">
        <x:v>4564.239276592706</x:v>
      </x:c>
      <x:c r="D1613" s="80" t="n">
        <x:v>1253.2701955646478</x:v>
      </x:c>
      <x:c r="E1613" s="81"/>
      <x:c r="F1613" s="80"/>
    </x:row>
    <x:row r="1614">
      <x:c r="A1614" s="78"/>
      <x:c r="B1614" s="79" t="str">
        <x:v>16:00-20:00</x:v>
      </x:c>
      <x:c r="C1614" s="80" t="n">
        <x:v>0</x:v>
      </x:c>
      <x:c r="D1614" s="80" t="n">
        <x:v>7164.690014252713</x:v>
      </x:c>
      <x:c r="E1614" s="81"/>
      <x:c r="F1614" s="80"/>
    </x:row>
    <x:row r="1615">
      <x:c r="A1615" s="98"/>
      <x:c r="B1615" s="99" t="str">
        <x:v>20:00-24:00</x:v>
      </x:c>
      <x:c r="C1615" s="100" t="n">
        <x:v>5270.233571873392</x:v>
      </x:c>
      <x:c r="D1615" s="100" t="n">
        <x:v>679.210999558031</x:v>
      </x:c>
      <x:c r="E1615" s="101"/>
      <x:c r="F1615" s="100"/>
    </x:row>
    <x:row r="1616">
      <x:c r="A1616" s="102" t="n">
        <x:v>45958</x:v>
      </x:c>
      <x:c r="B1616" s="103" t="str">
        <x:v>0:00-4:00</x:v>
      </x:c>
      <x:c r="C1616" s="104" t="n">
        <x:v>5456.385990729488</x:v>
      </x:c>
      <x:c r="D1616" s="104" t="n">
        <x:v>177.1123600260413</x:v>
      </x:c>
      <x:c r="E1616" s="105" t="str">
        <x:v>0:00</x:v>
      </x:c>
      <x:c r="F1616" s="104" t="n">
        <x:v>5860.440366234085</x:v>
      </x:c>
    </x:row>
    <x:row r="1617">
      <x:c r="A1617" s="78"/>
      <x:c r="B1617" s="79" t="str">
        <x:v>4:00-8:00</x:v>
      </x:c>
      <x:c r="C1617" s="80" t="n">
        <x:v>83.03945878906256</x:v>
      </x:c>
      <x:c r="D1617" s="80" t="n">
        <x:v>5904.061082928699</x:v>
      </x:c>
      <x:c r="E1617" s="81" t="str">
        <x:v>24:00</x:v>
      </x:c>
      <x:c r="F1617" s="80" t="n">
        <x:v>6007.25013389974</x:v>
      </x:c>
    </x:row>
    <x:row r="1618">
      <x:c r="A1618" s="78"/>
      <x:c r="B1618" s="79" t="str">
        <x:v>8:00-12:00</x:v>
      </x:c>
      <x:c r="C1618" s="80" t="n">
        <x:v>5772.557397973722</x:v>
      </x:c>
      <x:c r="D1618" s="80" t="n">
        <x:v>2600.5058340993</x:v>
      </x:c>
      <x:c r="E1618" s="81"/>
      <x:c r="F1618" s="80"/>
    </x:row>
    <x:row r="1619">
      <x:c r="A1619" s="78"/>
      <x:c r="B1619" s="79" t="str">
        <x:v>12:00-16:00</x:v>
      </x:c>
      <x:c r="C1619" s="80" t="n">
        <x:v>4446.310210099804</x:v>
      </x:c>
      <x:c r="D1619" s="80" t="n">
        <x:v>678.0201949782486</x:v>
      </x:c>
      <x:c r="E1619" s="81"/>
      <x:c r="F1619" s="80"/>
    </x:row>
    <x:row r="1620">
      <x:c r="A1620" s="78"/>
      <x:c r="B1620" s="79" t="str">
        <x:v>16:00-20:00</x:v>
      </x:c>
      <x:c r="C1620" s="80" t="n">
        <x:v>0</x:v>
      </x:c>
      <x:c r="D1620" s="80" t="n">
        <x:v>7475.798885930994</x:v>
      </x:c>
      <x:c r="E1620" s="81"/>
      <x:c r="F1620" s="80"/>
    </x:row>
    <x:row r="1621">
      <x:c r="A1621" s="98"/>
      <x:c r="B1621" s="99" t="str">
        <x:v>20:00-24:00</x:v>
      </x:c>
      <x:c r="C1621" s="100" t="n">
        <x:v>5369.80830761558</x:v>
      </x:c>
      <x:c r="D1621" s="100" t="n">
        <x:v>146.13495695583245</x:v>
      </x:c>
      <x:c r="E1621" s="101"/>
      <x:c r="F1621" s="100"/>
    </x:row>
    <x:row r="1622">
      <x:c r="A1622" s="102" t="n">
        <x:v>45959</x:v>
      </x:c>
      <x:c r="B1622" s="103" t="str">
        <x:v>0:00-4:00</x:v>
      </x:c>
      <x:c r="C1622" s="104" t="n">
        <x:v>3923.319709664351</x:v>
      </x:c>
      <x:c r="D1622" s="104" t="n">
        <x:v>56.85823763020824</x:v>
      </x:c>
      <x:c r="E1622" s="105" t="str">
        <x:v>0:00</x:v>
      </x:c>
      <x:c r="F1622" s="104" t="n">
        <x:v>6007.25013389974</x:v>
      </x:c>
    </x:row>
    <x:row r="1623">
      <x:c r="A1623" s="78"/>
      <x:c r="B1623" s="79" t="str">
        <x:v>4:00-8:00</x:v>
      </x:c>
      <x:c r="C1623" s="80" t="n">
        <x:v>1684.876756510237</x:v>
      </x:c>
      <x:c r="D1623" s="80" t="n">
        <x:v>5820.513124535015</x:v>
      </x:c>
      <x:c r="E1623" s="81" t="str">
        <x:v>24:00</x:v>
      </x:c>
      <x:c r="F1623" s="80" t="n">
        <x:v>5923.784154452402</x:v>
      </x:c>
    </x:row>
    <x:row r="1624">
      <x:c r="A1624" s="78"/>
      <x:c r="B1624" s="79" t="str">
        <x:v>8:00-12:00</x:v>
      </x:c>
      <x:c r="C1624" s="80" t="n">
        <x:v>4071.7107581125847</x:v>
      </x:c>
      <x:c r="D1624" s="80" t="n">
        <x:v>2991.792895945955</x:v>
      </x:c>
      <x:c r="E1624" s="81"/>
      <x:c r="F1624" s="80"/>
    </x:row>
    <x:row r="1625">
      <x:c r="A1625" s="78"/>
      <x:c r="B1625" s="79" t="str">
        <x:v>12:00-16:00</x:v>
      </x:c>
      <x:c r="C1625" s="80" t="n">
        <x:v>4274.57725204758</x:v>
      </x:c>
      <x:c r="D1625" s="80" t="n">
        <x:v>1049.3815849967893</x:v>
      </x:c>
      <x:c r="E1625" s="81"/>
      <x:c r="F1625" s="80"/>
    </x:row>
    <x:row r="1626">
      <x:c r="A1626" s="78"/>
      <x:c r="B1626" s="79" t="str">
        <x:v>16:00-20:00</x:v>
      </x:c>
      <x:c r="C1626" s="80" t="n">
        <x:v>14.678736907500138</x:v>
      </x:c>
      <x:c r="D1626" s="80" t="n">
        <x:v>5723.001480128021</x:v>
      </x:c>
      <x:c r="E1626" s="81"/>
      <x:c r="F1626" s="80"/>
    </x:row>
    <x:row r="1627">
      <x:c r="A1627" s="98"/>
      <x:c r="B1627" s="99" t="str">
        <x:v>20:00-24:00</x:v>
      </x:c>
      <x:c r="C1627" s="100" t="n">
        <x:v>5277.85994511558</x:v>
      </x:c>
      <x:c r="D1627" s="100" t="n">
        <x:v>23.660816536458356</x:v>
      </x:c>
      <x:c r="E1627" s="101"/>
      <x:c r="F1627" s="100"/>
    </x:row>
    <x:row r="1628">
      <x:c r="A1628" s="102" t="n">
        <x:v>45960</x:v>
      </x:c>
      <x:c r="B1628" s="103" t="str">
        <x:v>0:00-4:00</x:v>
      </x:c>
      <x:c r="C1628" s="104" t="n">
        <x:v>4718.212320291602</x:v>
      </x:c>
      <x:c r="D1628" s="104" t="n">
        <x:v>126.07201100260409</x:v>
      </x:c>
      <x:c r="E1628" s="105" t="str">
        <x:v>0:00</x:v>
      </x:c>
      <x:c r="F1628" s="104" t="n">
        <x:v>5923.784154452402</x:v>
      </x:c>
    </x:row>
    <x:row r="1629">
      <x:c r="A1629" s="78"/>
      <x:c r="B1629" s="79" t="str">
        <x:v>4:00-8:00</x:v>
      </x:c>
      <x:c r="C1629" s="80" t="n">
        <x:v>906.4615625925169</x:v>
      </x:c>
      <x:c r="D1629" s="80" t="n">
        <x:v>5521.246949464081</x:v>
      </x:c>
      <x:c r="E1629" s="81" t="str">
        <x:v>24:00</x:v>
      </x:c>
      <x:c r="F1629" s="80" t="n">
        <x:v>5892.687469137009</x:v>
      </x:c>
    </x:row>
    <x:row r="1630">
      <x:c r="A1630" s="78"/>
      <x:c r="B1630" s="79" t="str">
        <x:v>8:00-12:00</x:v>
      </x:c>
      <x:c r="C1630" s="80" t="n">
        <x:v>6499.473801330076</x:v>
      </x:c>
      <x:c r="D1630" s="80" t="n">
        <x:v>3160.072623676617</x:v>
      </x:c>
      <x:c r="E1630" s="81"/>
      <x:c r="F1630" s="80"/>
    </x:row>
    <x:row r="1631">
      <x:c r="A1631" s="78"/>
      <x:c r="B1631" s="79" t="str">
        <x:v>12:00-16:00</x:v>
      </x:c>
      <x:c r="C1631" s="80" t="n">
        <x:v>4872.40622753613</x:v>
      </x:c>
      <x:c r="D1631" s="80" t="n">
        <x:v>736.1585244097876</x:v>
      </x:c>
      <x:c r="E1631" s="81"/>
      <x:c r="F1631" s="80"/>
    </x:row>
    <x:row r="1632">
      <x:c r="A1632" s="78"/>
      <x:c r="B1632" s="79" t="str">
        <x:v>16:00-20:00</x:v>
      </x:c>
      <x:c r="C1632" s="80" t="n">
        <x:v>0</x:v>
      </x:c>
      <x:c r="D1632" s="80" t="n">
        <x:v>8220.592497252266</x:v>
      </x:c>
      <x:c r="E1632" s="81"/>
      <x:c r="F1632" s="80"/>
    </x:row>
    <x:row r="1633">
      <x:c r="A1633" s="98"/>
      <x:c r="B1633" s="99" t="str">
        <x:v>20:00-24:00</x:v>
      </x:c>
      <x:c r="C1633" s="100" t="n">
        <x:v>5247.626482875997</x:v>
      </x:c>
      <x:c r="D1633" s="100" t="n">
        <x:v>281.6305306258273</x:v>
      </x:c>
      <x:c r="E1633" s="101"/>
      <x:c r="F1633" s="100"/>
    </x:row>
    <x:row r="1634">
      <x:c r="A1634" s="102" t="n">
        <x:v>45961</x:v>
      </x:c>
      <x:c r="B1634" s="103" t="str">
        <x:v>0:00-4:00</x:v>
      </x:c>
      <x:c r="C1634" s="104" t="n">
        <x:v>1711.0720271484374</x:v>
      </x:c>
      <x:c r="D1634" s="104" t="n">
        <x:v>1141.039584466479</x:v>
      </x:c>
      <x:c r="E1634" s="105" t="str">
        <x:v>0:00</x:v>
      </x:c>
      <x:c r="F1634" s="104" t="n">
        <x:v>5892.687469137009</x:v>
      </x:c>
    </x:row>
    <x:row r="1635">
      <x:c r="A1635" s="78"/>
      <x:c r="B1635" s="79" t="str">
        <x:v>4:00-8:00</x:v>
      </x:c>
      <x:c r="C1635" s="80" t="n">
        <x:v>856.994054817708</x:v>
      </x:c>
      <x:c r="D1635" s="80" t="n">
        <x:v>5162.512664149407</x:v>
      </x:c>
      <x:c r="E1635" s="81" t="str">
        <x:v>24:00</x:v>
      </x:c>
      <x:c r="F1635" s="80" t="n">
        <x:v>5928.160510697338</x:v>
      </x:c>
    </x:row>
    <x:row r="1636">
      <x:c r="A1636" s="78"/>
      <x:c r="B1636" s="79" t="str">
        <x:v>8:00-12:00</x:v>
      </x:c>
      <x:c r="C1636" s="80" t="n">
        <x:v>8511.492833333334</x:v>
      </x:c>
      <x:c r="D1636" s="80" t="n">
        <x:v>0</x:v>
      </x:c>
      <x:c r="E1636" s="81"/>
      <x:c r="F1636" s="80"/>
    </x:row>
    <x:row r="1637">
      <x:c r="A1637" s="78"/>
      <x:c r="B1637" s="79" t="str">
        <x:v>12:00-16:00</x:v>
      </x:c>
      <x:c r="C1637" s="80" t="n">
        <x:v>2155.17383333333</x:v>
      </x:c>
      <x:c r="D1637" s="80" t="n">
        <x:v>178.22069216308432</x:v>
      </x:c>
      <x:c r="E1637" s="81"/>
      <x:c r="F1637" s="80"/>
    </x:row>
    <x:row r="1638">
      <x:c r="A1638" s="78"/>
      <x:c r="B1638" s="79" t="str">
        <x:v>16:00-20:00</x:v>
      </x:c>
      <x:c r="C1638" s="80" t="n">
        <x:v>39.21770117077642</x:v>
      </x:c>
      <x:c r="D1638" s="80" t="n">
        <x:v>6708.695354290148</x:v>
      </x:c>
      <x:c r="E1638" s="81"/>
      <x:c r="F1638" s="80"/>
    </x:row>
    <x:row r="1639">
      <x:c r="A1639" s="98"/>
      <x:c r="B1639" s="99" t="str">
        <x:v>20:00-24:00</x:v>
      </x:c>
      <x:c r="C1639" s="100" t="n">
        <x:v>5305.25420748296</x:v>
      </x:c>
      <x:c r="D1639" s="100" t="n">
        <x:v>1826.761739928691</x:v>
      </x:c>
      <x:c r="E1639" s="101"/>
      <x:c r="F1639" s="100"/>
    </x:row>
    <x:row r="1640">
      <x:c r="A1640" s="102" t="n">
        <x:v>45962</x:v>
      </x:c>
      <x:c r="B1640" s="103" t="str">
        <x:v>0:00-4:00</x:v>
      </x:c>
      <x:c r="C1640" s="104" t="n">
        <x:v>2529.2349976549517</x:v>
      </x:c>
      <x:c r="D1640" s="104" t="n">
        <x:v>1076.3453080729166</x:v>
      </x:c>
      <x:c r="E1640" s="105" t="str">
        <x:v>0:00</x:v>
      </x:c>
      <x:c r="F1640" s="104" t="n">
        <x:v>5928.160510697338</x:v>
      </x:c>
    </x:row>
    <x:row r="1641">
      <x:c r="A1641" s="78"/>
      <x:c r="B1641" s="79" t="str">
        <x:v>4:00-8:00</x:v>
      </x:c>
      <x:c r="C1641" s="80" t="n">
        <x:v>44.259064843750025</x:v>
      </x:c>
      <x:c r="D1641" s="80" t="n">
        <x:v>5263.529342178636</x:v>
      </x:c>
      <x:c r="E1641" s="81" t="str">
        <x:v>24:00</x:v>
      </x:c>
      <x:c r="F1641" s="80" t="n">
        <x:v>5913.936807868201</x:v>
      </x:c>
    </x:row>
    <x:row r="1642">
      <x:c r="A1642" s="78"/>
      <x:c r="B1642" s="79" t="str">
        <x:v>8:00-12:00</x:v>
      </x:c>
      <x:c r="C1642" s="80" t="n">
        <x:v>9496.12903333333</x:v>
      </x:c>
      <x:c r="D1642" s="80" t="n">
        <x:v>0</x:v>
      </x:c>
      <x:c r="E1642" s="81"/>
      <x:c r="F1642" s="80"/>
    </x:row>
    <x:row r="1643">
      <x:c r="A1643" s="78"/>
      <x:c r="B1643" s="79" t="str">
        <x:v>12:00-16:00</x:v>
      </x:c>
      <x:c r="C1643" s="80" t="n">
        <x:v>1170.5376333333327</x:v>
      </x:c>
      <x:c r="D1643" s="80" t="n">
        <x:v>85.34138796477903</x:v>
      </x:c>
      <x:c r="E1643" s="81"/>
      <x:c r="F1643" s="80"/>
    </x:row>
    <x:row r="1644">
      <x:c r="A1644" s="78"/>
      <x:c r="B1644" s="79" t="str">
        <x:v>16:00-20:00</x:v>
      </x:c>
      <x:c r="C1644" s="80" t="n">
        <x:v>19.307194282434466</x:v>
      </x:c>
      <x:c r="D1644" s="80" t="n">
        <x:v>6342.399647931024</x:v>
      </x:c>
      <x:c r="E1644" s="81"/>
      <x:c r="F1644" s="80"/>
    </x:row>
    <x:row r="1645">
      <x:c r="A1645" s="98"/>
      <x:c r="B1645" s="99" t="str">
        <x:v>20:00-24:00</x:v>
      </x:c>
      <x:c r="C1645" s="100" t="n">
        <x:v>6014.16185563995</x:v>
      </x:c>
      <x:c r="D1645" s="100" t="n">
        <x:v>2856.82576745995</x:v>
      </x:c>
      <x:c r="E1645" s="101"/>
      <x:c r="F1645" s="100"/>
    </x:row>
    <x:row r="1646">
      <x:c r="A1646" s="102" t="n">
        <x:v>45963</x:v>
      </x:c>
      <x:c r="B1646" s="103" t="str">
        <x:v>0:00-4:00</x:v>
      </x:c>
      <x:c r="C1646" s="104" t="n">
        <x:v>3750.0724250900194</x:v>
      </x:c>
      <x:c r="D1646" s="104" t="n">
        <x:v>143.7090314453127</x:v>
      </x:c>
      <x:c r="E1646" s="105" t="str">
        <x:v>0:00</x:v>
      </x:c>
      <x:c r="F1646" s="104" t="n">
        <x:v>5913.936807868201</x:v>
      </x:c>
    </x:row>
    <x:row r="1647">
      <x:c r="A1647" s="78"/>
      <x:c r="B1647" s="79" t="str">
        <x:v>4:00-8:00</x:v>
      </x:c>
      <x:c r="C1647" s="80" t="n">
        <x:v>1640.1393389973957</x:v>
      </x:c>
      <x:c r="D1647" s="80" t="n">
        <x:v>5537.943323080142</x:v>
      </x:c>
      <x:c r="E1647" s="81" t="str">
        <x:v>24:00</x:v>
      </x:c>
      <x:c r="F1647" s="80" t="n">
        <x:v>5908.732119782985</x:v>
      </x:c>
    </x:row>
    <x:row r="1648">
      <x:c r="A1648" s="78"/>
      <x:c r="B1648" s="79" t="str">
        <x:v>8:00-12:00</x:v>
      </x:c>
      <x:c r="C1648" s="80" t="n">
        <x:v>5968.197242679609</x:v>
      </x:c>
      <x:c r="D1648" s="80" t="n">
        <x:v>2926.9623014667304</x:v>
      </x:c>
      <x:c r="E1648" s="81"/>
      <x:c r="F1648" s="80"/>
    </x:row>
    <x:row r="1649">
      <x:c r="A1649" s="78"/>
      <x:c r="B1649" s="79" t="str">
        <x:v>12:00-16:00</x:v>
      </x:c>
      <x:c r="C1649" s="80" t="n">
        <x:v>4831.275564559155</x:v>
      </x:c>
      <x:c r="D1649" s="80" t="n">
        <x:v>952.3100330487995</x:v>
      </x:c>
      <x:c r="E1649" s="81"/>
      <x:c r="F1649" s="80"/>
    </x:row>
    <x:row r="1650">
      <x:c r="A1650" s="78"/>
      <x:c r="B1650" s="79" t="str">
        <x:v>16:00-20:00</x:v>
      </x:c>
      <x:c r="C1650" s="80" t="n">
        <x:v>60.571649303386835</x:v>
      </x:c>
      <x:c r="D1650" s="80" t="n">
        <x:v>7508.267510947948</x:v>
      </x:c>
      <x:c r="E1650" s="81"/>
      <x:c r="F1650" s="80"/>
    </x:row>
    <x:row r="1651">
      <x:c r="A1651" s="98"/>
      <x:c r="B1651" s="99" t="str">
        <x:v>20:00-24:00</x:v>
      </x:c>
      <x:c r="C1651" s="100" t="n">
        <x:v>5254.0423990644285</x:v>
      </x:c>
      <x:c r="D1651" s="100" t="n">
        <x:v>353.97390123989624</x:v>
      </x:c>
      <x:c r="E1651" s="101"/>
      <x:c r="F1651" s="100"/>
    </x:row>
    <x:row r="1652">
      <x:c r="A1652" s="102" t="n">
        <x:v>45964</x:v>
      </x:c>
      <x:c r="B1652" s="103" t="str">
        <x:v>0:00-4:00</x:v>
      </x:c>
      <x:c r="C1652" s="104" t="n">
        <x:v>3803.9401212914745</x:v>
      </x:c>
      <x:c r="D1652" s="104" t="n">
        <x:v>176.804773111979</x:v>
      </x:c>
      <x:c r="E1652" s="105" t="str">
        <x:v>0:00</x:v>
      </x:c>
      <x:c r="F1652" s="104" t="n">
        <x:v>5908.732119782985</x:v>
      </x:c>
    </x:row>
    <x:row r="1653">
      <x:c r="A1653" s="78"/>
      <x:c r="B1653" s="79" t="str">
        <x:v>4:00-8:00</x:v>
      </x:c>
      <x:c r="C1653" s="80" t="n">
        <x:v>1657.5234764796778</x:v>
      </x:c>
      <x:c r="D1653" s="80" t="n">
        <x:v>4886.205538423064</x:v>
      </x:c>
      <x:c r="E1653" s="81" t="str">
        <x:v>24:00</x:v>
      </x:c>
      <x:c r="F1653" s="80" t="n">
        <x:v>5929.95940754919</x:v>
      </x:c>
    </x:row>
    <x:row r="1654">
      <x:c r="A1654" s="78"/>
      <x:c r="B1654" s="79" t="str">
        <x:v>8:00-12:00</x:v>
      </x:c>
      <x:c r="C1654" s="80" t="n">
        <x:v>5198.479732445522</x:v>
      </x:c>
      <x:c r="D1654" s="80" t="n">
        <x:v>3598.6341104642734</x:v>
      </x:c>
      <x:c r="E1654" s="81"/>
      <x:c r="F1654" s="80"/>
    </x:row>
    <x:row r="1655">
      <x:c r="A1655" s="78"/>
      <x:c r="B1655" s="79" t="str">
        <x:v>12:00-16:00</x:v>
      </x:c>
      <x:c r="C1655" s="80" t="n">
        <x:v>4457.747542285788</x:v>
      </x:c>
      <x:c r="D1655" s="80" t="n">
        <x:v>554.3547209496372</x:v>
      </x:c>
      <x:c r="E1655" s="81"/>
      <x:c r="F1655" s="80"/>
    </x:row>
    <x:row r="1656">
      <x:c r="A1656" s="78"/>
      <x:c r="B1656" s="79" t="str">
        <x:v>16:00-20:00</x:v>
      </x:c>
      <x:c r="C1656" s="80" t="n">
        <x:v>18.474115104166685</x:v>
      </x:c>
      <x:c r="D1656" s="80" t="n">
        <x:v>6077.376073544718</x:v>
      </x:c>
      <x:c r="E1656" s="81"/>
      <x:c r="F1656" s="80"/>
    </x:row>
    <x:row r="1657">
      <x:c r="A1657" s="98"/>
      <x:c r="B1657" s="99" t="str">
        <x:v>20:00-24:00</x:v>
      </x:c>
      <x:c r="C1657" s="100" t="n">
        <x:v>5322.223523498586</x:v>
      </x:c>
      <x:c r="D1657" s="100" t="n">
        <x:v>1258.8149185119557</x:v>
      </x:c>
      <x:c r="E1657" s="101"/>
      <x:c r="F1657" s="100"/>
    </x:row>
    <x:row r="1658">
      <x:c r="A1658" s="102" t="n">
        <x:v>45965</x:v>
      </x:c>
      <x:c r="B1658" s="103" t="str">
        <x:v>0:00-4:00</x:v>
      </x:c>
      <x:c r="C1658" s="104" t="n">
        <x:v>5535.644880163323</x:v>
      </x:c>
      <x:c r="D1658" s="104" t="n">
        <x:v>202.28648665364585</x:v>
      </x:c>
      <x:c r="E1658" s="105" t="str">
        <x:v>0:00</x:v>
      </x:c>
      <x:c r="F1658" s="104" t="n">
        <x:v>5929.95940754919</x:v>
      </x:c>
    </x:row>
    <x:row r="1659">
      <x:c r="A1659" s="78"/>
      <x:c r="B1659" s="79" t="str">
        <x:v>4:00-8:00</x:v>
      </x:c>
      <x:c r="C1659" s="80" t="n">
        <x:v>54.875945951453104</x:v>
      </x:c>
      <x:c r="D1659" s="80" t="n">
        <x:v>5158.33578963408</x:v>
      </x:c>
      <x:c r="E1659" s="81" t="str">
        <x:v>24:00</x:v>
      </x:c>
      <x:c r="F1659" s="80" t="n">
        <x:v>5929.41592352879</x:v>
      </x:c>
    </x:row>
    <x:row r="1660">
      <x:c r="A1660" s="78"/>
      <x:c r="B1660" s="79" t="str">
        <x:v>8:00-12:00</x:v>
      </x:c>
      <x:c r="C1660" s="80" t="n">
        <x:v>5792.312391420237</x:v>
      </x:c>
      <x:c r="D1660" s="80" t="n">
        <x:v>3424.663059659517</x:v>
      </x:c>
      <x:c r="E1660" s="81"/>
      <x:c r="F1660" s="80"/>
    </x:row>
    <x:row r="1661">
      <x:c r="A1661" s="78"/>
      <x:c r="B1661" s="79" t="str">
        <x:v>12:00-16:00</x:v>
      </x:c>
      <x:c r="C1661" s="80" t="n">
        <x:v>5617.413513929557</x:v>
      </x:c>
      <x:c r="D1661" s="80" t="n">
        <x:v>653.3945774032036</x:v>
      </x:c>
      <x:c r="E1661" s="81"/>
      <x:c r="F1661" s="80"/>
    </x:row>
    <x:row r="1662">
      <x:c r="A1662" s="78"/>
      <x:c r="B1662" s="79" t="str">
        <x:v>16:00-20:00</x:v>
      </x:c>
      <x:c r="C1662" s="80" t="n">
        <x:v>16.01464485134204</x:v>
      </x:c>
      <x:c r="D1662" s="80" t="n">
        <x:v>6192.556912663465</x:v>
      </x:c>
      <x:c r="E1662" s="81"/>
      <x:c r="F1662" s="80"/>
    </x:row>
    <x:row r="1663">
      <x:c r="A1663" s="98"/>
      <x:c r="B1663" s="99" t="str">
        <x:v>20:00-24:00</x:v>
      </x:c>
      <x:c r="C1663" s="100" t="n">
        <x:v>5327.90436543869</x:v>
      </x:c>
      <x:c r="D1663" s="100" t="n">
        <x:v>2468.0265604256792</x:v>
      </x:c>
      <x:c r="E1663" s="101"/>
      <x:c r="F1663" s="100"/>
    </x:row>
    <x:row r="1664">
      <x:c r="A1664" s="102" t="n">
        <x:v>45966</x:v>
      </x:c>
      <x:c r="B1664" s="103" t="str">
        <x:v>0:00-4:00</x:v>
      </x:c>
      <x:c r="C1664" s="104" t="n">
        <x:v>4212.260357096354</x:v>
      </x:c>
      <x:c r="D1664" s="104" t="n">
        <x:v>184.92532903645827</x:v>
      </x:c>
      <x:c r="E1664" s="105" t="str">
        <x:v>0:00</x:v>
      </x:c>
      <x:c r="F1664" s="104" t="n">
        <x:v>5929.41592352879</x:v>
      </x:c>
    </x:row>
    <x:row r="1665">
      <x:c r="A1665" s="78"/>
      <x:c r="B1665" s="79" t="str">
        <x:v>4:00-8:00</x:v>
      </x:c>
      <x:c r="C1665" s="80" t="n">
        <x:v>1250.9127026763447</x:v>
      </x:c>
      <x:c r="D1665" s="80" t="n">
        <x:v>5256.776221990709</x:v>
      </x:c>
      <x:c r="E1665" s="81" t="str">
        <x:v>24:00</x:v>
      </x:c>
      <x:c r="F1665" s="80" t="n">
        <x:v>5922.724992803096</x:v>
      </x:c>
    </x:row>
    <x:row r="1666">
      <x:c r="A1666" s="78"/>
      <x:c r="B1666" s="79" t="str">
        <x:v>8:00-12:00</x:v>
      </x:c>
      <x:c r="C1666" s="80" t="n">
        <x:v>5731.0847723260185</x:v>
      </x:c>
      <x:c r="D1666" s="80" t="n">
        <x:v>3239.942958564631</x:v>
      </x:c>
      <x:c r="E1666" s="81"/>
      <x:c r="F1666" s="80"/>
    </x:row>
    <x:row r="1667">
      <x:c r="A1667" s="78"/>
      <x:c r="B1667" s="79" t="str">
        <x:v>12:00-16:00</x:v>
      </x:c>
      <x:c r="C1667" s="80" t="n">
        <x:v>5076.625881074102</x:v>
      </x:c>
      <x:c r="D1667" s="80" t="n">
        <x:v>1017.9038508206118</x:v>
      </x:c>
      <x:c r="E1667" s="81"/>
      <x:c r="F1667" s="80"/>
    </x:row>
    <x:row r="1668">
      <x:c r="A1668" s="78"/>
      <x:c r="B1668" s="79" t="str">
        <x:v>16:00-20:00</x:v>
      </x:c>
      <x:c r="C1668" s="80" t="n">
        <x:v>118.65630684847633</x:v>
      </x:c>
      <x:c r="D1668" s="80" t="n">
        <x:v>6029.000028199309</x:v>
      </x:c>
      <x:c r="E1668" s="81"/>
      <x:c r="F1668" s="80"/>
    </x:row>
    <x:row r="1669">
      <x:c r="A1669" s="98"/>
      <x:c r="B1669" s="99" t="str">
        <x:v>20:00-24:00</x:v>
      </x:c>
      <x:c r="C1669" s="100" t="n">
        <x:v>5362.03140624598</x:v>
      </x:c>
      <x:c r="D1669" s="100" t="n">
        <x:v>1896.2463043179048</x:v>
      </x:c>
      <x:c r="E1669" s="101"/>
      <x:c r="F1669" s="100"/>
    </x:row>
    <x:row r="1670">
      <x:c r="A1670" s="102" t="n">
        <x:v>45967</x:v>
      </x:c>
      <x:c r="B1670" s="103" t="str">
        <x:v>0:00-4:00</x:v>
      </x:c>
      <x:c r="C1670" s="104" t="n">
        <x:v>4653.4922060868375</x:v>
      </x:c>
      <x:c r="D1670" s="104" t="n">
        <x:v>202.49828860677087</x:v>
      </x:c>
      <x:c r="E1670" s="105" t="str">
        <x:v>0:00</x:v>
      </x:c>
      <x:c r="F1670" s="104" t="n">
        <x:v>5922.724992803096</x:v>
      </x:c>
    </x:row>
    <x:row r="1671">
      <x:c r="A1671" s="78"/>
      <x:c r="B1671" s="79" t="str">
        <x:v>4:00-8:00</x:v>
      </x:c>
      <x:c r="C1671" s="80" t="n">
        <x:v>841.3447877604165</x:v>
      </x:c>
      <x:c r="D1671" s="80" t="n">
        <x:v>5207.2898146916</x:v>
      </x:c>
      <x:c r="E1671" s="81" t="str">
        <x:v>24:00</x:v>
      </x:c>
      <x:c r="F1671" s="80" t="n">
        <x:v>5815.267328441118</x:v>
      </x:c>
    </x:row>
    <x:row r="1672">
      <x:c r="A1672" s="78"/>
      <x:c r="B1672" s="79" t="str">
        <x:v>8:00-12:00</x:v>
      </x:c>
      <x:c r="C1672" s="80" t="n">
        <x:v>5384.587619795668</x:v>
      </x:c>
      <x:c r="D1672" s="80" t="n">
        <x:v>3291.4823552406874</x:v>
      </x:c>
      <x:c r="E1672" s="81"/>
      <x:c r="F1672" s="80"/>
    </x:row>
    <x:row r="1673">
      <x:c r="A1673" s="78"/>
      <x:c r="B1673" s="79" t="str">
        <x:v>12:00-16:00</x:v>
      </x:c>
      <x:c r="C1673" s="80" t="n">
        <x:v>4953.308807272051</x:v>
      </x:c>
      <x:c r="D1673" s="80" t="n">
        <x:v>496.4745999999998</x:v>
      </x:c>
      <x:c r="E1673" s="81"/>
      <x:c r="F1673" s="80"/>
    </x:row>
    <x:row r="1674">
      <x:c r="A1674" s="78"/>
      <x:c r="B1674" s="79" t="str">
        <x:v>16:00-20:00</x:v>
      </x:c>
      <x:c r="C1674" s="80" t="n">
        <x:v>65.35871998518428</x:v>
      </x:c>
      <x:c r="D1674" s="80" t="n">
        <x:v>6586.146977574813</x:v>
      </x:c>
      <x:c r="E1674" s="81"/>
      <x:c r="F1674" s="80"/>
    </x:row>
    <x:row r="1675">
      <x:c r="A1675" s="98"/>
      <x:c r="B1675" s="99" t="str">
        <x:v>20:00-24:00</x:v>
      </x:c>
      <x:c r="C1675" s="100" t="n">
        <x:v>5267.598852990773</x:v>
      </x:c>
      <x:c r="D1675" s="100" t="n">
        <x:v>1457.0295668635586</x:v>
      </x:c>
      <x:c r="E1675" s="101"/>
      <x:c r="F1675" s="100"/>
    </x:row>
    <x:row r="1676">
      <x:c r="A1676" s="102" t="n">
        <x:v>45968</x:v>
      </x:c>
      <x:c r="B1676" s="103" t="str">
        <x:v>0:00-4:00</x:v>
      </x:c>
      <x:c r="C1676" s="104" t="n">
        <x:v>879.2431720703124</x:v>
      </x:c>
      <x:c r="D1676" s="104" t="n">
        <x:v>243.31940944010404</x:v>
      </x:c>
      <x:c r="E1676" s="105" t="str">
        <x:v>0:00</x:v>
      </x:c>
      <x:c r="F1676" s="104" t="n">
        <x:v>5815.267328441118</x:v>
      </x:c>
    </x:row>
    <x:row r="1677">
      <x:c r="A1677" s="78"/>
      <x:c r="B1677" s="79" t="str">
        <x:v>4:00-8:00</x:v>
      </x:c>
      <x:c r="C1677" s="80" t="n">
        <x:v>896.8234206380207</x:v>
      </x:c>
      <x:c r="D1677" s="80" t="n">
        <x:v>5349.03512625065</x:v>
      </x:c>
      <x:c r="E1677" s="81" t="str">
        <x:v>24:00</x:v>
      </x:c>
      <x:c r="F1677" s="80" t="n">
        <x:v>5984.362824447482</x:v>
      </x:c>
    </x:row>
    <x:row r="1678">
      <x:c r="A1678" s="78"/>
      <x:c r="B1678" s="79" t="str">
        <x:v>8:00-12:00</x:v>
      </x:c>
      <x:c r="C1678" s="80" t="n">
        <x:v>7522.295816666667</x:v>
      </x:c>
      <x:c r="D1678" s="80" t="n">
        <x:v>20.13499999999999</x:v>
      </x:c>
      <x:c r="E1678" s="81"/>
      <x:c r="F1678" s="80"/>
    </x:row>
    <x:row r="1679">
      <x:c r="A1679" s="78"/>
      <x:c r="B1679" s="79" t="str">
        <x:v>12:00-16:00</x:v>
      </x:c>
      <x:c r="C1679" s="80" t="n">
        <x:v>3169.2288746913573</x:v>
      </x:c>
      <x:c r="D1679" s="80" t="n">
        <x:v>0</x:v>
      </x:c>
      <x:c r="E1679" s="81"/>
      <x:c r="F1679" s="80"/>
    </x:row>
    <x:row r="1680">
      <x:c r="A1680" s="78"/>
      <x:c r="B1680" s="79" t="str">
        <x:v>16:00-20:00</x:v>
      </x:c>
      <x:c r="C1680" s="80" t="n">
        <x:v>0</x:v>
      </x:c>
      <x:c r="D1680" s="80" t="n">
        <x:v>6416.537738604005</x:v>
      </x:c>
      <x:c r="E1680" s="81"/>
      <x:c r="F1680" s="80"/>
    </x:row>
    <x:row r="1681">
      <x:c r="A1681" s="98"/>
      <x:c r="B1681" s="99" t="str">
        <x:v>20:00-24:00</x:v>
      </x:c>
      <x:c r="C1681" s="100" t="n">
        <x:v>5428.412344084523</x:v>
      </x:c>
      <x:c r="D1681" s="100" t="n">
        <x:v>2314.549718101725</x:v>
      </x:c>
      <x:c r="E1681" s="101"/>
      <x:c r="F1681" s="100"/>
    </x:row>
    <x:row r="1682">
      <x:c r="A1682" s="102" t="n">
        <x:v>45969</x:v>
      </x:c>
      <x:c r="B1682" s="103" t="str">
        <x:v>0:00-4:00</x:v>
      </x:c>
      <x:c r="C1682" s="104" t="n">
        <x:v>2627.973111393229</x:v>
      </x:c>
      <x:c r="D1682" s="104" t="n">
        <x:v>1120.4481975234812</x:v>
      </x:c>
      <x:c r="E1682" s="105" t="str">
        <x:v>0:00</x:v>
      </x:c>
      <x:c r="F1682" s="104" t="n">
        <x:v>5984.362824447482</x:v>
      </x:c>
    </x:row>
    <x:row r="1683">
      <x:c r="A1683" s="78"/>
      <x:c r="B1683" s="79" t="str">
        <x:v>4:00-8:00</x:v>
      </x:c>
      <x:c r="C1683" s="80" t="n">
        <x:v>70.83529570312498</x:v>
      </x:c>
      <x:c r="D1683" s="80" t="n">
        <x:v>5277.916000846354</x:v>
      </x:c>
      <x:c r="E1683" s="81" t="str">
        <x:v>24:00</x:v>
      </x:c>
      <x:c r="F1683" s="80" t="n">
        <x:v>5929.830355112847</x:v>
      </x:c>
    </x:row>
    <x:row r="1684">
      <x:c r="A1684" s="78"/>
      <x:c r="B1684" s="79" t="str">
        <x:v>8:00-12:00</x:v>
      </x:c>
      <x:c r="C1684" s="80" t="n">
        <x:v>8001.972316666666</x:v>
      </x:c>
      <x:c r="D1684" s="80" t="n">
        <x:v>49.75876666666666</x:v>
      </x:c>
      <x:c r="E1684" s="81"/>
      <x:c r="F1684" s="80"/>
    </x:row>
    <x:row r="1685">
      <x:c r="A1685" s="78"/>
      <x:c r="B1685" s="79" t="str">
        <x:v>12:00-16:00</x:v>
      </x:c>
      <x:c r="C1685" s="80" t="n">
        <x:v>2612.029288092475</x:v>
      </x:c>
      <x:c r="D1685" s="80" t="n">
        <x:v>1.1796865691851508</x:v>
      </x:c>
      <x:c r="E1685" s="81"/>
      <x:c r="F1685" s="80"/>
    </x:row>
    <x:row r="1686">
      <x:c r="A1686" s="78"/>
      <x:c r="B1686" s="79" t="str">
        <x:v>16:00-20:00</x:v>
      </x:c>
      <x:c r="C1686" s="80" t="n">
        <x:v>0</x:v>
      </x:c>
      <x:c r="D1686" s="80" t="n">
        <x:v>6425.772495940705</x:v>
      </x:c>
      <x:c r="E1686" s="81"/>
      <x:c r="F1686" s="80"/>
    </x:row>
    <x:row r="1687">
      <x:c r="A1687" s="98"/>
      <x:c r="B1687" s="99" t="str">
        <x:v>20:00-24:00</x:v>
      </x:c>
      <x:c r="C1687" s="100" t="n">
        <x:v>5992.591469114905</x:v>
      </x:c>
      <x:c r="D1687" s="100" t="n">
        <x:v>2811.3792744408056</x:v>
      </x:c>
      <x:c r="E1687" s="101"/>
      <x:c r="F1687" s="100"/>
    </x:row>
    <x:row r="1688">
      <x:c r="A1688" s="102" t="n">
        <x:v>45970</x:v>
      </x:c>
      <x:c r="B1688" s="103" t="str">
        <x:v>0:00-4:00</x:v>
      </x:c>
      <x:c r="C1688" s="104" t="n">
        <x:v>3813.054526914546</x:v>
      </x:c>
      <x:c r="D1688" s="104" t="n">
        <x:v>204.16935292968765</x:v>
      </x:c>
      <x:c r="E1688" s="105" t="str">
        <x:v>0:00</x:v>
      </x:c>
      <x:c r="F1688" s="104" t="n">
        <x:v>5929.830355112847</x:v>
      </x:c>
    </x:row>
    <x:row r="1689">
      <x:c r="A1689" s="78"/>
      <x:c r="B1689" s="79" t="str">
        <x:v>4:00-8:00</x:v>
      </x:c>
      <x:c r="C1689" s="80" t="n">
        <x:v>1718.0899622410225</x:v>
      </x:c>
      <x:c r="D1689" s="80" t="n">
        <x:v>4450.006258344957</x:v>
      </x:c>
      <x:c r="E1689" s="81" t="str">
        <x:v>24:00</x:v>
      </x:c>
      <x:c r="F1689" s="80" t="n">
        <x:v>5891.386263699364</x:v>
      </x:c>
    </x:row>
    <x:row r="1690">
      <x:c r="A1690" s="78"/>
      <x:c r="B1690" s="79" t="str">
        <x:v>8:00-12:00</x:v>
      </x:c>
      <x:c r="C1690" s="80" t="n">
        <x:v>5731.972323831249</x:v>
      </x:c>
      <x:c r="D1690" s="80" t="n">
        <x:v>4082.8987445429266</x:v>
      </x:c>
      <x:c r="E1690" s="81"/>
      <x:c r="F1690" s="80"/>
    </x:row>
    <x:row r="1691">
      <x:c r="A1691" s="78"/>
      <x:c r="B1691" s="79" t="str">
        <x:v>12:00-16:00</x:v>
      </x:c>
      <x:c r="C1691" s="80" t="n">
        <x:v>4772.21860169795</x:v>
      </x:c>
      <x:c r="D1691" s="80" t="n">
        <x:v>1759.636221260187</x:v>
      </x:c>
      <x:c r="E1691" s="81"/>
      <x:c r="F1691" s="80"/>
    </x:row>
    <x:row r="1692">
      <x:c r="A1692" s="78"/>
      <x:c r="B1692" s="79" t="str">
        <x:v>16:00-20:00</x:v>
      </x:c>
      <x:c r="C1692" s="80" t="n">
        <x:v>0</x:v>
      </x:c>
      <x:c r="D1692" s="80" t="n">
        <x:v>6337.5181383617155</x:v>
      </x:c>
      <x:c r="E1692" s="81"/>
      <x:c r="F1692" s="80"/>
    </x:row>
    <x:row r="1693">
      <x:c r="A1693" s="98"/>
      <x:c r="B1693" s="99" t="str">
        <x:v>20:00-24:00</x:v>
      </x:c>
      <x:c r="C1693" s="100" t="n">
        <x:v>5255.634857685506</x:v>
      </x:c>
      <x:c r="D1693" s="100" t="n">
        <x:v>446.05688745257953</x:v>
      </x:c>
      <x:c r="E1693" s="101"/>
      <x:c r="F1693" s="100"/>
    </x:row>
    <x:row r="1694">
      <x:c r="A1694" s="102" t="n">
        <x:v>45971</x:v>
      </x:c>
      <x:c r="B1694" s="103" t="str">
        <x:v>0:00-4:00</x:v>
      </x:c>
      <x:c r="C1694" s="104" t="n">
        <x:v>3491.204608007813</x:v>
      </x:c>
      <x:c r="D1694" s="104" t="n">
        <x:v>137.65643795572907</x:v>
      </x:c>
      <x:c r="E1694" s="105" t="str">
        <x:v>0:00</x:v>
      </x:c>
      <x:c r="F1694" s="104" t="n">
        <x:v>5891.386263699364</x:v>
      </x:c>
    </x:row>
    <x:row r="1695">
      <x:c r="A1695" s="78"/>
      <x:c r="B1695" s="79" t="str">
        <x:v>4:00-8:00</x:v>
      </x:c>
      <x:c r="C1695" s="80" t="n">
        <x:v>2102.10349517345</x:v>
      </x:c>
      <x:c r="D1695" s="80" t="n">
        <x:v>4588.106252397434</x:v>
      </x:c>
      <x:c r="E1695" s="81" t="str">
        <x:v>24:00</x:v>
      </x:c>
      <x:c r="F1695" s="80" t="n">
        <x:v>5996.249171826534</x:v>
      </x:c>
    </x:row>
    <x:row r="1696">
      <x:c r="A1696" s="78"/>
      <x:c r="B1696" s="79" t="str">
        <x:v>8:00-12:00</x:v>
      </x:c>
      <x:c r="C1696" s="80" t="n">
        <x:v>5226.498468875399</x:v>
      </x:c>
      <x:c r="D1696" s="80" t="n">
        <x:v>4027.064510553093</x:v>
      </x:c>
      <x:c r="E1696" s="81"/>
      <x:c r="F1696" s="80"/>
    </x:row>
    <x:row r="1697">
      <x:c r="A1697" s="78"/>
      <x:c r="B1697" s="79" t="str">
        <x:v>12:00-16:00</x:v>
      </x:c>
      <x:c r="C1697" s="80" t="n">
        <x:v>4399.349155031553</x:v>
      </x:c>
      <x:c r="D1697" s="80" t="n">
        <x:v>1457.4200656338678</x:v>
      </x:c>
      <x:c r="E1697" s="81"/>
      <x:c r="F1697" s="80"/>
    </x:row>
    <x:row r="1698">
      <x:c r="A1698" s="78"/>
      <x:c r="B1698" s="79" t="str">
        <x:v>16:00-20:00</x:v>
      </x:c>
      <x:c r="C1698" s="80" t="n">
        <x:v>13.460722656249914</x:v>
      </x:c>
      <x:c r="D1698" s="80" t="n">
        <x:v>6350.419695082322</x:v>
      </x:c>
      <x:c r="E1698" s="81"/>
      <x:c r="F1698" s="80"/>
    </x:row>
    <x:row r="1699">
      <x:c r="A1699" s="98"/>
      <x:c r="B1699" s="99" t="str">
        <x:v>20:00-24:00</x:v>
      </x:c>
      <x:c r="C1699" s="100" t="n">
        <x:v>5391.496086193897</x:v>
      </x:c>
      <x:c r="D1699" s="100" t="n">
        <x:v>50.48757517317715</x:v>
      </x:c>
      <x:c r="E1699" s="101"/>
      <x:c r="F1699" s="100"/>
    </x:row>
    <x:row r="1700">
      <x:c r="A1700" s="102" t="n">
        <x:v>45972</x:v>
      </x:c>
      <x:c r="B1700" s="103" t="str">
        <x:v>0:00-4:00</x:v>
      </x:c>
      <x:c r="C1700" s="104" t="n">
        <x:v>5361.309790148373</x:v>
      </x:c>
      <x:c r="D1700" s="104" t="n">
        <x:v>88.15367740885415</x:v>
      </x:c>
      <x:c r="E1700" s="105" t="str">
        <x:v>0:00</x:v>
      </x:c>
      <x:c r="F1700" s="104" t="n">
        <x:v>5996.249171826534</x:v>
      </x:c>
    </x:row>
    <x:row r="1701">
      <x:c r="A1701" s="78"/>
      <x:c r="B1701" s="79" t="str">
        <x:v>4:00-8:00</x:v>
      </x:c>
      <x:c r="C1701" s="80" t="n">
        <x:v>909.9769944661457</x:v>
      </x:c>
      <x:c r="D1701" s="80" t="n">
        <x:v>4819.515111771353</x:v>
      </x:c>
      <x:c r="E1701" s="81" t="str">
        <x:v>24:00</x:v>
      </x:c>
      <x:c r="F1701" s="80" t="n">
        <x:v>5836.781319661459</x:v>
      </x:c>
    </x:row>
    <x:row r="1702">
      <x:c r="A1702" s="78"/>
      <x:c r="B1702" s="79" t="str">
        <x:v>8:00-12:00</x:v>
      </x:c>
      <x:c r="C1702" s="80" t="n">
        <x:v>5899.068133333332</x:v>
      </x:c>
      <x:c r="D1702" s="80" t="n">
        <x:v>4488.697761001433</x:v>
      </x:c>
      <x:c r="E1702" s="81"/>
      <x:c r="F1702" s="80"/>
    </x:row>
    <x:row r="1703">
      <x:c r="A1703" s="78"/>
      <x:c r="B1703" s="79" t="str">
        <x:v>12:00-16:00</x:v>
      </x:c>
      <x:c r="C1703" s="80" t="n">
        <x:v>5258.563862256068</x:v>
      </x:c>
      <x:c r="D1703" s="80" t="n">
        <x:v>1000.9909273000743</x:v>
      </x:c>
      <x:c r="E1703" s="81"/>
      <x:c r="F1703" s="80"/>
    </x:row>
    <x:row r="1704">
      <x:c r="A1704" s="78"/>
      <x:c r="B1704" s="79" t="str">
        <x:v>16:00-20:00</x:v>
      </x:c>
      <x:c r="C1704" s="80" t="n">
        <x:v>24.909264551955403</x:v>
      </x:c>
      <x:c r="D1704" s="80" t="n">
        <x:v>5941.8947428933625</x:v>
      </x:c>
      <x:c r="E1704" s="81"/>
      <x:c r="F1704" s="80"/>
    </x:row>
    <x:row r="1705">
      <x:c r="A1705" s="98"/>
      <x:c r="B1705" s="99" t="str">
        <x:v>20:00-24:00</x:v>
      </x:c>
      <x:c r="C1705" s="100" t="n">
        <x:v>5280.491719282085</x:v>
      </x:c>
      <x:c r="D1705" s="100" t="n">
        <x:v>2219.0678554442393</x:v>
      </x:c>
      <x:c r="E1705" s="101"/>
      <x:c r="F1705" s="100"/>
    </x:row>
    <x:row r="1706">
      <x:c r="A1706" s="102" t="n">
        <x:v>45973</x:v>
      </x:c>
      <x:c r="B1706" s="103" t="str">
        <x:v>0:00-4:00</x:v>
      </x:c>
      <x:c r="C1706" s="104" t="n">
        <x:v>4838.770809772858</x:v>
      </x:c>
      <x:c r="D1706" s="104" t="n">
        <x:v>51.55498229166665</x:v>
      </x:c>
      <x:c r="E1706" s="105" t="str">
        <x:v>0:00</x:v>
      </x:c>
      <x:c r="F1706" s="104" t="n">
        <x:v>5836.781319661459</x:v>
      </x:c>
    </x:row>
    <x:row r="1707">
      <x:c r="A1707" s="78"/>
      <x:c r="B1707" s="79" t="str">
        <x:v>4:00-8:00</x:v>
      </x:c>
      <x:c r="C1707" s="80" t="n">
        <x:v>885.9292990639661</x:v>
      </x:c>
      <x:c r="D1707" s="80" t="n">
        <x:v>4115.706491388421</x:v>
      </x:c>
      <x:c r="E1707" s="81" t="str">
        <x:v>24:00</x:v>
      </x:c>
      <x:c r="F1707" s="80" t="n">
        <x:v>5991.151254780816</x:v>
      </x:c>
    </x:row>
    <x:row r="1708">
      <x:c r="A1708" s="78"/>
      <x:c r="B1708" s="79" t="str">
        <x:v>8:00-12:00</x:v>
      </x:c>
      <x:c r="C1708" s="80" t="n">
        <x:v>5877.489183333333</x:v>
      </x:c>
      <x:c r="D1708" s="80" t="n">
        <x:v>4642.848802173054</x:v>
      </x:c>
      <x:c r="E1708" s="81"/>
      <x:c r="F1708" s="80"/>
    </x:row>
    <x:row r="1709">
      <x:c r="A1709" s="78"/>
      <x:c r="B1709" s="79" t="str">
        <x:v>12:00-16:00</x:v>
      </x:c>
      <x:c r="C1709" s="80" t="n">
        <x:v>5466.973206587448</x:v>
      </x:c>
      <x:c r="D1709" s="80" t="n">
        <x:v>1098.571782885001</x:v>
      </x:c>
      <x:c r="E1709" s="81"/>
      <x:c r="F1709" s="80"/>
    </x:row>
    <x:row r="1710">
      <x:c r="A1710" s="78"/>
      <x:c r="B1710" s="79" t="str">
        <x:v>16:00-20:00</x:v>
      </x:c>
      <x:c r="C1710" s="80" t="n">
        <x:v>16.97266596142333</x:v>
      </x:c>
      <x:c r="D1710" s="80" t="n">
        <x:v>6731.584908359999</x:v>
      </x:c>
      <x:c r="E1710" s="81"/>
      <x:c r="F1710" s="80"/>
    </x:row>
    <x:row r="1711">
      <x:c r="A1711" s="98"/>
      <x:c r="B1711" s="99" t="str">
        <x:v>20:00-24:00</x:v>
      </x:c>
      <x:c r="C1711" s="100" t="n">
        <x:v>5401.091717964731</x:v>
      </x:c>
      <x:c r="D1711" s="100" t="n">
        <x:v>1435.453866268278</x:v>
      </x:c>
      <x:c r="E1711" s="101"/>
      <x:c r="F1711" s="100"/>
    </x:row>
    <x:row r="1712">
      <x:c r="A1712" s="102" t="n">
        <x:v>45974</x:v>
      </x:c>
      <x:c r="B1712" s="103" t="str">
        <x:v>0:00-4:00</x:v>
      </x:c>
      <x:c r="C1712" s="104" t="n">
        <x:v>3755.729233989198</x:v>
      </x:c>
      <x:c r="D1712" s="104" t="n">
        <x:v>180.83098359375003</x:v>
      </x:c>
      <x:c r="E1712" s="105" t="str">
        <x:v>0:00</x:v>
      </x:c>
      <x:c r="F1712" s="104" t="n">
        <x:v>5991.151254780816</x:v>
      </x:c>
    </x:row>
    <x:row r="1713">
      <x:c r="A1713" s="78"/>
      <x:c r="B1713" s="79" t="str">
        <x:v>4:00-8:00</x:v>
      </x:c>
      <x:c r="C1713" s="80" t="n">
        <x:v>1733.1306527924999</x:v>
      </x:c>
      <x:c r="D1713" s="80" t="n">
        <x:v>3843.6980581574226</x:v>
      </x:c>
      <x:c r="E1713" s="81" t="str">
        <x:v>24:00</x:v>
      </x:c>
      <x:c r="F1713" s="80" t="n">
        <x:v>5924.915059573206</x:v>
      </x:c>
    </x:row>
    <x:row r="1714">
      <x:c r="A1714" s="78"/>
      <x:c r="B1714" s="79" t="str">
        <x:v>8:00-12:00</x:v>
      </x:c>
      <x:c r="C1714" s="80" t="n">
        <x:v>5692.510097794371</x:v>
      </x:c>
      <x:c r="D1714" s="80" t="n">
        <x:v>4163.860566666667</x:v>
      </x:c>
      <x:c r="E1714" s="81"/>
      <x:c r="F1714" s="80"/>
    </x:row>
    <x:row r="1715">
      <x:c r="A1715" s="78"/>
      <x:c r="B1715" s="79" t="str">
        <x:v>12:00-16:00</x:v>
      </x:c>
      <x:c r="C1715" s="80" t="n">
        <x:v>4339.755400771269</x:v>
      </x:c>
      <x:c r="D1715" s="80" t="n">
        <x:v>1578.1801769476474</x:v>
      </x:c>
      <x:c r="E1715" s="81"/>
      <x:c r="F1715" s="80"/>
    </x:row>
    <x:row r="1716">
      <x:c r="A1716" s="78"/>
      <x:c r="B1716" s="79" t="str">
        <x:v>16:00-20:00</x:v>
      </x:c>
      <x:c r="C1716" s="80" t="n">
        <x:v>13.728057291666687</x:v>
      </x:c>
      <x:c r="D1716" s="80" t="n">
        <x:v>6217.384878212163</x:v>
      </x:c>
      <x:c r="E1716" s="81"/>
      <x:c r="F1716" s="80"/>
    </x:row>
    <x:row r="1717">
      <x:c r="A1717" s="98"/>
      <x:c r="B1717" s="99" t="str">
        <x:v>20:00-24:00</x:v>
      </x:c>
      <x:c r="C1717" s="100" t="n">
        <x:v>5332.53152310796</x:v>
      </x:c>
      <x:c r="D1717" s="100" t="n">
        <x:v>978.2397343642444</x:v>
      </x:c>
      <x:c r="E1717" s="101"/>
      <x:c r="F1717" s="100"/>
    </x:row>
    <x:row r="1718">
      <x:c r="A1718" s="102" t="n">
        <x:v>45975</x:v>
      </x:c>
      <x:c r="B1718" s="103" t="str">
        <x:v>0:00-4:00</x:v>
      </x:c>
      <x:c r="C1718" s="104" t="n">
        <x:v>2520.496066015625</x:v>
      </x:c>
      <x:c r="D1718" s="104" t="n">
        <x:v>177.6346190104166</x:v>
      </x:c>
      <x:c r="E1718" s="105" t="str">
        <x:v>0:00</x:v>
      </x:c>
      <x:c r="F1718" s="104" t="n">
        <x:v>5924.915059573206</x:v>
      </x:c>
    </x:row>
    <x:row r="1719">
      <x:c r="A1719" s="78"/>
      <x:c r="B1719" s="79" t="str">
        <x:v>4:00-8:00</x:v>
      </x:c>
      <x:c r="C1719" s="80" t="n">
        <x:v>44.54754440104159</x:v>
      </x:c>
      <x:c r="D1719" s="80" t="n">
        <x:v>6152.47425904297</x:v>
      </x:c>
      <x:c r="E1719" s="81" t="str">
        <x:v>24:00</x:v>
      </x:c>
      <x:c r="F1719" s="80" t="n">
        <x:v>6047.9191560821755</x:v>
      </x:c>
    </x:row>
    <x:row r="1720">
      <x:c r="A1720" s="78"/>
      <x:c r="B1720" s="79" t="str">
        <x:v>8:00-12:00</x:v>
      </x:c>
      <x:c r="C1720" s="80" t="n">
        <x:v>7079.943433333334</x:v>
      </x:c>
      <x:c r="D1720" s="80" t="n">
        <x:v>0</x:v>
      </x:c>
      <x:c r="E1720" s="81"/>
      <x:c r="F1720" s="80"/>
    </x:row>
    <x:row r="1721">
      <x:c r="A1721" s="78"/>
      <x:c r="B1721" s="79" t="str">
        <x:v>12:00-16:00</x:v>
      </x:c>
      <x:c r="C1721" s="80" t="n">
        <x:v>3586.7232333333327</x:v>
      </x:c>
      <x:c r="D1721" s="80" t="n">
        <x:v>193.74950398412938</x:v>
      </x:c>
      <x:c r="E1721" s="81"/>
      <x:c r="F1721" s="80"/>
    </x:row>
    <x:row r="1722">
      <x:c r="A1722" s="78"/>
      <x:c r="B1722" s="79" t="str">
        <x:v>16:00-20:00</x:v>
      </x:c>
      <x:c r="C1722" s="80" t="n">
        <x:v>35.90773909133583</x:v>
      </x:c>
      <x:c r="D1722" s="80" t="n">
        <x:v>6569.673780584299</x:v>
      </x:c>
      <x:c r="E1722" s="81"/>
      <x:c r="F1722" s="80"/>
    </x:row>
    <x:row r="1723">
      <x:c r="A1723" s="98"/>
      <x:c r="B1723" s="99" t="str">
        <x:v>20:00-24:00</x:v>
      </x:c>
      <x:c r="C1723" s="100" t="n">
        <x:v>5457.769665230356</x:v>
      </x:c>
      <x:c r="D1723" s="100" t="n">
        <x:v>1963.3281724581861</x:v>
      </x:c>
      <x:c r="E1723" s="101"/>
      <x:c r="F1723" s="100"/>
    </x:row>
    <x:row r="1724">
      <x:c r="A1724" s="102" t="n">
        <x:v>45976</x:v>
      </x:c>
      <x:c r="B1724" s="103" t="str">
        <x:v>0:00-4:00</x:v>
      </x:c>
      <x:c r="C1724" s="104" t="n">
        <x:v>565.8624509352023</x:v>
      </x:c>
      <x:c r="D1724" s="104" t="n">
        <x:v>194.12372291666657</x:v>
      </x:c>
      <x:c r="E1724" s="105" t="str">
        <x:v>0:00</x:v>
      </x:c>
      <x:c r="F1724" s="104" t="n">
        <x:v>6047.9191560821755</x:v>
      </x:c>
    </x:row>
    <x:row r="1725">
      <x:c r="A1725" s="78"/>
      <x:c r="B1725" s="79" t="str">
        <x:v>4:00-8:00</x:v>
      </x:c>
      <x:c r="C1725" s="80" t="n">
        <x:v>844.2274098958334</x:v>
      </x:c>
      <x:c r="D1725" s="80" t="n">
        <x:v>5311.176304830427</x:v>
      </x:c>
      <x:c r="E1725" s="81" t="str">
        <x:v>24:00</x:v>
      </x:c>
      <x:c r="F1725" s="80" t="n">
        <x:v>5921.046283299334</x:v>
      </x:c>
    </x:row>
    <x:row r="1726">
      <x:c r="A1726" s="78"/>
      <x:c r="B1726" s="79" t="str">
        <x:v>8:00-12:00</x:v>
      </x:c>
      <x:c r="C1726" s="80" t="n">
        <x:v>6854.320816666666</x:v>
      </x:c>
      <x:c r="D1726" s="80" t="n">
        <x:v>29.450733333333343</x:v>
      </x:c>
      <x:c r="E1726" s="81"/>
      <x:c r="F1726" s="80"/>
    </x:row>
    <x:row r="1727">
      <x:c r="A1727" s="78"/>
      <x:c r="B1727" s="79" t="str">
        <x:v>12:00-16:00</x:v>
      </x:c>
      <x:c r="C1727" s="80" t="n">
        <x:v>3848.704780041149</x:v>
      </x:c>
      <x:c r="D1727" s="80" t="n">
        <x:v>81.37760545172554</x:v>
      </x:c>
      <x:c r="E1727" s="81"/>
      <x:c r="F1727" s="80"/>
    </x:row>
    <x:row r="1728">
      <x:c r="A1728" s="78"/>
      <x:c r="B1728" s="79" t="str">
        <x:v>16:00-20:00</x:v>
      </x:c>
      <x:c r="C1728" s="80" t="n">
        <x:v>74.71251728629807</x:v>
      </x:c>
      <x:c r="D1728" s="80" t="n">
        <x:v>6357.010331559424</x:v>
      </x:c>
      <x:c r="E1728" s="81"/>
      <x:c r="F1728" s="80"/>
    </x:row>
    <x:row r="1729">
      <x:c r="A1729" s="98"/>
      <x:c r="B1729" s="99" t="str">
        <x:v>20:00-24:00</x:v>
      </x:c>
      <x:c r="C1729" s="100" t="n">
        <x:v>5983.899814289158</x:v>
      </x:c>
      <x:c r="D1729" s="100" t="n">
        <x:v>2860.146396595572</x:v>
      </x:c>
      <x:c r="E1729" s="101"/>
      <x:c r="F1729" s="100"/>
    </x:row>
    <x:row r="1730">
      <x:c r="A1730" s="102" t="n">
        <x:v>45977</x:v>
      </x:c>
      <x:c r="B1730" s="103" t="str">
        <x:v>0:00-4:00</x:v>
      </x:c>
      <x:c r="C1730" s="104" t="n">
        <x:v>4788.087611525045</x:v>
      </x:c>
      <x:c r="D1730" s="104" t="n">
        <x:v>144.4599777343749</x:v>
      </x:c>
      <x:c r="E1730" s="105" t="str">
        <x:v>0:00</x:v>
      </x:c>
      <x:c r="F1730" s="104" t="n">
        <x:v>5921.046283299334</x:v>
      </x:c>
    </x:row>
    <x:row r="1731">
      <x:c r="A1731" s="78"/>
      <x:c r="B1731" s="79" t="str">
        <x:v>4:00-8:00</x:v>
      </x:c>
      <x:c r="C1731" s="80" t="n">
        <x:v>860.796898512212</x:v>
      </x:c>
      <x:c r="D1731" s="80" t="n">
        <x:v>3737.8662807893434</x:v>
      </x:c>
      <x:c r="E1731" s="81" t="str">
        <x:v>24:00</x:v>
      </x:c>
      <x:c r="F1731" s="80" t="n">
        <x:v>5776.294601720921</x:v>
      </x:c>
    </x:row>
    <x:row r="1732">
      <x:c r="A1732" s="78"/>
      <x:c r="B1732" s="79" t="str">
        <x:v>8:00-12:00</x:v>
      </x:c>
      <x:c r="C1732" s="80" t="n">
        <x:v>5291.465603212614</x:v>
      </x:c>
      <x:c r="D1732" s="80" t="n">
        <x:v>4942.211849575862</x:v>
      </x:c>
      <x:c r="E1732" s="81"/>
      <x:c r="F1732" s="80"/>
    </x:row>
    <x:row r="1733">
      <x:c r="A1733" s="78"/>
      <x:c r="B1733" s="79" t="str">
        <x:v>12:00-16:00</x:v>
      </x:c>
      <x:c r="C1733" s="80" t="n">
        <x:v>5565.897912140665</x:v>
      </x:c>
      <x:c r="D1733" s="80" t="n">
        <x:v>1370.824867484241</x:v>
      </x:c>
      <x:c r="E1733" s="81"/>
      <x:c r="F1733" s="80"/>
    </x:row>
    <x:row r="1734">
      <x:c r="A1734" s="78"/>
      <x:c r="B1734" s="79" t="str">
        <x:v>16:00-20:00</x:v>
      </x:c>
      <x:c r="C1734" s="80" t="n">
        <x:v>13.746928434988263</x:v>
      </x:c>
      <x:c r="D1734" s="80" t="n">
        <x:v>6423.091751821537</x:v>
      </x:c>
      <x:c r="E1734" s="81"/>
      <x:c r="F1734" s="80"/>
    </x:row>
    <x:row r="1735">
      <x:c r="A1735" s="98"/>
      <x:c r="B1735" s="99" t="str">
        <x:v>20:00-24:00</x:v>
      </x:c>
      <x:c r="C1735" s="100" t="n">
        <x:v>5206.288200947627</x:v>
      </x:c>
      <x:c r="D1735" s="100" t="n">
        <x:v>1110.1111413814654</x:v>
      </x:c>
      <x:c r="E1735" s="101"/>
      <x:c r="F1735" s="100"/>
    </x:row>
    <x:row r="1736">
      <x:c r="A1736" s="102" t="n">
        <x:v>45978</x:v>
      </x:c>
      <x:c r="B1736" s="103" t="str">
        <x:v>0:00-4:00</x:v>
      </x:c>
      <x:c r="C1736" s="104" t="n">
        <x:v>4923.950322198109</x:v>
      </x:c>
      <x:c r="D1736" s="104" t="n">
        <x:v>163.98307167968744</x:v>
      </x:c>
      <x:c r="E1736" s="105" t="str">
        <x:v>0:00</x:v>
      </x:c>
      <x:c r="F1736" s="104" t="n">
        <x:v>5776.294601720921</x:v>
      </x:c>
    </x:row>
    <x:row r="1737">
      <x:c r="A1737" s="78"/>
      <x:c r="B1737" s="79" t="str">
        <x:v>4:00-8:00</x:v>
      </x:c>
      <x:c r="C1737" s="80" t="n">
        <x:v>907.4578246276964</x:v>
      </x:c>
      <x:c r="D1737" s="80" t="n">
        <x:v>3393.5163773877266</x:v>
      </x:c>
      <x:c r="E1737" s="81" t="str">
        <x:v>24:00</x:v>
      </x:c>
      <x:c r="F1737" s="80" t="n">
        <x:v>5925.93014815683</x:v>
      </x:c>
    </x:row>
    <x:row r="1738">
      <x:c r="A1738" s="78"/>
      <x:c r="B1738" s="79" t="str">
        <x:v>8:00-12:00</x:v>
      </x:c>
      <x:c r="C1738" s="80" t="n">
        <x:v>5799.444069738203</x:v>
      </x:c>
      <x:c r="D1738" s="80" t="n">
        <x:v>5284.606291410323</x:v>
      </x:c>
      <x:c r="E1738" s="81"/>
      <x:c r="F1738" s="80"/>
    </x:row>
    <x:row r="1739">
      <x:c r="A1739" s="78"/>
      <x:c r="B1739" s="79" t="str">
        <x:v>12:00-16:00</x:v>
      </x:c>
      <x:c r="C1739" s="80" t="n">
        <x:v>5550.068672089951</x:v>
      </x:c>
      <x:c r="D1739" s="80" t="n">
        <x:v>806.028765050337</x:v>
      </x:c>
      <x:c r="E1739" s="81"/>
      <x:c r="F1739" s="80"/>
    </x:row>
    <x:row r="1740">
      <x:c r="A1740" s="78"/>
      <x:c r="B1740" s="79" t="str">
        <x:v>16:00-20:00</x:v>
      </x:c>
      <x:c r="C1740" s="80" t="n">
        <x:v>34.64230375856607</x:v>
      </x:c>
      <x:c r="D1740" s="80" t="n">
        <x:v>7277.49875784438</x:v>
      </x:c>
      <x:c r="E1740" s="81"/>
      <x:c r="F1740" s="80"/>
    </x:row>
    <x:row r="1741">
      <x:c r="A1741" s="98"/>
      <x:c r="B1741" s="99" t="str">
        <x:v>20:00-24:00</x:v>
      </x:c>
      <x:c r="C1741" s="100" t="n">
        <x:v>5344.620637574107</x:v>
      </x:c>
      <x:c r="D1741" s="100" t="n">
        <x:v>1213.4436471244105</x:v>
      </x:c>
      <x:c r="E1741" s="101"/>
      <x:c r="F1741" s="100"/>
    </x:row>
    <x:row r="1742">
      <x:c r="A1742" s="102" t="n">
        <x:v>45979</x:v>
      </x:c>
      <x:c r="B1742" s="103" t="str">
        <x:v>0:00-4:00</x:v>
      </x:c>
      <x:c r="C1742" s="104" t="n">
        <x:v>3052.9052099255705</x:v>
      </x:c>
      <x:c r="D1742" s="104" t="n">
        <x:v>173.27822031250003</x:v>
      </x:c>
      <x:c r="E1742" s="105" t="str">
        <x:v>0:00</x:v>
      </x:c>
      <x:c r="F1742" s="104" t="n">
        <x:v>5925.93014815683</x:v>
      </x:c>
    </x:row>
    <x:row r="1743">
      <x:c r="A1743" s="78"/>
      <x:c r="B1743" s="79" t="str">
        <x:v>4:00-8:00</x:v>
      </x:c>
      <x:c r="C1743" s="80" t="n">
        <x:v>2565.6067216539736</x:v>
      </x:c>
      <x:c r="D1743" s="80" t="n">
        <x:v>3179.762015906303</x:v>
      </x:c>
      <x:c r="E1743" s="81" t="str">
        <x:v>24:00</x:v>
      </x:c>
      <x:c r="F1743" s="80" t="n">
        <x:v>5967.828670032553</x:v>
      </x:c>
    </x:row>
    <x:row r="1744">
      <x:c r="A1744" s="78"/>
      <x:c r="B1744" s="79" t="str">
        <x:v>8:00-12:00</x:v>
      </x:c>
      <x:c r="C1744" s="80" t="n">
        <x:v>5464.323237269007</x:v>
      </x:c>
      <x:c r="D1744" s="80" t="n">
        <x:v>5076.431423202773</x:v>
      </x:c>
      <x:c r="E1744" s="81"/>
      <x:c r="F1744" s="80"/>
    </x:row>
    <x:row r="1745">
      <x:c r="A1745" s="78"/>
      <x:c r="B1745" s="79" t="str">
        <x:v>12:00-16:00</x:v>
      </x:c>
      <x:c r="C1745" s="80" t="n">
        <x:v>4384.51151613647</x:v>
      </x:c>
      <x:c r="D1745" s="80" t="n">
        <x:v>1787.5709452633469</x:v>
      </x:c>
      <x:c r="E1745" s="81"/>
      <x:c r="F1745" s="80"/>
    </x:row>
    <x:row r="1746">
      <x:c r="A1746" s="78"/>
      <x:c r="B1746" s="79" t="str">
        <x:v>16:00-20:00</x:v>
      </x:c>
      <x:c r="C1746" s="80" t="n">
        <x:v>60.14773199406159</x:v>
      </x:c>
      <x:c r="D1746" s="80" t="n">
        <x:v>6613.565006409286</x:v>
      </x:c>
      <x:c r="E1746" s="81"/>
      <x:c r="F1746" s="80"/>
    </x:row>
    <x:row r="1747">
      <x:c r="A1747" s="98"/>
      <x:c r="B1747" s="99" t="str">
        <x:v>20:00-24:00</x:v>
      </x:c>
      <x:c r="C1747" s="100" t="n">
        <x:v>5348.809864449107</x:v>
      </x:c>
      <x:c r="D1747" s="100" t="n">
        <x:v>41.49018717447916</x:v>
      </x:c>
      <x:c r="E1747" s="101"/>
      <x:c r="F1747" s="100"/>
    </x:row>
    <x:row r="1748">
      <x:c r="A1748" s="102" t="n">
        <x:v>45980</x:v>
      </x:c>
      <x:c r="B1748" s="103" t="str">
        <x:v>0:00-4:00</x:v>
      </x:c>
      <x:c r="C1748" s="104" t="n">
        <x:v>3729.029120167823</x:v>
      </x:c>
      <x:c r="D1748" s="104" t="n">
        <x:v>184.45875839843745</x:v>
      </x:c>
      <x:c r="E1748" s="105" t="str">
        <x:v>0:00</x:v>
      </x:c>
      <x:c r="F1748" s="104" t="n">
        <x:v>5967.828670032553</x:v>
      </x:c>
    </x:row>
    <x:row r="1749">
      <x:c r="A1749" s="78"/>
      <x:c r="B1749" s="79" t="str">
        <x:v>4:00-8:00</x:v>
      </x:c>
      <x:c r="C1749" s="80" t="n">
        <x:v>1726.6904617314324</x:v>
      </x:c>
      <x:c r="D1749" s="80" t="n">
        <x:v>3797.5958367062362</x:v>
      </x:c>
      <x:c r="E1749" s="81" t="str">
        <x:v>24:00</x:v>
      </x:c>
      <x:c r="F1749" s="80" t="n">
        <x:v>5900.62055423177</x:v>
      </x:c>
    </x:row>
    <x:row r="1750">
      <x:c r="A1750" s="78"/>
      <x:c r="B1750" s="79" t="str">
        <x:v>8:00-12:00</x:v>
      </x:c>
      <x:c r="C1750" s="80" t="n">
        <x:v>5537.987504504061</x:v>
      </x:c>
      <x:c r="D1750" s="80" t="n">
        <x:v>4728.1240692630245</x:v>
      </x:c>
      <x:c r="E1750" s="81"/>
      <x:c r="F1750" s="80"/>
    </x:row>
    <x:row r="1751">
      <x:c r="A1751" s="78"/>
      <x:c r="B1751" s="79" t="str">
        <x:v>12:00-16:00</x:v>
      </x:c>
      <x:c r="C1751" s="80" t="n">
        <x:v>5919.182430074652</x:v>
      </x:c>
      <x:c r="D1751" s="80" t="n">
        <x:v>1297.1289091320002</x:v>
      </x:c>
      <x:c r="E1751" s="81"/>
      <x:c r="F1751" s="80"/>
    </x:row>
    <x:row r="1752">
      <x:c r="A1752" s="78"/>
      <x:c r="B1752" s="79" t="str">
        <x:v>16:00-20:00</x:v>
      </x:c>
      <x:c r="C1752" s="80" t="n">
        <x:v>50.77724901004399</x:v>
      </x:c>
      <x:c r="D1752" s="80" t="n">
        <x:v>5944.635464427676</x:v>
      </x:c>
      <x:c r="E1752" s="81"/>
      <x:c r="F1752" s="80"/>
    </x:row>
    <x:row r="1753">
      <x:c r="A1753" s="98"/>
      <x:c r="B1753" s="99" t="str">
        <x:v>20:00-24:00</x:v>
      </x:c>
      <x:c r="C1753" s="100" t="n">
        <x:v>5316.200667769419</x:v>
      </x:c>
      <x:c r="D1753" s="100" t="n">
        <x:v>2155.2368872318493</x:v>
      </x:c>
      <x:c r="E1753" s="101"/>
      <x:c r="F1753" s="100"/>
    </x:row>
    <x:row r="1754">
      <x:c r="A1754" s="102" t="n">
        <x:v>45981</x:v>
      </x:c>
      <x:c r="B1754" s="103" t="str">
        <x:v>0:00-4:00</x:v>
      </x:c>
      <x:c r="C1754" s="104" t="n">
        <x:v>4268.766391145834</x:v>
      </x:c>
      <x:c r="D1754" s="104" t="n">
        <x:v>119.8027056640625</x:v>
      </x:c>
      <x:c r="E1754" s="105" t="str">
        <x:v>0:00</x:v>
      </x:c>
      <x:c r="F1754" s="104" t="n">
        <x:v>5900.62055423177</x:v>
      </x:c>
    </x:row>
    <x:row r="1755">
      <x:c r="A1755" s="78"/>
      <x:c r="B1755" s="79" t="str">
        <x:v>4:00-8:00</x:v>
      </x:c>
      <x:c r="C1755" s="80" t="n">
        <x:v>1335.4081749967</x:v>
      </x:c>
      <x:c r="D1755" s="80" t="n">
        <x:v>2962.9342731178644</x:v>
      </x:c>
      <x:c r="E1755" s="81" t="str">
        <x:v>24:00</x:v>
      </x:c>
      <x:c r="F1755" s="80" t="n">
        <x:v>5901.348664226707</x:v>
      </x:c>
    </x:row>
    <x:row r="1756">
      <x:c r="A1756" s="78"/>
      <x:c r="B1756" s="79" t="str">
        <x:v>8:00-12:00</x:v>
      </x:c>
      <x:c r="C1756" s="80" t="n">
        <x:v>5779.8868039478875</x:v>
      </x:c>
      <x:c r="D1756" s="80" t="n">
        <x:v>5078.232216666666</x:v>
      </x:c>
      <x:c r="E1756" s="81"/>
      <x:c r="F1756" s="80"/>
    </x:row>
    <x:row r="1757">
      <x:c r="A1757" s="78"/>
      <x:c r="B1757" s="79" t="str">
        <x:v>12:00-16:00</x:v>
      </x:c>
      <x:c r="C1757" s="80" t="n">
        <x:v>5270.312572319664</x:v>
      </x:c>
      <x:c r="D1757" s="80" t="n">
        <x:v>2214.652749537542</x:v>
      </x:c>
      <x:c r="E1757" s="81"/>
      <x:c r="F1757" s="80"/>
    </x:row>
    <x:row r="1758">
      <x:c r="A1758" s="78"/>
      <x:c r="B1758" s="79" t="str">
        <x:v>16:00-20:00</x:v>
      </x:c>
      <x:c r="C1758" s="80" t="n">
        <x:v>26.554134319092555</x:v>
      </x:c>
      <x:c r="D1758" s="80" t="n">
        <x:v>6029.674229680551</x:v>
      </x:c>
      <x:c r="E1758" s="81"/>
      <x:c r="F1758" s="80"/>
    </x:row>
    <x:row r="1759">
      <x:c r="A1759" s="98"/>
      <x:c r="B1759" s="99" t="str">
        <x:v>20:00-24:00</x:v>
      </x:c>
      <x:c r="C1759" s="100" t="n">
        <x:v>5337.260948693898</x:v>
      </x:c>
      <x:c r="D1759" s="100" t="n">
        <x:v>1428.7816369305624</x:v>
      </x:c>
      <x:c r="E1759" s="101"/>
      <x:c r="F1759" s="100"/>
    </x:row>
    <x:row r="1760">
      <x:c r="A1760" s="102" t="n">
        <x:v>45982</x:v>
      </x:c>
      <x:c r="B1760" s="103" t="str">
        <x:v>0:00-4:00</x:v>
      </x:c>
      <x:c r="C1760" s="104" t="n">
        <x:v>1845.283117110549</x:v>
      </x:c>
      <x:c r="D1760" s="104" t="n">
        <x:v>371.4267811197917</x:v>
      </x:c>
      <x:c r="E1760" s="105" t="str">
        <x:v>0:00</x:v>
      </x:c>
      <x:c r="F1760" s="104" t="n">
        <x:v>5901.348664226707</x:v>
      </x:c>
    </x:row>
    <x:row r="1761">
      <x:c r="A1761" s="78"/>
      <x:c r="B1761" s="79" t="str">
        <x:v>4:00-8:00</x:v>
      </x:c>
      <x:c r="C1761" s="80" t="n">
        <x:v>42.94393398437501</x:v>
      </x:c>
      <x:c r="D1761" s="80" t="n">
        <x:v>5389.250928071135</x:v>
      </x:c>
      <x:c r="E1761" s="81" t="str">
        <x:v>24:00</x:v>
      </x:c>
      <x:c r="F1761" s="80" t="n">
        <x:v>5970.255783498987</x:v>
      </x:c>
    </x:row>
    <x:row r="1762">
      <x:c r="A1762" s="78"/>
      <x:c r="B1762" s="79" t="str">
        <x:v>8:00-12:00</x:v>
      </x:c>
      <x:c r="C1762" s="80" t="n">
        <x:v>6907.003083333333</x:v>
      </x:c>
      <x:c r="D1762" s="80" t="n">
        <x:v>30.163333333333334</x:v>
      </x:c>
      <x:c r="E1762" s="81"/>
      <x:c r="F1762" s="80"/>
    </x:row>
    <x:row r="1763">
      <x:c r="A1763" s="78"/>
      <x:c r="B1763" s="79" t="str">
        <x:v>12:00-16:00</x:v>
      </x:c>
      <x:c r="C1763" s="80" t="n">
        <x:v>3810.4462349154687</x:v>
      </x:c>
      <x:c r="D1763" s="80" t="n">
        <x:v>87.621890617215</x:v>
      </x:c>
      <x:c r="E1763" s="81"/>
      <x:c r="F1763" s="80"/>
    </x:row>
    <x:row r="1764">
      <x:c r="A1764" s="78"/>
      <x:c r="B1764" s="79" t="str">
        <x:v>16:00-20:00</x:v>
      </x:c>
      <x:c r="C1764" s="80" t="n">
        <x:v>51.886876925196646</x:v>
      </x:c>
      <x:c r="D1764" s="80" t="n">
        <x:v>6294.8355271678665</x:v>
      </x:c>
      <x:c r="E1764" s="81"/>
      <x:c r="F1764" s="80"/>
    </x:row>
    <x:row r="1765">
      <x:c r="A1765" s="98"/>
      <x:c r="B1765" s="99" t="str">
        <x:v>20:00-24:00</x:v>
      </x:c>
      <x:c r="C1765" s="100" t="n">
        <x:v>5301.530819917857</x:v>
      </x:c>
      <x:c r="D1765" s="100" t="n">
        <x:v>2311.551325956901</x:v>
      </x:c>
      <x:c r="E1765" s="101"/>
      <x:c r="F1765" s="100"/>
    </x:row>
    <x:row r="1766">
      <x:c r="A1766" s="102" t="n">
        <x:v>45983</x:v>
      </x:c>
      <x:c r="B1766" s="103" t="str">
        <x:v>0:00-4:00</x:v>
      </x:c>
      <x:c r="C1766" s="104" t="n">
        <x:v>397.1539500277215</x:v>
      </x:c>
      <x:c r="D1766" s="104" t="n">
        <x:v>266.0021758463542</x:v>
      </x:c>
      <x:c r="E1766" s="105" t="str">
        <x:v>0:00</x:v>
      </x:c>
      <x:c r="F1766" s="104" t="n">
        <x:v>5970.255783498987</x:v>
      </x:c>
    </x:row>
    <x:row r="1767">
      <x:c r="A1767" s="78"/>
      <x:c r="B1767" s="79" t="str">
        <x:v>4:00-8:00</x:v>
      </x:c>
      <x:c r="C1767" s="80" t="n">
        <x:v>1632.9070764973958</x:v>
      </x:c>
      <x:c r="D1767" s="80" t="n">
        <x:v>5671.577460788078</x:v>
      </x:c>
      <x:c r="E1767" s="81" t="str">
        <x:v>24:00</x:v>
      </x:c>
      <x:c r="F1767" s="80" t="n">
        <x:v>5832.796539409723</x:v>
      </x:c>
    </x:row>
    <x:row r="1768">
      <x:c r="A1768" s="78"/>
      <x:c r="B1768" s="79" t="str">
        <x:v>8:00-12:00</x:v>
      </x:c>
      <x:c r="C1768" s="80" t="n">
        <x:v>5785.320083333332</x:v>
      </x:c>
      <x:c r="D1768" s="80" t="n">
        <x:v>2.9206034999999475</x:v>
      </x:c>
      <x:c r="E1768" s="81"/>
      <x:c r="F1768" s="80"/>
    </x:row>
    <x:row r="1769">
      <x:c r="A1769" s="78"/>
      <x:c r="B1769" s="79" t="str">
        <x:v>12:00-16:00</x:v>
      </x:c>
      <x:c r="C1769" s="80" t="n">
        <x:v>4910.0004872125155</x:v>
      </x:c>
      <x:c r="D1769" s="80" t="n">
        <x:v>22.013234142754737</x:v>
      </x:c>
      <x:c r="E1769" s="81"/>
      <x:c r="F1769" s="80"/>
    </x:row>
    <x:row r="1770">
      <x:c r="A1770" s="78"/>
      <x:c r="B1770" s="79" t="str">
        <x:v>16:00-20:00</x:v>
      </x:c>
      <x:c r="C1770" s="80" t="n">
        <x:v>27.380008315735267</x:v>
      </x:c>
      <x:c r="D1770" s="80" t="n">
        <x:v>6573.690292893193</x:v>
      </x:c>
      <x:c r="E1770" s="81"/>
      <x:c r="F1770" s="80"/>
    </x:row>
    <x:row r="1771">
      <x:c r="A1771" s="98"/>
      <x:c r="B1771" s="99" t="str">
        <x:v>20:00-24:00</x:v>
      </x:c>
      <x:c r="C1771" s="100" t="n">
        <x:v>5937.4620312074</x:v>
      </x:c>
      <x:c r="D1771" s="100" t="n">
        <x:v>2726.590698151178</x:v>
      </x:c>
      <x:c r="E1771" s="101"/>
      <x:c r="F1771" s="100"/>
    </x:row>
    <x:row r="1772">
      <x:c r="A1772" s="102" t="n">
        <x:v>45984</x:v>
      </x:c>
      <x:c r="B1772" s="103" t="str">
        <x:v>0:00-4:00</x:v>
      </x:c>
      <x:c r="C1772" s="104" t="n">
        <x:v>4006.792601784336</x:v>
      </x:c>
      <x:c r="D1772" s="104" t="n">
        <x:v>221.6544700520834</x:v>
      </x:c>
      <x:c r="E1772" s="105" t="str">
        <x:v>0:00</x:v>
      </x:c>
      <x:c r="F1772" s="104" t="n">
        <x:v>5832.796539409723</x:v>
      </x:c>
    </x:row>
    <x:row r="1773">
      <x:c r="A1773" s="78"/>
      <x:c r="B1773" s="79" t="str">
        <x:v>4:00-8:00</x:v>
      </x:c>
      <x:c r="C1773" s="80" t="n">
        <x:v>1670.383552799479</x:v>
      </x:c>
      <x:c r="D1773" s="80" t="n">
        <x:v>3205.811765141295</x:v>
      </x:c>
      <x:c r="E1773" s="81" t="str">
        <x:v>24:00</x:v>
      </x:c>
      <x:c r="F1773" s="80" t="n">
        <x:v>5901.610300415944</x:v>
      </x:c>
    </x:row>
    <x:row r="1774">
      <x:c r="A1774" s="78"/>
      <x:c r="B1774" s="79" t="str">
        <x:v>8:00-12:00</x:v>
      </x:c>
      <x:c r="C1774" s="80" t="n">
        <x:v>5383.241501719569</x:v>
      </x:c>
      <x:c r="D1774" s="80" t="n">
        <x:v>5340.563335488265</x:v>
      </x:c>
      <x:c r="E1774" s="81"/>
      <x:c r="F1774" s="80"/>
    </x:row>
    <x:row r="1775">
      <x:c r="A1775" s="78"/>
      <x:c r="B1775" s="79" t="str">
        <x:v>12:00-16:00</x:v>
      </x:c>
      <x:c r="C1775" s="80" t="n">
        <x:v>6359.385699926517</x:v>
      </x:c>
      <x:c r="D1775" s="80" t="n">
        <x:v>886.8346005792685</x:v>
      </x:c>
      <x:c r="E1775" s="81"/>
      <x:c r="F1775" s="80"/>
    </x:row>
    <x:row r="1776">
      <x:c r="A1776" s="78"/>
      <x:c r="B1776" s="79" t="str">
        <x:v>16:00-20:00</x:v>
      </x:c>
      <x:c r="C1776" s="80" t="n">
        <x:v>40.66834798886839</x:v>
      </x:c>
      <x:c r="D1776" s="80" t="n">
        <x:v>7639.617757120086</x:v>
      </x:c>
      <x:c r="E1776" s="81"/>
      <x:c r="F1776" s="80"/>
    </x:row>
    <x:row r="1777">
      <x:c r="A1777" s="98"/>
      <x:c r="B1777" s="99" t="str">
        <x:v>20:00-24:00</x:v>
      </x:c>
      <x:c r="C1777" s="100" t="n">
        <x:v>5285.863314891171</x:v>
      </x:c>
      <x:c r="D1777" s="100" t="n">
        <x:v>1068.1170521924614</x:v>
      </x:c>
      <x:c r="E1777" s="101"/>
      <x:c r="F1777" s="100"/>
    </x:row>
    <x:row r="1778">
      <x:c r="A1778" s="102" t="n">
        <x:v>45985</x:v>
      </x:c>
      <x:c r="B1778" s="103" t="str">
        <x:v>0:00-4:00</x:v>
      </x:c>
      <x:c r="C1778" s="104" t="n">
        <x:v>2541.305396419271</x:v>
      </x:c>
      <x:c r="D1778" s="104" t="n">
        <x:v>131.43533352864586</x:v>
      </x:c>
      <x:c r="E1778" s="105" t="str">
        <x:v>0:00</x:v>
      </x:c>
      <x:c r="F1778" s="104" t="n">
        <x:v>5901.610300415944</x:v>
      </x:c>
    </x:row>
    <x:row r="1779">
      <x:c r="A1779" s="78"/>
      <x:c r="B1779" s="79" t="str">
        <x:v>4:00-8:00</x:v>
      </x:c>
      <x:c r="C1779" s="80" t="n">
        <x:v>2981.6663635752693</x:v>
      </x:c>
      <x:c r="D1779" s="80" t="n">
        <x:v>2765.000995523983</x:v>
      </x:c>
      <x:c r="E1779" s="81" t="str">
        <x:v>24:00</x:v>
      </x:c>
      <x:c r="F1779" s="80" t="n">
        <x:v>5739.156035288627</x:v>
      </x:c>
    </x:row>
    <x:row r="1780">
      <x:c r="A1780" s="78"/>
      <x:c r="B1780" s="79" t="str">
        <x:v>8:00-12:00</x:v>
      </x:c>
      <x:c r="C1780" s="80" t="n">
        <x:v>6014.600879403353</x:v>
      </x:c>
      <x:c r="D1780" s="80" t="n">
        <x:v>5033.445966666666</x:v>
      </x:c>
      <x:c r="E1780" s="81"/>
      <x:c r="F1780" s="80"/>
    </x:row>
    <x:row r="1781">
      <x:c r="A1781" s="78"/>
      <x:c r="B1781" s="79" t="str">
        <x:v>12:00-16:00</x:v>
      </x:c>
      <x:c r="C1781" s="80" t="n">
        <x:v>4522.917396874613</x:v>
      </x:c>
      <x:c r="D1781" s="80" t="n">
        <x:v>1316.595782459732</x:v>
      </x:c>
      <x:c r="E1781" s="81"/>
      <x:c r="F1781" s="80"/>
    </x:row>
    <x:row r="1782">
      <x:c r="A1782" s="78"/>
      <x:c r="B1782" s="79" t="str">
        <x:v>16:00-20:00</x:v>
      </x:c>
      <x:c r="C1782" s="80" t="n">
        <x:v>62.83551036191341</x:v>
      </x:c>
      <x:c r="D1782" s="80" t="n">
        <x:v>5982.269447190967</x:v>
      </x:c>
      <x:c r="E1782" s="81"/>
      <x:c r="F1782" s="80"/>
    </x:row>
    <x:row r="1783">
      <x:c r="A1783" s="98"/>
      <x:c r="B1783" s="99" t="str">
        <x:v>20:00-24:00</x:v>
      </x:c>
      <x:c r="C1783" s="100" t="n">
        <x:v>5220.788009587994</x:v>
      </x:c>
      <x:c r="D1783" s="100" t="n">
        <x:v>2206.1932937847423</x:v>
      </x:c>
      <x:c r="E1783" s="101"/>
      <x:c r="F1783" s="100"/>
    </x:row>
    <x:row r="1784">
      <x:c r="A1784" s="102" t="n">
        <x:v>45986</x:v>
      </x:c>
      <x:c r="B1784" s="103" t="str">
        <x:v>0:00-4:00</x:v>
      </x:c>
      <x:c r="C1784" s="104" t="n">
        <x:v>3247.137531753956</x:v>
      </x:c>
      <x:c r="D1784" s="104" t="n">
        <x:v>142.53858710937482</x:v>
      </x:c>
      <x:c r="E1784" s="105" t="str">
        <x:v>0:00</x:v>
      </x:c>
      <x:c r="F1784" s="104" t="n">
        <x:v>5739.156035288627</x:v>
      </x:c>
    </x:row>
    <x:row r="1785">
      <x:c r="A1785" s="78"/>
      <x:c r="B1785" s="79" t="str">
        <x:v>4:00-8:00</x:v>
      </x:c>
      <x:c r="C1785" s="80" t="n">
        <x:v>2471.7521978368077</x:v>
      </x:c>
      <x:c r="D1785" s="80" t="n">
        <x:v>2877.8098706893356</x:v>
      </x:c>
      <x:c r="E1785" s="81" t="str">
        <x:v>24:00</x:v>
      </x:c>
      <x:c r="F1785" s="80" t="n">
        <x:v>5910.321385230758</x:v>
      </x:c>
    </x:row>
    <x:row r="1786">
      <x:c r="A1786" s="78"/>
      <x:c r="B1786" s="79" t="str">
        <x:v>8:00-12:00</x:v>
      </x:c>
      <x:c r="C1786" s="80" t="n">
        <x:v>5311.28437403791</x:v>
      </x:c>
      <x:c r="D1786" s="80" t="n">
        <x:v>5697.192654929573</x:v>
      </x:c>
      <x:c r="E1786" s="81"/>
      <x:c r="F1786" s="80"/>
    </x:row>
    <x:row r="1787">
      <x:c r="A1787" s="78"/>
      <x:c r="B1787" s="79" t="str">
        <x:v>12:00-16:00</x:v>
      </x:c>
      <x:c r="C1787" s="80" t="n">
        <x:v>5408.298431353819</x:v>
      </x:c>
      <x:c r="D1787" s="80" t="n">
        <x:v>1107.752742539671</x:v>
      </x:c>
      <x:c r="E1787" s="81"/>
      <x:c r="F1787" s="80"/>
    </x:row>
    <x:row r="1788">
      <x:c r="A1788" s="78"/>
      <x:c r="B1788" s="79" t="str">
        <x:v>16:00-20:00</x:v>
      </x:c>
      <x:c r="C1788" s="80" t="n">
        <x:v>43.96828547159521</x:v>
      </x:c>
      <x:c r="D1788" s="80" t="n">
        <x:v>6729.276691206949</x:v>
      </x:c>
      <x:c r="E1788" s="81"/>
      <x:c r="F1788" s="80"/>
    </x:row>
    <x:row r="1789">
      <x:c r="A1789" s="98"/>
      <x:c r="B1789" s="99" t="str">
        <x:v>20:00-24:00</x:v>
      </x:c>
      <x:c r="C1789" s="100" t="n">
        <x:v>5307.192487712994</x:v>
      </x:c>
      <x:c r="D1789" s="100" t="n">
        <x:v>940.9836181925133</x:v>
      </x:c>
      <x:c r="E1789" s="101"/>
      <x:c r="F1789" s="100"/>
    </x:row>
    <x:row r="1790">
      <x:c r="A1790" s="102" t="n">
        <x:v>45987</x:v>
      </x:c>
      <x:c r="B1790" s="103" t="str">
        <x:v>0:00-4:00</x:v>
      </x:c>
      <x:c r="C1790" s="104" t="n">
        <x:v>3977.133406340824</x:v>
      </x:c>
      <x:c r="D1790" s="104" t="n">
        <x:v>82.54161523437506</x:v>
      </x:c>
      <x:c r="E1790" s="105" t="str">
        <x:v>0:00</x:v>
      </x:c>
      <x:c r="F1790" s="104" t="n">
        <x:v>5910.321385230758</x:v>
      </x:c>
    </x:row>
    <x:row r="1791">
      <x:c r="A1791" s="78"/>
      <x:c r="B1791" s="79" t="str">
        <x:v>4:00-8:00</x:v>
      </x:c>
      <x:c r="C1791" s="80" t="n">
        <x:v>1699.6656090127058</x:v>
      </x:c>
      <x:c r="D1791" s="80" t="n">
        <x:v>2876.2563478660404</x:v>
      </x:c>
      <x:c r="E1791" s="81" t="str">
        <x:v>24:00</x:v>
      </x:c>
      <x:c r="F1791" s="80" t="n">
        <x:v>5882.611509351065</x:v>
      </x:c>
    </x:row>
    <x:row r="1792">
      <x:c r="A1792" s="78"/>
      <x:c r="B1792" s="79" t="str">
        <x:v>8:00-12:00</x:v>
      </x:c>
      <x:c r="C1792" s="80" t="n">
        <x:v>5527.772217348338</x:v>
      </x:c>
      <x:c r="D1792" s="80" t="n">
        <x:v>5878.698486043625</x:v>
      </x:c>
      <x:c r="E1792" s="81"/>
      <x:c r="F1792" s="80"/>
    </x:row>
    <x:row r="1793">
      <x:c r="A1793" s="78"/>
      <x:c r="B1793" s="79" t="str">
        <x:v>12:00-16:00</x:v>
      </x:c>
      <x:c r="C1793" s="80" t="n">
        <x:v>5009.725812404198</x:v>
      </x:c>
      <x:c r="D1793" s="80" t="n">
        <x:v>1719.8502163944427</x:v>
      </x:c>
      <x:c r="E1793" s="81"/>
      <x:c r="F1793" s="80"/>
    </x:row>
    <x:row r="1794">
      <x:c r="A1794" s="78"/>
      <x:c r="B1794" s="79" t="str">
        <x:v>16:00-20:00</x:v>
      </x:c>
      <x:c r="C1794" s="80" t="n">
        <x:v>92.06796596952267</x:v>
      </x:c>
      <x:c r="D1794" s="80" t="n">
        <x:v>6568.830287665518</x:v>
      </x:c>
      <x:c r="E1794" s="81"/>
      <x:c r="F1794" s="80"/>
    </x:row>
    <x:row r="1795">
      <x:c r="A1795" s="98"/>
      <x:c r="B1795" s="99" t="str">
        <x:v>20:00-24:00</x:v>
      </x:c>
      <x:c r="C1795" s="100" t="n">
        <x:v>5296.040722588574</x:v>
      </x:c>
      <x:c r="D1795" s="100" t="n">
        <x:v>396.7105793556989</x:v>
      </x:c>
      <x:c r="E1795" s="101"/>
      <x:c r="F1795" s="100"/>
    </x:row>
    <x:row r="1796">
      <x:c r="A1796" s="102" t="n">
        <x:v>45988</x:v>
      </x:c>
      <x:c r="B1796" s="103" t="str">
        <x:v>0:00-4:00</x:v>
      </x:c>
      <x:c r="C1796" s="104" t="n">
        <x:v>4305.232552213542</x:v>
      </x:c>
      <x:c r="D1796" s="104" t="n">
        <x:v>101.16649817708321</x:v>
      </x:c>
      <x:c r="E1796" s="105" t="str">
        <x:v>0:00</x:v>
      </x:c>
      <x:c r="F1796" s="104" t="n">
        <x:v>5882.611509351065</x:v>
      </x:c>
    </x:row>
    <x:row r="1797">
      <x:c r="A1797" s="78"/>
      <x:c r="B1797" s="79" t="str">
        <x:v>4:00-8:00</x:v>
      </x:c>
      <x:c r="C1797" s="80" t="n">
        <x:v>1348.2267007298808</x:v>
      </x:c>
      <x:c r="D1797" s="80" t="n">
        <x:v>2680.687686503968</x:v>
      </x:c>
      <x:c r="E1797" s="81" t="str">
        <x:v>24:00</x:v>
      </x:c>
      <x:c r="F1797" s="80" t="n">
        <x:v>5984.337962438513</x:v>
      </x:c>
    </x:row>
    <x:row r="1798">
      <x:c r="A1798" s="78"/>
      <x:c r="B1798" s="79" t="str">
        <x:v>8:00-12:00</x:v>
      </x:c>
      <x:c r="C1798" s="80" t="n">
        <x:v>5757.865694171903</x:v>
      </x:c>
      <x:c r="D1798" s="80" t="n">
        <x:v>5465.95</x:v>
      </x:c>
      <x:c r="E1798" s="81"/>
      <x:c r="F1798" s="80"/>
    </x:row>
    <x:row r="1799">
      <x:c r="A1799" s="78"/>
      <x:c r="B1799" s="79" t="str">
        <x:v>12:00-16:00</x:v>
      </x:c>
      <x:c r="C1799" s="80" t="n">
        <x:v>5523.603905498307</x:v>
      </x:c>
      <x:c r="D1799" s="80" t="n">
        <x:v>1896.7118483230993</x:v>
      </x:c>
      <x:c r="E1799" s="81"/>
      <x:c r="F1799" s="80"/>
    </x:row>
    <x:row r="1800">
      <x:c r="A1800" s="78"/>
      <x:c r="B1800" s="79" t="str">
        <x:v>16:00-20:00</x:v>
      </x:c>
      <x:c r="C1800" s="80" t="n">
        <x:v>35.45694595747568</x:v>
      </x:c>
      <x:c r="D1800" s="80" t="n">
        <x:v>6779.897337027392</x:v>
      </x:c>
      <x:c r="E1800" s="81"/>
      <x:c r="F1800" s="80"/>
    </x:row>
    <x:row r="1801">
      <x:c r="A1801" s="98"/>
      <x:c r="B1801" s="99" t="str">
        <x:v>20:00-24:00</x:v>
      </x:c>
      <x:c r="C1801" s="100" t="n">
        <x:v>5364.827868098155</x:v>
      </x:c>
      <x:c r="D1801" s="100" t="n">
        <x:v>1075.5558921918594</x:v>
      </x:c>
      <x:c r="E1801" s="101"/>
      <x:c r="F1801" s="100"/>
    </x:row>
    <x:row r="1802">
      <x:c r="A1802" s="102" t="n">
        <x:v>45989</x:v>
      </x:c>
      <x:c r="B1802" s="103" t="str">
        <x:v>0:00-4:00</x:v>
      </x:c>
      <x:c r="C1802" s="104" t="n">
        <x:v>2195.8827147663897</x:v>
      </x:c>
      <x:c r="D1802" s="104" t="n">
        <x:v>209.07526002604158</x:v>
      </x:c>
      <x:c r="E1802" s="105" t="str">
        <x:v>0:00</x:v>
      </x:c>
      <x:c r="F1802" s="104" t="n">
        <x:v>5984.337962438513</x:v>
      </x:c>
    </x:row>
    <x:row r="1803">
      <x:c r="A1803" s="78"/>
      <x:c r="B1803" s="79" t="str">
        <x:v>4:00-8:00</x:v>
      </x:c>
      <x:c r="C1803" s="80" t="n">
        <x:v>33.93611783854169</x:v>
      </x:c>
      <x:c r="D1803" s="80" t="n">
        <x:v>5902.982160578616</x:v>
      </x:c>
      <x:c r="E1803" s="81" t="str">
        <x:v>24:00</x:v>
      </x:c>
      <x:c r="F1803" s="80" t="n">
        <x:v>6084.822801442419</x:v>
      </x:c>
    </x:row>
    <x:row r="1804">
      <x:c r="A1804" s="78"/>
      <x:c r="B1804" s="79" t="str">
        <x:v>8:00-12:00</x:v>
      </x:c>
      <x:c r="C1804" s="80" t="n">
        <x:v>5413.2805</x:v>
      </x:c>
      <x:c r="D1804" s="80" t="n">
        <x:v>0</x:v>
      </x:c>
      <x:c r="E1804" s="81"/>
      <x:c r="F1804" s="80"/>
    </x:row>
    <x:row r="1805">
      <x:c r="A1805" s="78"/>
      <x:c r="B1805" s="79" t="str">
        <x:v>12:00-16:00</x:v>
      </x:c>
      <x:c r="C1805" s="80" t="n">
        <x:v>5298.566258719831</x:v>
      </x:c>
      <x:c r="D1805" s="80" t="n">
        <x:v>111.45466528620794</x:v>
      </x:c>
      <x:c r="E1805" s="81"/>
      <x:c r="F1805" s="80"/>
    </x:row>
    <x:row r="1806">
      <x:c r="A1806" s="78"/>
      <x:c r="B1806" s="79" t="str">
        <x:v>16:00-20:00</x:v>
      </x:c>
      <x:c r="C1806" s="80" t="n">
        <x:v>31.787554979109302</x:v>
      </x:c>
      <x:c r="D1806" s="80" t="n">
        <x:v>6067.6512682308585</x:v>
      </x:c>
      <x:c r="E1806" s="81"/>
      <x:c r="F1806" s="80"/>
    </x:row>
    <x:row r="1807">
      <x:c r="A1807" s="98"/>
      <x:c r="B1807" s="99" t="str">
        <x:v>20:00-24:00</x:v>
      </x:c>
      <x:c r="C1807" s="100" t="n">
        <x:v>5461.074907368827</x:v>
      </x:c>
      <x:c r="D1807" s="100" t="n">
        <x:v>2550.3680142496514</x:v>
      </x:c>
      <x:c r="E1807" s="101"/>
      <x:c r="F1807" s="100"/>
    </x:row>
    <x:row r="1808">
      <x:c r="A1808" s="102" t="n">
        <x:v>45990</x:v>
      </x:c>
      <x:c r="B1808" s="103" t="str">
        <x:v>0:00-4:00</x:v>
      </x:c>
      <x:c r="C1808" s="104" t="n">
        <x:v>2695.069918164062</x:v>
      </x:c>
      <x:c r="D1808" s="104" t="n">
        <x:v>164.08658509114576</x:v>
      </x:c>
      <x:c r="E1808" s="105" t="str">
        <x:v>0:00</x:v>
      </x:c>
      <x:c r="F1808" s="104" t="n">
        <x:v>6084.822801442419</x:v>
      </x:c>
    </x:row>
    <x:row r="1809">
      <x:c r="A1809" s="78"/>
      <x:c r="B1809" s="79" t="str">
        <x:v>4:00-8:00</x:v>
      </x:c>
      <x:c r="C1809" s="80" t="n">
        <x:v>43.65971152343758</x:v>
      </x:c>
      <x:c r="D1809" s="80" t="n">
        <x:v>6450.624936253909</x:v>
      </x:c>
      <x:c r="E1809" s="81" t="str">
        <x:v>24:00</x:v>
      </x:c>
      <x:c r="F1809" s="80" t="n">
        <x:v>5752.082442820458</x:v>
      </x:c>
    </x:row>
    <x:row r="1810">
      <x:c r="A1810" s="78"/>
      <x:c r="B1810" s="79" t="str">
        <x:v>8:00-12:00</x:v>
      </x:c>
      <x:c r="C1810" s="80" t="n">
        <x:v>4275.401433333333</x:v>
      </x:c>
      <x:c r="D1810" s="80" t="n">
        <x:v>0</x:v>
      </x:c>
      <x:c r="E1810" s="81"/>
      <x:c r="F1810" s="80"/>
    </x:row>
    <x:row r="1811">
      <x:c r="A1811" s="78"/>
      <x:c r="B1811" s="79" t="str">
        <x:v>12:00-16:00</x:v>
      </x:c>
      <x:c r="C1811" s="80" t="n">
        <x:v>3940.614066666666</x:v>
      </x:c>
      <x:c r="D1811" s="80" t="n">
        <x:v>336.3717509530641</x:v>
      </x:c>
      <x:c r="E1811" s="81"/>
      <x:c r="F1811" s="80"/>
    </x:row>
    <x:row r="1812">
      <x:c r="A1812" s="78"/>
      <x:c r="B1812" s="79" t="str">
        <x:v>16:00-20:00</x:v>
      </x:c>
      <x:c r="C1812" s="80" t="n">
        <x:v>142.56379002352747</x:v>
      </x:c>
      <x:c r="D1812" s="80" t="n">
        <x:v>6205.773442014875</x:v>
      </x:c>
      <x:c r="E1812" s="81"/>
      <x:c r="F1812" s="80"/>
    </x:row>
    <x:row r="1813">
      <x:c r="A1813" s="98"/>
      <x:c r="B1813" s="99" t="str">
        <x:v>20:00-24:00</x:v>
      </x:c>
      <x:c r="C1813" s="100" t="n">
        <x:v>5288.305432519129</x:v>
      </x:c>
      <x:c r="D1813" s="100" t="n">
        <x:v>414.9572337532006</x:v>
      </x:c>
      <x:c r="E1813" s="101"/>
      <x:c r="F1813" s="100"/>
    </x:row>
    <x:row r="1814">
      <x:c r="A1814" s="102" t="n">
        <x:v>45991</x:v>
      </x:c>
      <x:c r="B1814" s="103" t="str">
        <x:v>0:00-4:00</x:v>
      </x:c>
      <x:c r="C1814" s="104" t="n">
        <x:v>4840.012863814943</x:v>
      </x:c>
      <x:c r="D1814" s="104" t="n">
        <x:v>120.19856601562492</x:v>
      </x:c>
      <x:c r="E1814" s="105" t="str">
        <x:v>0:00</x:v>
      </x:c>
      <x:c r="F1814" s="104" t="n">
        <x:v>5752.082442820458</x:v>
      </x:c>
    </x:row>
    <x:row r="1815">
      <x:c r="A1815" s="78"/>
      <x:c r="B1815" s="79" t="str">
        <x:v>4:00-8:00</x:v>
      </x:c>
      <x:c r="C1815" s="80" t="n">
        <x:v>948.5321750521201</x:v>
      </x:c>
      <x:c r="D1815" s="80" t="n">
        <x:v>2470.2406211600646</x:v>
      </x:c>
      <x:c r="E1815" s="81" t="str">
        <x:v>24:00</x:v>
      </x:c>
      <x:c r="F1815" s="80" t="n">
        <x:v>5805.551172650462</x:v>
      </x:c>
    </x:row>
    <x:row r="1816">
      <x:c r="A1816" s="78"/>
      <x:c r="B1816" s="79" t="str">
        <x:v>8:00-12:00</x:v>
      </x:c>
      <x:c r="C1816" s="80" t="n">
        <x:v>5314.827113353445</x:v>
      </x:c>
      <x:c r="D1816" s="80" t="n">
        <x:v>6195.156492845042</x:v>
      </x:c>
      <x:c r="E1816" s="81"/>
      <x:c r="F1816" s="80"/>
    </x:row>
    <x:row r="1817">
      <x:c r="A1817" s="78"/>
      <x:c r="B1817" s="79" t="str">
        <x:v>12:00-16:00</x:v>
      </x:c>
      <x:c r="C1817" s="80" t="n">
        <x:v>4912.875238019518</x:v>
      </x:c>
      <x:c r="D1817" s="80" t="n">
        <x:v>2085.113393918445</x:v>
      </x:c>
      <x:c r="E1817" s="81"/>
      <x:c r="F1817" s="80"/>
    </x:row>
    <x:row r="1818">
      <x:c r="A1818" s="78"/>
      <x:c r="B1818" s="79" t="str">
        <x:v>16:00-20:00</x:v>
      </x:c>
      <x:c r="C1818" s="80" t="n">
        <x:v>15.51163122503101</x:v>
      </x:c>
      <x:c r="D1818" s="80" t="n">
        <x:v>6211.889931985929</x:v>
      </x:c>
      <x:c r="E1818" s="81"/>
      <x:c r="F1818" s="80"/>
    </x:row>
    <x:row r="1819">
      <x:c r="A1819" s="98"/>
      <x:c r="B1819" s="99" t="str">
        <x:v>20:00-24:00</x:v>
      </x:c>
      <x:c r="C1819" s="100" t="n">
        <x:v>5230.170417762989</x:v>
      </x:c>
      <x:c r="D1819" s="100" t="n">
        <x:v>91.4419830026042</x:v>
      </x:c>
      <x:c r="E1819" s="101"/>
      <x:c r="F1819" s="100"/>
    </x:row>
    <x:row r="1820">
      <x:c r="A1820" s="102" t="n">
        <x:v>45992</x:v>
      </x:c>
      <x:c r="B1820" s="103" t="str">
        <x:v>0:00-4:00</x:v>
      </x:c>
      <x:c r="C1820" s="104" t="n">
        <x:v>3523.746973769451</x:v>
      </x:c>
      <x:c r="D1820" s="104" t="n">
        <x:v>933.2329146484374</x:v>
      </x:c>
      <x:c r="E1820" s="105" t="str">
        <x:v>0:00</x:v>
      </x:c>
      <x:c r="F1820" s="104" t="n">
        <x:v>5805.551172650462</x:v>
      </x:c>
    </x:row>
    <x:row r="1821">
      <x:c r="A1821" s="78"/>
      <x:c r="B1821" s="79" t="str">
        <x:v>4:00-8:00</x:v>
      </x:c>
      <x:c r="C1821" s="80" t="n">
        <x:v>1486.1967783203122</x:v>
      </x:c>
      <x:c r="D1821" s="80" t="n">
        <x:v>3938.129540130274</x:v>
      </x:c>
      <x:c r="E1821" s="81" t="str">
        <x:v>24:00</x:v>
      </x:c>
      <x:c r="F1821" s="80" t="n">
        <x:v>5765.247979696904</x:v>
      </x:c>
    </x:row>
    <x:row r="1822">
      <x:c r="A1822" s="78"/>
      <x:c r="B1822" s="79" t="str">
        <x:v>8:00-12:00</x:v>
      </x:c>
      <x:c r="C1822" s="80" t="n">
        <x:v>5784.484624107862</x:v>
      </x:c>
      <x:c r="D1822" s="80" t="n">
        <x:v>3331.6880397994096</x:v>
      </x:c>
      <x:c r="E1822" s="81"/>
      <x:c r="F1822" s="80"/>
    </x:row>
    <x:row r="1823">
      <x:c r="A1823" s="78"/>
      <x:c r="B1823" s="79" t="str">
        <x:v>12:00-16:00</x:v>
      </x:c>
      <x:c r="C1823" s="80" t="n">
        <x:v>5295.747722731532</x:v>
      </x:c>
      <x:c r="D1823" s="80" t="n">
        <x:v>2802.032271732055</x:v>
      </x:c>
      <x:c r="E1823" s="81"/>
      <x:c r="F1823" s="80"/>
    </x:row>
    <x:row r="1824">
      <x:c r="A1824" s="78"/>
      <x:c r="B1824" s="79" t="str">
        <x:v>16:00-20:00</x:v>
      </x:c>
      <x:c r="C1824" s="80" t="n">
        <x:v>32.910094304079735</x:v>
      </x:c>
      <x:c r="D1824" s="80" t="n">
        <x:v>6199.613105594165</x:v>
      </x:c>
      <x:c r="E1824" s="81"/>
      <x:c r="F1824" s="80"/>
    </x:row>
    <x:row r="1825">
      <x:c r="A1825" s="98"/>
      <x:c r="B1825" s="99" t="str">
        <x:v>20:00-24:00</x:v>
      </x:c>
      <x:c r="C1825" s="100" t="n">
        <x:v>5159.810444458108</x:v>
      </x:c>
      <x:c r="D1825" s="100" t="n">
        <x:v>70.72327828385437</x:v>
      </x:c>
      <x:c r="E1825" s="101"/>
      <x:c r="F1825" s="100"/>
    </x:row>
    <x:row r="1826">
      <x:c r="A1826" s="102" t="n">
        <x:v>45993</x:v>
      </x:c>
      <x:c r="B1826" s="103" t="str">
        <x:v>0:00-4:00</x:v>
      </x:c>
      <x:c r="C1826" s="104" t="n">
        <x:v>4446.763823036426</x:v>
      </x:c>
      <x:c r="D1826" s="104" t="n">
        <x:v>679.1566415364582</x:v>
      </x:c>
      <x:c r="E1826" s="105" t="str">
        <x:v>0:00</x:v>
      </x:c>
      <x:c r="F1826" s="104" t="n">
        <x:v>5765.247979696904</x:v>
      </x:c>
    </x:row>
    <x:row r="1827">
      <x:c r="A1827" s="78"/>
      <x:c r="B1827" s="79" t="str">
        <x:v>4:00-8:00</x:v>
      </x:c>
      <x:c r="C1827" s="80" t="n">
        <x:v>794.5234360026042</x:v>
      </x:c>
      <x:c r="D1827" s="80" t="n">
        <x:v>2555.332483615109</x:v>
      </x:c>
      <x:c r="E1827" s="81" t="str">
        <x:v>24:00</x:v>
      </x:c>
      <x:c r="F1827" s="80" t="n">
        <x:v>5849.666802362557</x:v>
      </x:c>
    </x:row>
    <x:row r="1828">
      <x:c r="A1828" s="78"/>
      <x:c r="B1828" s="79" t="str">
        <x:v>8:00-12:00</x:v>
      </x:c>
      <x:c r="C1828" s="80" t="n">
        <x:v>5271.603743663159</x:v>
      </x:c>
      <x:c r="D1828" s="80" t="n">
        <x:v>5119.676736397262</x:v>
      </x:c>
      <x:c r="E1828" s="81"/>
      <x:c r="F1828" s="80"/>
    </x:row>
    <x:row r="1829">
      <x:c r="A1829" s="78"/>
      <x:c r="B1829" s="79" t="str">
        <x:v>12:00-16:00</x:v>
      </x:c>
      <x:c r="C1829" s="80" t="n">
        <x:v>5303.993442398308</x:v>
      </x:c>
      <x:c r="D1829" s="80" t="n">
        <x:v>2331.6137490945766</x:v>
      </x:c>
      <x:c r="E1829" s="81"/>
      <x:c r="F1829" s="80"/>
    </x:row>
    <x:row r="1830">
      <x:c r="A1830" s="78"/>
      <x:c r="B1830" s="79" t="str">
        <x:v>16:00-20:00</x:v>
      </x:c>
      <x:c r="C1830" s="80" t="n">
        <x:v>51.364124649554356</x:v>
      </x:c>
      <x:c r="D1830" s="80" t="n">
        <x:v>6276.224912581352</x:v>
      </x:c>
      <x:c r="E1830" s="81"/>
      <x:c r="F1830" s="80"/>
    </x:row>
    <x:row r="1831">
      <x:c r="A1831" s="98"/>
      <x:c r="B1831" s="99" t="str">
        <x:v>20:00-24:00</x:v>
      </x:c>
      <x:c r="C1831" s="100" t="n">
        <x:v>5281.283048995307</x:v>
      </x:c>
      <x:c r="D1831" s="100" t="n">
        <x:v>93.1391475598959</x:v>
      </x:c>
      <x:c r="E1831" s="101"/>
      <x:c r="F1831" s="100"/>
    </x:row>
    <x:row r="1832">
      <x:c r="A1832" s="102" t="n">
        <x:v>45994</x:v>
      </x:c>
      <x:c r="B1832" s="103" t="str">
        <x:v>0:00-4:00</x:v>
      </x:c>
      <x:c r="C1832" s="104" t="n">
        <x:v>2878.064460287263</x:v>
      </x:c>
      <x:c r="D1832" s="104" t="n">
        <x:v>662.3765520833331</x:v>
      </x:c>
      <x:c r="E1832" s="105" t="str">
        <x:v>0:00</x:v>
      </x:c>
      <x:c r="F1832" s="104" t="n">
        <x:v>5849.666802362557</x:v>
      </x:c>
    </x:row>
    <x:row r="1833">
      <x:c r="A1833" s="78"/>
      <x:c r="B1833" s="79" t="str">
        <x:v>4:00-8:00</x:v>
      </x:c>
      <x:c r="C1833" s="80" t="n">
        <x:v>3140.7321513971824</x:v>
      </x:c>
      <x:c r="D1833" s="80" t="n">
        <x:v>2610.726273401653</x:v>
      </x:c>
      <x:c r="E1833" s="81" t="str">
        <x:v>24:00</x:v>
      </x:c>
      <x:c r="F1833" s="80" t="n">
        <x:v>5794.594098834635</x:v>
      </x:c>
    </x:row>
    <x:row r="1834">
      <x:c r="A1834" s="78"/>
      <x:c r="B1834" s="79" t="str">
        <x:v>8:00-12:00</x:v>
      </x:c>
      <x:c r="C1834" s="80" t="n">
        <x:v>5430.035229019728</x:v>
      </x:c>
      <x:c r="D1834" s="80" t="n">
        <x:v>5786.822552105716</x:v>
      </x:c>
      <x:c r="E1834" s="81"/>
      <x:c r="F1834" s="80"/>
    </x:row>
    <x:row r="1835">
      <x:c r="A1835" s="78"/>
      <x:c r="B1835" s="79" t="str">
        <x:v>12:00-16:00</x:v>
      </x:c>
      <x:c r="C1835" s="80" t="n">
        <x:v>5824.399816609195</x:v>
      </x:c>
      <x:c r="D1835" s="80" t="n">
        <x:v>2504.3156750562016</x:v>
      </x:c>
      <x:c r="E1835" s="81"/>
      <x:c r="F1835" s="80"/>
    </x:row>
    <x:row r="1836">
      <x:c r="A1836" s="78"/>
      <x:c r="B1836" s="79" t="str">
        <x:v>16:00-20:00</x:v>
      </x:c>
      <x:c r="C1836" s="80" t="n">
        <x:v>106.90466132433471</x:v>
      </x:c>
      <x:c r="D1836" s="80" t="n">
        <x:v>6536.23129118338</x:v>
      </x:c>
      <x:c r="E1836" s="81"/>
      <x:c r="F1836" s="80"/>
    </x:row>
    <x:row r="1837">
      <x:c r="A1837" s="98"/>
      <x:c r="B1837" s="99" t="str">
        <x:v>20:00-24:00</x:v>
      </x:c>
      <x:c r="C1837" s="100" t="n">
        <x:v>5262.427926709586</x:v>
      </x:c>
      <x:c r="D1837" s="100" t="n">
        <x:v>289.5701280761484</x:v>
      </x:c>
      <x:c r="E1837" s="101"/>
      <x:c r="F1837" s="100"/>
    </x:row>
    <x:row r="1838">
      <x:c r="A1838" s="102" t="n">
        <x:v>45995</x:v>
      </x:c>
      <x:c r="B1838" s="103" t="str">
        <x:v>0:00-4:00</x:v>
      </x:c>
      <x:c r="C1838" s="104" t="n">
        <x:v>4516.7023418330455</x:v>
      </x:c>
      <x:c r="D1838" s="104" t="n">
        <x:v>782.5405815755208</x:v>
      </x:c>
      <x:c r="E1838" s="105" t="str">
        <x:v>0:00</x:v>
      </x:c>
      <x:c r="F1838" s="104" t="n">
        <x:v>5794.594098834635</x:v>
      </x:c>
    </x:row>
    <x:row r="1839">
      <x:c r="A1839" s="78"/>
      <x:c r="B1839" s="79" t="str">
        <x:v>4:00-8:00</x:v>
      </x:c>
      <x:c r="C1839" s="80" t="n">
        <x:v>792.8915393880206</x:v>
      </x:c>
      <x:c r="D1839" s="80" t="n">
        <x:v>2249.5184070491873</x:v>
      </x:c>
      <x:c r="E1839" s="81" t="str">
        <x:v>24:00</x:v>
      </x:c>
      <x:c r="F1839" s="80" t="n">
        <x:v>5749.113188226273</x:v>
      </x:c>
    </x:row>
    <x:row r="1840">
      <x:c r="A1840" s="78"/>
      <x:c r="B1840" s="79" t="str">
        <x:v>8:00-12:00</x:v>
      </x:c>
      <x:c r="C1840" s="80" t="n">
        <x:v>5738.829828213778</x:v>
      </x:c>
      <x:c r="D1840" s="80" t="n">
        <x:v>5403.846744115524</x:v>
      </x:c>
      <x:c r="E1840" s="81"/>
      <x:c r="F1840" s="80"/>
    </x:row>
    <x:row r="1841">
      <x:c r="A1841" s="78"/>
      <x:c r="B1841" s="79" t="str">
        <x:v>12:00-16:00</x:v>
      </x:c>
      <x:c r="C1841" s="80" t="n">
        <x:v>6149.775853513182</x:v>
      </x:c>
      <x:c r="D1841" s="80" t="n">
        <x:v>1609.817931146508</x:v>
      </x:c>
      <x:c r="E1841" s="81"/>
      <x:c r="F1841" s="80"/>
    </x:row>
    <x:row r="1842">
      <x:c r="A1842" s="78"/>
      <x:c r="B1842" s="79" t="str">
        <x:v>16:00-20:00</x:v>
      </x:c>
      <x:c r="C1842" s="80" t="n">
        <x:v>2.815569661458426</x:v>
      </x:c>
      <x:c r="D1842" s="80" t="n">
        <x:v>6154.896364186433</x:v>
      </x:c>
      <x:c r="E1842" s="81"/>
      <x:c r="F1842" s="80"/>
    </x:row>
    <x:row r="1843">
      <x:c r="A1843" s="98"/>
      <x:c r="B1843" s="99" t="str">
        <x:v>20:00-24:00</x:v>
      </x:c>
      <x:c r="C1843" s="100" t="n">
        <x:v>5283.867241370884</x:v>
      </x:c>
      <x:c r="D1843" s="100" t="n">
        <x:v>2053.0675143984445</x:v>
      </x:c>
      <x:c r="E1843" s="101"/>
      <x:c r="F1843" s="100"/>
    </x:row>
    <x:row r="1844">
      <x:c r="A1844" s="102" t="n">
        <x:v>45996</x:v>
      </x:c>
      <x:c r="B1844" s="103" t="str">
        <x:v>0:00-4:00</x:v>
      </x:c>
      <x:c r="C1844" s="104" t="n">
        <x:v>4851.944945720288</x:v>
      </x:c>
      <x:c r="D1844" s="104" t="n">
        <x:v>642.4735515625</x:v>
      </x:c>
      <x:c r="E1844" s="105" t="str">
        <x:v>0:00</x:v>
      </x:c>
      <x:c r="F1844" s="104" t="n">
        <x:v>5749.113188226273</x:v>
      </x:c>
    </x:row>
    <x:row r="1845">
      <x:c r="A1845" s="78"/>
      <x:c r="B1845" s="79" t="str">
        <x:v>4:00-8:00</x:v>
      </x:c>
      <x:c r="C1845" s="80" t="n">
        <x:v>0</x:v>
      </x:c>
      <x:c r="D1845" s="80" t="n">
        <x:v>7381.803723874578</x:v>
      </x:c>
      <x:c r="E1845" s="81" t="str">
        <x:v>24:00</x:v>
      </x:c>
      <x:c r="F1845" s="80" t="n">
        <x:v>5786.719855784867</x:v>
      </x:c>
    </x:row>
    <x:row r="1846">
      <x:c r="A1846" s="78"/>
      <x:c r="B1846" s="79" t="str">
        <x:v>8:00-12:00</x:v>
      </x:c>
      <x:c r="C1846" s="80" t="n">
        <x:v>3646.0514666666663</x:v>
      </x:c>
      <x:c r="D1846" s="80" t="n">
        <x:v>0</x:v>
      </x:c>
      <x:c r="E1846" s="81"/>
      <x:c r="F1846" s="80"/>
    </x:row>
    <x:row r="1847">
      <x:c r="A1847" s="78"/>
      <x:c r="B1847" s="79" t="str">
        <x:v>12:00-16:00</x:v>
      </x:c>
      <x:c r="C1847" s="80" t="n">
        <x:v>3382.271616666667</x:v>
      </x:c>
      <x:c r="D1847" s="80" t="n">
        <x:v>286.3912752887586</x:v>
      </x:c>
      <x:c r="E1847" s="81"/>
      <x:c r="F1847" s="80"/>
    </x:row>
    <x:row r="1848">
      <x:c r="A1848" s="78"/>
      <x:c r="B1848" s="79" t="str">
        <x:v>16:00-20:00</x:v>
      </x:c>
      <x:c r="C1848" s="80" t="n">
        <x:v>24.74106616881778</x:v>
      </x:c>
      <x:c r="D1848" s="80" t="n">
        <x:v>5426.590685807983</x:v>
      </x:c>
      <x:c r="E1848" s="81"/>
      <x:c r="F1848" s="80"/>
    </x:row>
    <x:row r="1849">
      <x:c r="A1849" s="98"/>
      <x:c r="B1849" s="99" t="str">
        <x:v>20:00-24:00</x:v>
      </x:c>
      <x:c r="C1849" s="100" t="n">
        <x:v>5352.421669487847</x:v>
      </x:c>
      <x:c r="D1849" s="100" t="n">
        <x:v>207.41368207877602</x:v>
      </x:c>
      <x:c r="E1849" s="101"/>
      <x:c r="F1849" s="100"/>
    </x:row>
    <x:row r="1850">
      <x:c r="A1850" s="102" t="n">
        <x:v>45997</x:v>
      </x:c>
      <x:c r="B1850" s="103" t="str">
        <x:v>0:00-4:00</x:v>
      </x:c>
      <x:c r="C1850" s="104" t="n">
        <x:v>5445.785127274627</x:v>
      </x:c>
      <x:c r="D1850" s="104" t="n">
        <x:v>441.1238181640623</x:v>
      </x:c>
      <x:c r="E1850" s="105" t="str">
        <x:v>0:00</x:v>
      </x:c>
      <x:c r="F1850" s="104" t="n">
        <x:v>5786.719855784867</x:v>
      </x:c>
    </x:row>
    <x:row r="1851">
      <x:c r="A1851" s="78"/>
      <x:c r="B1851" s="79" t="str">
        <x:v>4:00-8:00</x:v>
      </x:c>
      <x:c r="C1851" s="80" t="n">
        <x:v>7.741137434895904</x:v>
      </x:c>
      <x:c r="D1851" s="80" t="n">
        <x:v>7006.137866210937</x:v>
      </x:c>
      <x:c r="E1851" s="81" t="str">
        <x:v>24:00</x:v>
      </x:c>
      <x:c r="F1851" s="80" t="n">
        <x:v>5836.604463121384</x:v>
      </x:c>
    </x:row>
    <x:row r="1852">
      <x:c r="A1852" s="78"/>
      <x:c r="B1852" s="79" t="str">
        <x:v>8:00-12:00</x:v>
      </x:c>
      <x:c r="C1852" s="80" t="n">
        <x:v>2803.65918060654</x:v>
      </x:c>
      <x:c r="D1852" s="80" t="n">
        <x:v>1098.142460246098</x:v>
      </x:c>
      <x:c r="E1852" s="81"/>
      <x:c r="F1852" s="80"/>
    </x:row>
    <x:row r="1853">
      <x:c r="A1853" s="78"/>
      <x:c r="B1853" s="79" t="str">
        <x:v>12:00-16:00</x:v>
      </x:c>
      <x:c r="C1853" s="80" t="n">
        <x:v>4326.467207737594</x:v>
      </x:c>
      <x:c r="D1853" s="80" t="n">
        <x:v>242.25656752746465</x:v>
      </x:c>
      <x:c r="E1853" s="81"/>
      <x:c r="F1853" s="80"/>
    </x:row>
    <x:row r="1854">
      <x:c r="A1854" s="78"/>
      <x:c r="B1854" s="79" t="str">
        <x:v>16:00-20:00</x:v>
      </x:c>
      <x:c r="C1854" s="80" t="n">
        <x:v>115.17981080739861</x:v>
      </x:c>
      <x:c r="D1854" s="80" t="n">
        <x:v>5626.441453785276</x:v>
      </x:c>
      <x:c r="E1854" s="81"/>
      <x:c r="F1854" s="80"/>
    </x:row>
    <x:row r="1855">
      <x:c r="A1855" s="98"/>
      <x:c r="B1855" s="99" t="str">
        <x:v>20:00-24:00</x:v>
      </x:c>
      <x:c r="C1855" s="100" t="n">
        <x:v>5926.515243794206</x:v>
      </x:c>
      <x:c r="D1855" s="100" t="n">
        <x:v>627.5333306640625</x:v>
      </x:c>
      <x:c r="E1855" s="101"/>
      <x:c r="F1855" s="100"/>
    </x:row>
    <x:row r="1856">
      <x:c r="A1856" s="102" t="n">
        <x:v>45998</x:v>
      </x:c>
      <x:c r="B1856" s="103" t="str">
        <x:v>0:00-4:00</x:v>
      </x:c>
      <x:c r="C1856" s="104" t="n">
        <x:v>5556.049543229166</x:v>
      </x:c>
      <x:c r="D1856" s="104" t="n">
        <x:v>1252.1625945963544</x:v>
      </x:c>
      <x:c r="E1856" s="105" t="str">
        <x:v>0:00</x:v>
      </x:c>
      <x:c r="F1856" s="104" t="n">
        <x:v>5836.604463121384</x:v>
      </x:c>
    </x:row>
    <x:row r="1857">
      <x:c r="A1857" s="78"/>
      <x:c r="B1857" s="79" t="str">
        <x:v>4:00-8:00</x:v>
      </x:c>
      <x:c r="C1857" s="80" t="n">
        <x:v>392.04048975613966</x:v>
      </x:c>
      <x:c r="D1857" s="80" t="n">
        <x:v>2147.7333786529334</x:v>
      </x:c>
      <x:c r="E1857" s="81" t="str">
        <x:v>24:00</x:v>
      </x:c>
      <x:c r="F1857" s="80" t="n">
        <x:v>5756.67417623698</x:v>
      </x:c>
    </x:row>
    <x:row r="1858">
      <x:c r="A1858" s="78"/>
      <x:c r="B1858" s="79" t="str">
        <x:v>8:00-12:00</x:v>
      </x:c>
      <x:c r="C1858" s="80" t="n">
        <x:v>5818.122181120347</x:v>
      </x:c>
      <x:c r="D1858" s="80" t="n">
        <x:v>5624.006333403724</x:v>
      </x:c>
      <x:c r="E1858" s="81"/>
      <x:c r="F1858" s="80"/>
    </x:row>
    <x:row r="1859">
      <x:c r="A1859" s="78"/>
      <x:c r="B1859" s="79" t="str">
        <x:v>12:00-16:00</x:v>
      </x:c>
      <x:c r="C1859" s="80" t="n">
        <x:v>6775.001348082609</x:v>
      </x:c>
      <x:c r="D1859" s="80" t="n">
        <x:v>2750.0047238471348</x:v>
      </x:c>
      <x:c r="E1859" s="81"/>
      <x:c r="F1859" s="80"/>
    </x:row>
    <x:row r="1860">
      <x:c r="A1860" s="78"/>
      <x:c r="B1860" s="79" t="str">
        <x:v>16:00-20:00</x:v>
      </x:c>
      <x:c r="C1860" s="80" t="n">
        <x:v>16.48566778848908</x:v>
      </x:c>
      <x:c r="D1860" s="80" t="n">
        <x:v>6109.81617560883</x:v>
      </x:c>
      <x:c r="E1860" s="81"/>
      <x:c r="F1860" s="80"/>
    </x:row>
    <x:row r="1861">
      <x:c r="A1861" s="98"/>
      <x:c r="B1861" s="99" t="str">
        <x:v>20:00-24:00</x:v>
      </x:c>
      <x:c r="C1861" s="100" t="n">
        <x:v>5266.778419519997</x:v>
      </x:c>
      <x:c r="D1861" s="100" t="n">
        <x:v>1486.0409481793522</x:v>
      </x:c>
      <x:c r="E1861" s="101"/>
      <x:c r="F1861" s="100"/>
    </x:row>
    <x:row r="1862">
      <x:c r="A1862" s="102" t="n">
        <x:v>45999</x:v>
      </x:c>
      <x:c r="B1862" s="103" t="str">
        <x:v>0:00-4:00</x:v>
      </x:c>
      <x:c r="C1862" s="104" t="n">
        <x:v>4820.576580765333</x:v>
      </x:c>
      <x:c r="D1862" s="104" t="n">
        <x:v>339.85510292968775</x:v>
      </x:c>
      <x:c r="E1862" s="105" t="str">
        <x:v>0:00</x:v>
      </x:c>
      <x:c r="F1862" s="104" t="n">
        <x:v>5756.67417623698</x:v>
      </x:c>
    </x:row>
    <x:row r="1863">
      <x:c r="A1863" s="78"/>
      <x:c r="B1863" s="79" t="str">
        <x:v>4:00-8:00</x:v>
      </x:c>
      <x:c r="C1863" s="80" t="n">
        <x:v>1669.1560285515056</x:v>
      </x:c>
      <x:c r="D1863" s="80" t="n">
        <x:v>1894.3796783816233</x:v>
      </x:c>
      <x:c r="E1863" s="81" t="str">
        <x:v>24:00</x:v>
      </x:c>
      <x:c r="F1863" s="80" t="n">
        <x:v>6000.9881119053825</x:v>
      </x:c>
    </x:row>
    <x:row r="1864">
      <x:c r="A1864" s="78"/>
      <x:c r="B1864" s="79" t="str">
        <x:v>8:00-12:00</x:v>
      </x:c>
      <x:c r="C1864" s="80" t="n">
        <x:v>5658.801785050551</x:v>
      </x:c>
      <x:c r="D1864" s="80" t="n">
        <x:v>7123.455390848612</x:v>
      </x:c>
      <x:c r="E1864" s="81"/>
      <x:c r="F1864" s="80"/>
    </x:row>
    <x:row r="1865">
      <x:c r="A1865" s="78"/>
      <x:c r="B1865" s="79" t="str">
        <x:v>12:00-16:00</x:v>
      </x:c>
      <x:c r="C1865" s="80" t="n">
        <x:v>6646.486757914065</x:v>
      </x:c>
      <x:c r="D1865" s="80" t="n">
        <x:v>3014.34902707304</x:v>
      </x:c>
      <x:c r="E1865" s="81"/>
      <x:c r="F1865" s="80"/>
    </x:row>
    <x:row r="1866">
      <x:c r="A1866" s="78"/>
      <x:c r="B1866" s="79" t="str">
        <x:v>16:00-20:00</x:v>
      </x:c>
      <x:c r="C1866" s="80" t="n">
        <x:v>148.02358789524942</x:v>
      </x:c>
      <x:c r="D1866" s="80" t="n">
        <x:v>5852.293713297722</x:v>
      </x:c>
      <x:c r="E1866" s="81"/>
      <x:c r="F1866" s="80"/>
    </x:row>
    <x:row r="1867">
      <x:c r="A1867" s="98"/>
      <x:c r="B1867" s="99" t="str">
        <x:v>20:00-24:00</x:v>
      </x:c>
      <x:c r="C1867" s="100" t="n">
        <x:v>5384.124288512731</x:v>
      </x:c>
      <x:c r="D1867" s="100" t="n">
        <x:v>1260.7914586061956</x:v>
      </x:c>
      <x:c r="E1867" s="101"/>
      <x:c r="F1867" s="100"/>
    </x:row>
    <x:row r="1868">
      <x:c r="A1868" s="102" t="n">
        <x:v>46000</x:v>
      </x:c>
      <x:c r="B1868" s="103" t="str">
        <x:v>0:00-4:00</x:v>
      </x:c>
      <x:c r="C1868" s="104" t="n">
        <x:v>4470.763767023533</x:v>
      </x:c>
      <x:c r="D1868" s="104" t="n">
        <x:v>229.0282458984376</x:v>
      </x:c>
      <x:c r="E1868" s="105" t="str">
        <x:v>0:00</x:v>
      </x:c>
      <x:c r="F1868" s="104" t="n">
        <x:v>6000.9881119053825</x:v>
      </x:c>
    </x:row>
    <x:row r="1869">
      <x:c r="A1869" s="78"/>
      <x:c r="B1869" s="79" t="str">
        <x:v>4:00-8:00</x:v>
      </x:c>
      <x:c r="C1869" s="80" t="n">
        <x:v>887.2625730855152</x:v>
      </x:c>
      <x:c r="D1869" s="80" t="n">
        <x:v>1218.381478710574</x:v>
      </x:c>
      <x:c r="E1869" s="81" t="str">
        <x:v>24:00</x:v>
      </x:c>
      <x:c r="F1869" s="80" t="n">
        <x:v>5975.579760653791</x:v>
      </x:c>
    </x:row>
    <x:row r="1870">
      <x:c r="A1870" s="78"/>
      <x:c r="B1870" s="79" t="str">
        <x:v>8:00-12:00</x:v>
      </x:c>
      <x:c r="C1870" s="80" t="n">
        <x:v>5919.990300365016</x:v>
      </x:c>
      <x:c r="D1870" s="80" t="n">
        <x:v>7213.480911594155</x:v>
      </x:c>
      <x:c r="E1870" s="81"/>
      <x:c r="F1870" s="80"/>
    </x:row>
    <x:row r="1871">
      <x:c r="A1871" s="78"/>
      <x:c r="B1871" s="79" t="str">
        <x:v>12:00-16:00</x:v>
      </x:c>
      <x:c r="C1871" s="80" t="n">
        <x:v>7887.033472706713</x:v>
      </x:c>
      <x:c r="D1871" s="80" t="n">
        <x:v>3045.356588383378</x:v>
      </x:c>
      <x:c r="E1871" s="81"/>
      <x:c r="F1871" s="80"/>
    </x:row>
    <x:row r="1872">
      <x:c r="A1872" s="78"/>
      <x:c r="B1872" s="79" t="str">
        <x:v>16:00-20:00</x:v>
      </x:c>
      <x:c r="C1872" s="80" t="n">
        <x:v>6.973783836756752</x:v>
      </x:c>
      <x:c r="D1872" s="80" t="n">
        <x:v>5437.2504700755635</x:v>
      </x:c>
      <x:c r="E1872" s="81"/>
      <x:c r="F1872" s="80"/>
    </x:row>
    <x:row r="1873">
      <x:c r="A1873" s="98"/>
      <x:c r="B1873" s="99" t="str">
        <x:v>20:00-24:00</x:v>
      </x:c>
      <x:c r="C1873" s="100" t="n">
        <x:v>5339.129194981193</x:v>
      </x:c>
      <x:c r="D1873" s="100" t="n">
        <x:v>2733.4038259832823</x:v>
      </x:c>
      <x:c r="E1873" s="101"/>
      <x:c r="F1873" s="100"/>
    </x:row>
    <x:row r="1874">
      <x:c r="A1874" s="102" t="n">
        <x:v>46001</x:v>
      </x:c>
      <x:c r="B1874" s="103" t="str">
        <x:v>0:00-4:00</x:v>
      </x:c>
      <x:c r="C1874" s="104" t="n">
        <x:v>4558.054374859504</x:v>
      </x:c>
      <x:c r="D1874" s="104" t="n">
        <x:v>332.9883507812499</x:v>
      </x:c>
      <x:c r="E1874" s="105" t="str">
        <x:v>0:00</x:v>
      </x:c>
      <x:c r="F1874" s="104" t="n">
        <x:v>5975.579760653791</x:v>
      </x:c>
    </x:row>
    <x:row r="1875">
      <x:c r="A1875" s="78"/>
      <x:c r="B1875" s="79" t="str">
        <x:v>4:00-8:00</x:v>
      </x:c>
      <x:c r="C1875" s="80" t="n">
        <x:v>1744.091946313241</x:v>
      </x:c>
      <x:c r="D1875" s="80" t="n">
        <x:v>1848.3377704795694</x:v>
      </x:c>
      <x:c r="E1875" s="81" t="str">
        <x:v>24:00</x:v>
      </x:c>
      <x:c r="F1875" s="80" t="n">
        <x:v>5793.914752950377</x:v>
      </x:c>
    </x:row>
    <x:row r="1876">
      <x:c r="A1876" s="78"/>
      <x:c r="B1876" s="79" t="str">
        <x:v>8:00-12:00</x:v>
      </x:c>
      <x:c r="C1876" s="80" t="n">
        <x:v>5631.002398585837</x:v>
      </x:c>
      <x:c r="D1876" s="80" t="n">
        <x:v>7221.434183477511</x:v>
      </x:c>
      <x:c r="E1876" s="81"/>
      <x:c r="F1876" s="80"/>
    </x:row>
    <x:row r="1877">
      <x:c r="A1877" s="78"/>
      <x:c r="B1877" s="79" t="str">
        <x:v>12:00-16:00</x:v>
      </x:c>
      <x:c r="C1877" s="80" t="n">
        <x:v>7353.607581352776</x:v>
      </x:c>
      <x:c r="D1877" s="80" t="n">
        <x:v>3231.5775970092136</x:v>
      </x:c>
      <x:c r="E1877" s="81"/>
      <x:c r="F1877" s="80"/>
    </x:row>
    <x:row r="1878">
      <x:c r="A1878" s="78"/>
      <x:c r="B1878" s="79" t="str">
        <x:v>16:00-20:00</x:v>
      </x:c>
      <x:c r="C1878" s="80" t="n">
        <x:v>160.91144263696992</x:v>
      </x:c>
      <x:c r="D1878" s="80" t="n">
        <x:v>5332.11712404006</x:v>
      </x:c>
      <x:c r="E1878" s="81"/>
      <x:c r="F1878" s="80"/>
    </x:row>
    <x:row r="1879">
      <x:c r="A1879" s="98"/>
      <x:c r="B1879" s="99" t="str">
        <x:v>20:00-24:00</x:v>
      </x:c>
      <x:c r="C1879" s="100" t="n">
        <x:v>5166.498015567612</x:v>
      </x:c>
      <x:c r="D1879" s="100" t="n">
        <x:v>2134.517746191376</x:v>
      </x:c>
      <x:c r="E1879" s="101"/>
      <x:c r="F1879" s="100"/>
    </x:row>
    <x:row r="1880">
      <x:c r="A1880" s="102" t="n">
        <x:v>46002</x:v>
      </x:c>
      <x:c r="B1880" s="103" t="str">
        <x:v>0:00-4:00</x:v>
      </x:c>
      <x:c r="C1880" s="104" t="n">
        <x:v>4755.165597351143</x:v>
      </x:c>
      <x:c r="D1880" s="104" t="n">
        <x:v>245.8499069661459</x:v>
      </x:c>
      <x:c r="E1880" s="105" t="str">
        <x:v>0:00</x:v>
      </x:c>
      <x:c r="F1880" s="104" t="n">
        <x:v>5793.914752950377</x:v>
      </x:c>
    </x:row>
    <x:row r="1881">
      <x:c r="A1881" s="78"/>
      <x:c r="B1881" s="79" t="str">
        <x:v>4:00-8:00</x:v>
      </x:c>
      <x:c r="C1881" s="80" t="n">
        <x:v>1197.095519711284</x:v>
      </x:c>
      <x:c r="D1881" s="80" t="n">
        <x:v>941.1385270606942</x:v>
      </x:c>
      <x:c r="E1881" s="81" t="str">
        <x:v>24:00</x:v>
      </x:c>
      <x:c r="F1881" s="80" t="n">
        <x:v>5882.7736488382525</x:v>
      </x:c>
    </x:row>
    <x:row r="1882">
      <x:c r="A1882" s="78"/>
      <x:c r="B1882" s="79" t="str">
        <x:v>8:00-12:00</x:v>
      </x:c>
      <x:c r="C1882" s="80" t="n">
        <x:v>5615.714750438624</x:v>
      </x:c>
      <x:c r="D1882" s="80" t="n">
        <x:v>7564.721229263968</x:v>
      </x:c>
      <x:c r="E1882" s="81"/>
      <x:c r="F1882" s="80"/>
    </x:row>
    <x:row r="1883">
      <x:c r="A1883" s="78"/>
      <x:c r="B1883" s="79" t="str">
        <x:v>12:00-16:00</x:v>
      </x:c>
      <x:c r="C1883" s="80" t="n">
        <x:v>7245.009670320515</x:v>
      </x:c>
      <x:c r="D1883" s="80" t="n">
        <x:v>2027.1098355760005</x:v>
      </x:c>
      <x:c r="E1883" s="81"/>
      <x:c r="F1883" s="80"/>
    </x:row>
    <x:row r="1884">
      <x:c r="A1884" s="78"/>
      <x:c r="B1884" s="79" t="str">
        <x:v>16:00-20:00</x:v>
      </x:c>
      <x:c r="C1884" s="80" t="n">
        <x:v>70.72866988096325</x:v>
      </x:c>
      <x:c r="D1884" s="80" t="n">
        <x:v>5132.960198070308</x:v>
      </x:c>
      <x:c r="E1884" s="81"/>
      <x:c r="F1884" s="80"/>
    </x:row>
    <x:row r="1885">
      <x:c r="A1885" s="98"/>
      <x:c r="B1885" s="99" t="str">
        <x:v>20:00-24:00</x:v>
      </x:c>
      <x:c r="C1885" s="100" t="n">
        <x:v>5303.058610230195</x:v>
      </x:c>
      <x:c r="D1885" s="100" t="n">
        <x:v>3599.533279289305</x:v>
      </x:c>
      <x:c r="E1885" s="101"/>
      <x:c r="F1885" s="100"/>
    </x:row>
    <x:row r="1886">
      <x:c r="A1886" s="102" t="n">
        <x:v>46003</x:v>
      </x:c>
      <x:c r="B1886" s="103" t="str">
        <x:v>0:00-4:00</x:v>
      </x:c>
      <x:c r="C1886" s="104" t="n">
        <x:v>5369.284007605935</x:v>
      </x:c>
      <x:c r="D1886" s="104" t="n">
        <x:v>247.74683951822908</x:v>
      </x:c>
      <x:c r="E1886" s="105" t="str">
        <x:v>0:00</x:v>
      </x:c>
      <x:c r="F1886" s="104" t="n">
        <x:v>5882.7736488382525</x:v>
      </x:c>
    </x:row>
    <x:row r="1887">
      <x:c r="A1887" s="78"/>
      <x:c r="B1887" s="79" t="str">
        <x:v>4:00-8:00</x:v>
      </x:c>
      <x:c r="C1887" s="80" t="n">
        <x:v>0</x:v>
      </x:c>
      <x:c r="D1887" s="80" t="n">
        <x:v>7166.882666210937</x:v>
      </x:c>
      <x:c r="E1887" s="81" t="str">
        <x:v>24:00</x:v>
      </x:c>
      <x:c r="F1887" s="80" t="n">
        <x:v>6042.395542973234</x:v>
      </x:c>
    </x:row>
    <x:row r="1888">
      <x:c r="A1888" s="78"/>
      <x:c r="B1888" s="79" t="str">
        <x:v>8:00-12:00</x:v>
      </x:c>
      <x:c r="C1888" s="80" t="n">
        <x:v>3749.368083863518</x:v>
      </x:c>
      <x:c r="D1888" s="80" t="n">
        <x:v>1148.9868243860687</x:v>
      </x:c>
      <x:c r="E1888" s="81"/>
      <x:c r="F1888" s="80"/>
    </x:row>
    <x:row r="1889">
      <x:c r="A1889" s="78"/>
      <x:c r="B1889" s="79" t="str">
        <x:v>12:00-16:00</x:v>
      </x:c>
      <x:c r="C1889" s="80" t="n">
        <x:v>2914.8789523545884</x:v>
      </x:c>
      <x:c r="D1889" s="80" t="n">
        <x:v>96.15516795223803</x:v>
      </x:c>
      <x:c r="E1889" s="81"/>
      <x:c r="F1889" s="80"/>
    </x:row>
    <x:row r="1890">
      <x:c r="A1890" s="78"/>
      <x:c r="B1890" s="79" t="str">
        <x:v>16:00-20:00</x:v>
      </x:c>
      <x:c r="C1890" s="80" t="n">
        <x:v>146.39814013972017</x:v>
      </x:c>
      <x:c r="D1890" s="80" t="n">
        <x:v>5420.4674248976</x:v>
      </x:c>
      <x:c r="E1890" s="81"/>
      <x:c r="F1890" s="80"/>
    </x:row>
    <x:row r="1891">
      <x:c r="A1891" s="98"/>
      <x:c r="B1891" s="99" t="str">
        <x:v>20:00-24:00</x:v>
      </x:c>
      <x:c r="C1891" s="100" t="n">
        <x:v>5883.989170288548</x:v>
      </x:c>
      <x:c r="D1891" s="100" t="n">
        <x:v>407.87523925781255</x:v>
      </x:c>
      <x:c r="E1891" s="101"/>
      <x:c r="F1891" s="100"/>
    </x:row>
    <x:row r="1892">
      <x:c r="A1892" s="102" t="n">
        <x:v>46004</x:v>
      </x:c>
      <x:c r="B1892" s="103" t="str">
        <x:v>0:00-4:00</x:v>
      </x:c>
      <x:c r="C1892" s="104" t="n">
        <x:v>5200.943782351788</x:v>
      </x:c>
      <x:c r="D1892" s="104" t="n">
        <x:v>260.33329557291677</x:v>
      </x:c>
      <x:c r="E1892" s="105" t="str">
        <x:v>0:00</x:v>
      </x:c>
      <x:c r="F1892" s="104" t="n">
        <x:v>6042.395542973234</x:v>
      </x:c>
    </x:row>
    <x:row r="1893">
      <x:c r="A1893" s="78"/>
      <x:c r="B1893" s="79" t="str">
        <x:v>4:00-8:00</x:v>
      </x:c>
      <x:c r="C1893" s="80" t="n">
        <x:v>58.43630494791654</x:v>
      </x:c>
      <x:c r="D1893" s="80" t="n">
        <x:v>7006.191428190104</x:v>
      </x:c>
      <x:c r="E1893" s="81" t="str">
        <x:v>24:00</x:v>
      </x:c>
      <x:c r="F1893" s="80" t="n">
        <x:v>5968.947419327979</x:v>
      </x:c>
    </x:row>
    <x:row r="1894">
      <x:c r="A1894" s="78"/>
      <x:c r="B1894" s="79" t="str">
        <x:v>8:00-12:00</x:v>
      </x:c>
      <x:c r="C1894" s="80" t="n">
        <x:v>3511.4471561901537</x:v>
      </x:c>
      <x:c r="D1894" s="80" t="n">
        <x:v>1351.729135625647</x:v>
      </x:c>
      <x:c r="E1894" s="81"/>
      <x:c r="F1894" s="80"/>
    </x:row>
    <x:row r="1895">
      <x:c r="A1895" s="78"/>
      <x:c r="B1895" s="79" t="str">
        <x:v>12:00-16:00</x:v>
      </x:c>
      <x:c r="C1895" s="80" t="n">
        <x:v>4646.238576511535</x:v>
      </x:c>
      <x:c r="D1895" s="80" t="n">
        <x:v>82.66789805612453</x:v>
      </x:c>
      <x:c r="E1895" s="81"/>
      <x:c r="F1895" s="80"/>
    </x:row>
    <x:row r="1896">
      <x:c r="A1896" s="78"/>
      <x:c r="B1896" s="79" t="str">
        <x:v>16:00-20:00</x:v>
      </x:c>
      <x:c r="C1896" s="80" t="n">
        <x:v>90.08938190585508</x:v>
      </x:c>
      <x:c r="D1896" s="80" t="n">
        <x:v>6273.184445551666</x:v>
      </x:c>
      <x:c r="E1896" s="81"/>
      <x:c r="F1896" s="80"/>
    </x:row>
    <x:row r="1897">
      <x:c r="A1897" s="98"/>
      <x:c r="B1897" s="99" t="str">
        <x:v>20:00-24:00</x:v>
      </x:c>
      <x:c r="C1897" s="100" t="n">
        <x:v>6080.52104341001</x:v>
      </x:c>
      <x:c r="D1897" s="100" t="n">
        <x:v>958.0148669912508</x:v>
      </x:c>
      <x:c r="E1897" s="101"/>
      <x:c r="F1897" s="100"/>
    </x:row>
    <x:row r="1898">
      <x:c r="A1898" s="102" t="n">
        <x:v>46005</x:v>
      </x:c>
      <x:c r="B1898" s="103" t="str">
        <x:v>0:00-4:00</x:v>
      </x:c>
      <x:c r="C1898" s="104" t="n">
        <x:v>4600.17825120242</x:v>
      </x:c>
      <x:c r="D1898" s="104" t="n">
        <x:v>190.98193750000007</x:v>
      </x:c>
      <x:c r="E1898" s="105" t="str">
        <x:v>0:00</x:v>
      </x:c>
      <x:c r="F1898" s="104" t="n">
        <x:v>5968.947419327979</x:v>
      </x:c>
    </x:row>
    <x:row r="1899">
      <x:c r="A1899" s="78"/>
      <x:c r="B1899" s="79" t="str">
        <x:v>4:00-8:00</x:v>
      </x:c>
      <x:c r="C1899" s="80" t="n">
        <x:v>835.1340834909262</x:v>
      </x:c>
      <x:c r="D1899" s="80" t="n">
        <x:v>1246.429509455024</x:v>
      </x:c>
      <x:c r="E1899" s="81" t="str">
        <x:v>24:00</x:v>
      </x:c>
      <x:c r="F1899" s="80" t="n">
        <x:v>5945.698826061921</x:v>
      </x:c>
    </x:row>
    <x:row r="1900">
      <x:c r="A1900" s="78"/>
      <x:c r="B1900" s="79" t="str">
        <x:v>8:00-12:00</x:v>
      </x:c>
      <x:c r="C1900" s="80" t="n">
        <x:v>5538.30561932234</x:v>
      </x:c>
      <x:c r="D1900" s="80" t="n">
        <x:v>7257.244221541772</x:v>
      </x:c>
      <x:c r="E1900" s="81"/>
      <x:c r="F1900" s="80"/>
    </x:row>
    <x:row r="1901">
      <x:c r="A1901" s="78"/>
      <x:c r="B1901" s="79" t="str">
        <x:v>12:00-16:00</x:v>
      </x:c>
      <x:c r="C1901" s="80" t="n">
        <x:v>7338.617814961845</x:v>
      </x:c>
      <x:c r="D1901" s="80" t="n">
        <x:v>2494.421987222133</x:v>
      </x:c>
      <x:c r="E1901" s="81"/>
      <x:c r="F1901" s="80"/>
    </x:row>
    <x:row r="1902">
      <x:c r="A1902" s="78"/>
      <x:c r="B1902" s="79" t="str">
        <x:v>16:00-20:00</x:v>
      </x:c>
      <x:c r="C1902" s="80" t="n">
        <x:v>109.46051547558966</x:v>
      </x:c>
      <x:c r="D1902" s="80" t="n">
        <x:v>5343.956362724173</x:v>
      </x:c>
      <x:c r="E1902" s="81"/>
      <x:c r="F1902" s="80"/>
    </x:row>
    <x:row r="1903">
      <x:c r="A1903" s="98"/>
      <x:c r="B1903" s="99" t="str">
        <x:v>20:00-24:00</x:v>
      </x:c>
      <x:c r="C1903" s="100" t="n">
        <x:v>5279.112654038066</x:v>
      </x:c>
      <x:c r="D1903" s="100" t="n">
        <x:v>2685.5449556742187</x:v>
      </x:c>
      <x:c r="E1903" s="101"/>
      <x:c r="F1903" s="100"/>
    </x:row>
    <x:row r="1904">
      <x:c r="A1904" s="102" t="n">
        <x:v>46006</x:v>
      </x:c>
      <x:c r="B1904" s="103" t="str">
        <x:v>0:00-4:00</x:v>
      </x:c>
      <x:c r="C1904" s="104" t="n">
        <x:v>4556.892448646477</x:v>
      </x:c>
      <x:c r="D1904" s="104" t="n">
        <x:v>304.42743489583313</x:v>
      </x:c>
      <x:c r="E1904" s="105" t="str">
        <x:v>0:00</x:v>
      </x:c>
      <x:c r="F1904" s="104" t="n">
        <x:v>5945.698826061921</x:v>
      </x:c>
    </x:row>
    <x:row r="1905">
      <x:c r="A1905" s="78"/>
      <x:c r="B1905" s="79" t="str">
        <x:v>4:00-8:00</x:v>
      </x:c>
      <x:c r="C1905" s="80" t="n">
        <x:v>980.2460149628106</x:v>
      </x:c>
      <x:c r="D1905" s="80" t="n">
        <x:v>1155.1785082866318</x:v>
      </x:c>
      <x:c r="E1905" s="81" t="str">
        <x:v>24:00</x:v>
      </x:c>
      <x:c r="F1905" s="80" t="n">
        <x:v>5939.653161646413</x:v>
      </x:c>
    </x:row>
    <x:row r="1906">
      <x:c r="A1906" s="78"/>
      <x:c r="B1906" s="79" t="str">
        <x:v>8:00-12:00</x:v>
      </x:c>
      <x:c r="C1906" s="80" t="n">
        <x:v>5226.943339272136</x:v>
      </x:c>
      <x:c r="D1906" s="80" t="n">
        <x:v>7296.605155796784</x:v>
      </x:c>
      <x:c r="E1906" s="81"/>
      <x:c r="F1906" s="80"/>
    </x:row>
    <x:row r="1907">
      <x:c r="A1907" s="78"/>
      <x:c r="B1907" s="79" t="str">
        <x:v>12:00-16:00</x:v>
      </x:c>
      <x:c r="C1907" s="80" t="n">
        <x:v>7913.283686163056</x:v>
      </x:c>
      <x:c r="D1907" s="80" t="n">
        <x:v>2579.8036602478323</x:v>
      </x:c>
      <x:c r="E1907" s="81"/>
      <x:c r="F1907" s="80"/>
    </x:row>
    <x:row r="1908">
      <x:c r="A1908" s="78"/>
      <x:c r="B1908" s="79" t="str">
        <x:v>16:00-20:00</x:v>
      </x:c>
      <x:c r="C1908" s="80" t="n">
        <x:v>118.69190173067727</x:v>
      </x:c>
      <x:c r="D1908" s="80" t="n">
        <x:v>5209.362235118873</x:v>
      </x:c>
      <x:c r="E1908" s="81"/>
      <x:c r="F1908" s="80"/>
    </x:row>
    <x:row r="1909">
      <x:c r="A1909" s="98"/>
      <x:c r="B1909" s="99" t="str">
        <x:v>20:00-24:00</x:v>
      </x:c>
      <x:c r="C1909" s="100" t="n">
        <x:v>5362.14702806713</x:v>
      </x:c>
      <x:c r="D1909" s="100" t="n">
        <x:v>3028.2096828902536</x:v>
      </x:c>
      <x:c r="E1909" s="101"/>
      <x:c r="F1909" s="100"/>
    </x:row>
    <x:row r="1910">
      <x:c r="A1910" s="102" t="n">
        <x:v>46007</x:v>
      </x:c>
      <x:c r="B1910" s="103" t="str">
        <x:v>0:00-4:00</x:v>
      </x:c>
      <x:c r="C1910" s="104" t="n">
        <x:v>4655.062856612492</x:v>
      </x:c>
      <x:c r="D1910" s="104" t="n">
        <x:v>162.42181243489563</x:v>
      </x:c>
      <x:c r="E1910" s="105" t="str">
        <x:v>0:00</x:v>
      </x:c>
      <x:c r="F1910" s="104" t="n">
        <x:v>5939.653161646413</x:v>
      </x:c>
    </x:row>
    <x:row r="1911">
      <x:c r="A1911" s="78"/>
      <x:c r="B1911" s="79" t="str">
        <x:v>4:00-8:00</x:v>
      </x:c>
      <x:c r="C1911" s="80" t="n">
        <x:v>973.647411774459</x:v>
      </x:c>
      <x:c r="D1911" s="80" t="n">
        <x:v>1089.8060210045026</x:v>
      </x:c>
      <x:c r="E1911" s="81" t="str">
        <x:v>24:00</x:v>
      </x:c>
      <x:c r="F1911" s="80" t="n">
        <x:v>5877.465847212095</x:v>
      </x:c>
    </x:row>
    <x:row r="1912">
      <x:c r="A1912" s="78"/>
      <x:c r="B1912" s="79" t="str">
        <x:v>8:00-12:00</x:v>
      </x:c>
      <x:c r="C1912" s="80" t="n">
        <x:v>5420.796415565206</x:v>
      </x:c>
      <x:c r="D1912" s="80" t="n">
        <x:v>7572.715329435806</x:v>
      </x:c>
      <x:c r="E1912" s="81"/>
      <x:c r="F1912" s="80"/>
    </x:row>
    <x:row r="1913">
      <x:c r="A1913" s="78"/>
      <x:c r="B1913" s="79" t="str">
        <x:v>12:00-16:00</x:v>
      </x:c>
      <x:c r="C1913" s="80" t="n">
        <x:v>7907.141514874527</x:v>
      </x:c>
      <x:c r="D1913" s="80" t="n">
        <x:v>2500.187079665201</x:v>
      </x:c>
      <x:c r="E1913" s="81"/>
      <x:c r="F1913" s="80"/>
    </x:row>
    <x:row r="1914">
      <x:c r="A1914" s="78"/>
      <x:c r="B1914" s="79" t="str">
        <x:v>16:00-20:00</x:v>
      </x:c>
      <x:c r="C1914" s="80" t="n">
        <x:v>79.84922917234155</x:v>
      </x:c>
      <x:c r="D1914" s="80" t="n">
        <x:v>5226.759696327992</x:v>
      </x:c>
      <x:c r="E1914" s="81"/>
      <x:c r="F1914" s="80"/>
    </x:row>
    <x:row r="1915">
      <x:c r="A1915" s="98"/>
      <x:c r="B1915" s="99" t="str">
        <x:v>20:00-24:00</x:v>
      </x:c>
      <x:c r="C1915" s="100" t="n">
        <x:v>5271.153998935828</x:v>
      </x:c>
      <x:c r="D1915" s="100" t="n">
        <x:v>3193.276299939725</x:v>
      </x:c>
      <x:c r="E1915" s="101"/>
      <x:c r="F1915" s="100"/>
    </x:row>
    <x:row r="1916">
      <x:c r="A1916" s="102" t="n">
        <x:v>46008</x:v>
      </x:c>
      <x:c r="B1916" s="103" t="str">
        <x:v>0:00-4:00</x:v>
      </x:c>
      <x:c r="C1916" s="104" t="n">
        <x:v>5473.931344525623</x:v>
      </x:c>
      <x:c r="D1916" s="104" t="n">
        <x:v>152.79331158854154</x:v>
      </x:c>
      <x:c r="E1916" s="105" t="str">
        <x:v>0:00</x:v>
      </x:c>
      <x:c r="F1916" s="104" t="n">
        <x:v>5877.465847212095</x:v>
      </x:c>
    </x:row>
    <x:row r="1917">
      <x:c r="A1917" s="78"/>
      <x:c r="B1917" s="79" t="str">
        <x:v>4:00-8:00</x:v>
      </x:c>
      <x:c r="C1917" s="80" t="n">
        <x:v>1032.9304369196489</x:v>
      </x:c>
      <x:c r="D1917" s="80" t="n">
        <x:v>1822.1531541490044</x:v>
      </x:c>
      <x:c r="E1917" s="81" t="str">
        <x:v>24:00</x:v>
      </x:c>
      <x:c r="F1917" s="80" t="n">
        <x:v>5982.569013125723</x:v>
      </x:c>
    </x:row>
    <x:row r="1918">
      <x:c r="A1918" s="78"/>
      <x:c r="B1918" s="79" t="str">
        <x:v>8:00-12:00</x:v>
      </x:c>
      <x:c r="C1918" s="80" t="n">
        <x:v>5863.151205355014</x:v>
      </x:c>
      <x:c r="D1918" s="80" t="n">
        <x:v>7479.706489289238</x:v>
      </x:c>
      <x:c r="E1918" s="81"/>
      <x:c r="F1918" s="80"/>
    </x:row>
    <x:row r="1919">
      <x:c r="A1919" s="78"/>
      <x:c r="B1919" s="79" t="str">
        <x:v>12:00-16:00</x:v>
      </x:c>
      <x:c r="C1919" s="80" t="n">
        <x:v>7747.666828407928</x:v>
      </x:c>
      <x:c r="D1919" s="80" t="n">
        <x:v>2585.444511624385</x:v>
      </x:c>
      <x:c r="E1919" s="81"/>
      <x:c r="F1919" s="80"/>
    </x:row>
    <x:row r="1920">
      <x:c r="A1920" s="78"/>
      <x:c r="B1920" s="79" t="str">
        <x:v>16:00-20:00</x:v>
      </x:c>
      <x:c r="C1920" s="80" t="n">
        <x:v>179.45337755488913</x:v>
      </x:c>
      <x:c r="D1920" s="80" t="n">
        <x:v>5078.369547694536</x:v>
      </x:c>
      <x:c r="E1920" s="81"/>
      <x:c r="F1920" s="80"/>
    </x:row>
    <x:row r="1921">
      <x:c r="A1921" s="98"/>
      <x:c r="B1921" s="99" t="str">
        <x:v>20:00-24:00</x:v>
      </x:c>
      <x:c r="C1921" s="100" t="n">
        <x:v>5390.166223843396</x:v>
      </x:c>
      <x:c r="D1921" s="100" t="n">
        <x:v>3593.652663783303</x:v>
      </x:c>
      <x:c r="E1921" s="101"/>
      <x:c r="F1921" s="100"/>
    </x:row>
    <x:row r="1922">
      <x:c r="A1922" s="102" t="n">
        <x:v>46009</x:v>
      </x:c>
      <x:c r="B1922" s="103" t="str">
        <x:v>0:00-4:00</x:v>
      </x:c>
      <x:c r="C1922" s="104" t="n">
        <x:v>5384.120053753536</x:v>
      </x:c>
      <x:c r="D1922" s="104" t="n">
        <x:v>385.7338834635417</x:v>
      </x:c>
      <x:c r="E1922" s="105" t="str">
        <x:v>0:00</x:v>
      </x:c>
      <x:c r="F1922" s="104" t="n">
        <x:v>5982.569013125723</x:v>
      </x:c>
    </x:row>
    <x:row r="1923">
      <x:c r="A1923" s="78"/>
      <x:c r="B1923" s="79" t="str">
        <x:v>4:00-8:00</x:v>
      </x:c>
      <x:c r="C1923" s="80" t="n">
        <x:v>231.86433124274902</x:v>
      </x:c>
      <x:c r="D1923" s="80" t="n">
        <x:v>1065.0520772122595</x:v>
      </x:c>
      <x:c r="E1923" s="81" t="str">
        <x:v>24:00</x:v>
      </x:c>
      <x:c r="F1923" s="80" t="n">
        <x:v>5910.027302368344</x:v>
      </x:c>
    </x:row>
    <x:row r="1924">
      <x:c r="A1924" s="78"/>
      <x:c r="B1924" s="79" t="str">
        <x:v>8:00-12:00</x:v>
      </x:c>
      <x:c r="C1924" s="80" t="n">
        <x:v>5833.333333333333</x:v>
      </x:c>
      <x:c r="D1924" s="80" t="n">
        <x:v>7402.473502984343</x:v>
      </x:c>
      <x:c r="E1924" s="81"/>
      <x:c r="F1924" s="80"/>
    </x:row>
    <x:row r="1925">
      <x:c r="A1925" s="78"/>
      <x:c r="B1925" s="79" t="str">
        <x:v>12:00-16:00</x:v>
      </x:c>
      <x:c r="C1925" s="80" t="n">
        <x:v>7629.6077777777755</x:v>
      </x:c>
      <x:c r="D1925" s="80" t="n">
        <x:v>2264.9823000000006</x:v>
      </x:c>
      <x:c r="E1925" s="81"/>
      <x:c r="F1925" s="80"/>
    </x:row>
    <x:row r="1926">
      <x:c r="A1926" s="78"/>
      <x:c r="B1926" s="79" t="str">
        <x:v>16:00-20:00</x:v>
      </x:c>
      <x:c r="C1926" s="80" t="n">
        <x:v>106.38645391101761</x:v>
      </x:c>
      <x:c r="D1926" s="80" t="n">
        <x:v>5093.104699649455</x:v>
      </x:c>
      <x:c r="E1926" s="81"/>
      <x:c r="F1926" s="80"/>
    </x:row>
    <x:row r="1927">
      <x:c r="A1927" s="98"/>
      <x:c r="B1927" s="99" t="str">
        <x:v>20:00-24:00</x:v>
      </x:c>
      <x:c r="C1927" s="100" t="n">
        <x:v>5309.696470979617</x:v>
      </x:c>
      <x:c r="D1927" s="100" t="n">
        <x:v>3694.8978973804496</x:v>
      </x:c>
      <x:c r="E1927" s="101"/>
      <x:c r="F1927" s="100"/>
    </x:row>
    <x:row r="1928">
      <x:c r="A1928" s="102" t="n">
        <x:v>46010</x:v>
      </x:c>
      <x:c r="B1928" s="103" t="str">
        <x:v>0:00-4:00</x:v>
      </x:c>
      <x:c r="C1928" s="104" t="n">
        <x:v>5442.386679529964</x:v>
      </x:c>
      <x:c r="D1928" s="104" t="n">
        <x:v>240.32444628906245</x:v>
      </x:c>
      <x:c r="E1928" s="105" t="str">
        <x:v>0:00</x:v>
      </x:c>
      <x:c r="F1928" s="104" t="n">
        <x:v>5910.027302368344</x:v>
      </x:c>
    </x:row>
    <x:row r="1929">
      <x:c r="A1929" s="78"/>
      <x:c r="B1929" s="79" t="str">
        <x:v>4:00-8:00</x:v>
      </x:c>
      <x:c r="C1929" s="80" t="n">
        <x:v>108.2106958984375</x:v>
      </x:c>
      <x:c r="D1929" s="80" t="n">
        <x:v>6978.9143433593745</x:v>
      </x:c>
      <x:c r="E1929" s="81" t="str">
        <x:v>24:00</x:v>
      </x:c>
      <x:c r="F1929" s="80" t="n">
        <x:v>5888.541339955584</x:v>
      </x:c>
    </x:row>
    <x:row r="1930">
      <x:c r="A1930" s="78"/>
      <x:c r="B1930" s="79" t="str">
        <x:v>8:00-12:00</x:v>
      </x:c>
      <x:c r="C1930" s="80" t="n">
        <x:v>6264.457557091385</x:v>
      </x:c>
      <x:c r="D1930" s="80" t="n">
        <x:v>1515.7696565800775</x:v>
      </x:c>
      <x:c r="E1930" s="81"/>
      <x:c r="F1930" s="80"/>
    </x:row>
    <x:row r="1931">
      <x:c r="A1931" s="78"/>
      <x:c r="B1931" s="79" t="str">
        <x:v>12:00-16:00</x:v>
      </x:c>
      <x:c r="C1931" s="80" t="n">
        <x:v>3733.650639158772</x:v>
      </x:c>
      <x:c r="D1931" s="80" t="n">
        <x:v>325.4079803278149</x:v>
      </x:c>
      <x:c r="E1931" s="81"/>
      <x:c r="F1931" s="80"/>
    </x:row>
    <x:row r="1932">
      <x:c r="A1932" s="78"/>
      <x:c r="B1932" s="79" t="str">
        <x:v>16:00-20:00</x:v>
      </x:c>
      <x:c r="C1932" s="80" t="n">
        <x:v>42.94677854092822</x:v>
      </x:c>
      <x:c r="D1932" s="80" t="n">
        <x:v>6452.790785222782</x:v>
      </x:c>
      <x:c r="E1932" s="81"/>
      <x:c r="F1932" s="80"/>
    </x:row>
    <x:row r="1933">
      <x:c r="A1933" s="98"/>
      <x:c r="B1933" s="99" t="str">
        <x:v>20:00-24:00</x:v>
      </x:c>
      <x:c r="C1933" s="100" t="n">
        <x:v>5276.331645149819</x:v>
      </x:c>
      <x:c r="D1933" s="100" t="n">
        <x:v>1409.1971906415142</x:v>
      </x:c>
      <x:c r="E1933" s="101"/>
      <x:c r="F1933" s="100"/>
    </x:row>
    <x:row r="1934">
      <x:c r="A1934" s="102" t="n">
        <x:v>46011</x:v>
      </x:c>
      <x:c r="B1934" s="103" t="str">
        <x:v>0:00-4:00</x:v>
      </x:c>
      <x:c r="C1934" s="104" t="n">
        <x:v>5217.182083242832</x:v>
      </x:c>
      <x:c r="D1934" s="104" t="n">
        <x:v>129.9104997395832</x:v>
      </x:c>
      <x:c r="E1934" s="105" t="str">
        <x:v>0:00</x:v>
      </x:c>
      <x:c r="F1934" s="104" t="n">
        <x:v>5888.541339955584</x:v>
      </x:c>
    </x:row>
    <x:row r="1935">
      <x:c r="A1935" s="78"/>
      <x:c r="B1935" s="79" t="str">
        <x:v>4:00-8:00</x:v>
      </x:c>
      <x:c r="C1935" s="80" t="n">
        <x:v>810.3688973307292</x:v>
      </x:c>
      <x:c r="D1935" s="80" t="n">
        <x:v>7505.263373111978</x:v>
      </x:c>
      <x:c r="E1935" s="81" t="str">
        <x:v>24:00</x:v>
      </x:c>
      <x:c r="F1935" s="80" t="n">
        <x:v>5905.007821534289</x:v>
      </x:c>
    </x:row>
    <x:row r="1936">
      <x:c r="A1936" s="78"/>
      <x:c r="B1936" s="79" t="str">
        <x:v>8:00-12:00</x:v>
      </x:c>
      <x:c r="C1936" s="80" t="n">
        <x:v>5777.135082893231</x:v>
      </x:c>
      <x:c r="D1936" s="80" t="n">
        <x:v>1466.8296273730516</x:v>
      </x:c>
      <x:c r="E1936" s="81"/>
      <x:c r="F1936" s="80"/>
    </x:row>
    <x:row r="1937">
      <x:c r="A1937" s="78"/>
      <x:c r="B1937" s="79" t="str">
        <x:v>12:00-16:00</x:v>
      </x:c>
      <x:c r="C1937" s="80" t="n">
        <x:v>4722.414153084147</x:v>
      </x:c>
      <x:c r="D1937" s="80" t="n">
        <x:v>85.31069231166938</x:v>
      </x:c>
      <x:c r="E1937" s="81"/>
      <x:c r="F1937" s="80"/>
    </x:row>
    <x:row r="1938">
      <x:c r="A1938" s="78"/>
      <x:c r="B1938" s="79" t="str">
        <x:v>16:00-20:00</x:v>
      </x:c>
      <x:c r="C1938" s="80" t="n">
        <x:v>44.79097145484502</x:v>
      </x:c>
      <x:c r="D1938" s="80" t="n">
        <x:v>6309.507691373105</x:v>
      </x:c>
      <x:c r="E1938" s="81"/>
      <x:c r="F1938" s="80"/>
    </x:row>
    <x:row r="1939">
      <x:c r="A1939" s="98"/>
      <x:c r="B1939" s="99" t="str">
        <x:v>20:00-24:00</x:v>
      </x:c>
      <x:c r="C1939" s="100" t="n">
        <x:v>5931.073458817998</x:v>
      </x:c>
      <x:c r="D1939" s="100" t="n">
        <x:v>2715.7596465970473</x:v>
      </x:c>
      <x:c r="E1939" s="101"/>
      <x:c r="F1939" s="100"/>
    </x:row>
    <x:row r="1940">
      <x:c r="A1940" s="102" t="n">
        <x:v>46012</x:v>
      </x:c>
      <x:c r="B1940" s="103" t="str">
        <x:v>0:00-4:00</x:v>
      </x:c>
      <x:c r="C1940" s="104" t="n">
        <x:v>5578.048367891588</x:v>
      </x:c>
      <x:c r="D1940" s="104" t="n">
        <x:v>305.37754492187514</x:v>
      </x:c>
      <x:c r="E1940" s="105" t="str">
        <x:v>0:00</x:v>
      </x:c>
      <x:c r="F1940" s="104" t="n">
        <x:v>5905.007821534289</x:v>
      </x:c>
    </x:row>
    <x:row r="1941">
      <x:c r="A1941" s="78"/>
      <x:c r="B1941" s="79" t="str">
        <x:v>4:00-8:00</x:v>
      </x:c>
      <x:c r="C1941" s="80" t="n">
        <x:v>943.8909662295223</x:v>
      </x:c>
      <x:c r="D1941" s="80" t="n">
        <x:v>1770.7335486503248</x:v>
      </x:c>
      <x:c r="E1941" s="81" t="str">
        <x:v>24:00</x:v>
      </x:c>
      <x:c r="F1941" s="80" t="n">
        <x:v>5988.379347076821</x:v>
      </x:c>
    </x:row>
    <x:row r="1942">
      <x:c r="A1942" s="78"/>
      <x:c r="B1942" s="79" t="str">
        <x:v>8:00-12:00</x:v>
      </x:c>
      <x:c r="C1942" s="80" t="n">
        <x:v>5190.006612632067</x:v>
      </x:c>
      <x:c r="D1942" s="80" t="n">
        <x:v>7485.146523243478</x:v>
      </x:c>
      <x:c r="E1942" s="81"/>
      <x:c r="F1942" s="80"/>
    </x:row>
    <x:row r="1943">
      <x:c r="A1943" s="78"/>
      <x:c r="B1943" s="79" t="str">
        <x:v>12:00-16:00</x:v>
      </x:c>
      <x:c r="C1943" s="80" t="n">
        <x:v>7818.514272632244</x:v>
      </x:c>
      <x:c r="D1943" s="80" t="n">
        <x:v>2711.493779685768</x:v>
      </x:c>
      <x:c r="E1943" s="81"/>
      <x:c r="F1943" s="80"/>
    </x:row>
    <x:row r="1944">
      <x:c r="A1944" s="78"/>
      <x:c r="B1944" s="79" t="str">
        <x:v>16:00-20:00</x:v>
      </x:c>
      <x:c r="C1944" s="80" t="n">
        <x:v>64.56431471930534</x:v>
      </x:c>
      <x:c r="D1944" s="80" t="n">
        <x:v>5290.127250253696</x:v>
      </x:c>
      <x:c r="E1944" s="81"/>
      <x:c r="F1944" s="80"/>
    </x:row>
    <x:row r="1945">
      <x:c r="A1945" s="98"/>
      <x:c r="B1945" s="99" t="str">
        <x:v>20:00-24:00</x:v>
      </x:c>
      <x:c r="C1945" s="100" t="n">
        <x:v>5394.709251060153</x:v>
      </x:c>
      <x:c r="D1945" s="100" t="n">
        <x:v>2603.771346240122</x:v>
      </x:c>
      <x:c r="E1945" s="101"/>
      <x:c r="F1945" s="100"/>
    </x:row>
    <x:row r="1946">
      <x:c r="A1946" s="102" t="n">
        <x:v>46013</x:v>
      </x:c>
      <x:c r="B1946" s="103" t="str">
        <x:v>0:00-4:00</x:v>
      </x:c>
      <x:c r="C1946" s="104" t="n">
        <x:v>5240.649167310476</x:v>
      </x:c>
      <x:c r="D1946" s="104" t="n">
        <x:v>448.26219876302093</x:v>
      </x:c>
      <x:c r="E1946" s="105" t="str">
        <x:v>0:00</x:v>
      </x:c>
      <x:c r="F1946" s="104" t="n">
        <x:v>5988.379347076821</x:v>
      </x:c>
    </x:row>
    <x:row r="1947">
      <x:c r="A1947" s="78"/>
      <x:c r="B1947" s="79" t="str">
        <x:v>4:00-8:00</x:v>
      </x:c>
      <x:c r="C1947" s="80" t="n">
        <x:v>198.09241082296387</x:v>
      </x:c>
      <x:c r="D1947" s="80" t="n">
        <x:v>1184.994887153893</x:v>
      </x:c>
      <x:c r="E1947" s="81" t="str">
        <x:v>24:00</x:v>
      </x:c>
      <x:c r="F1947" s="80" t="n">
        <x:v>5928.90175510489</x:v>
      </x:c>
    </x:row>
    <x:row r="1948">
      <x:c r="A1948" s="78"/>
      <x:c r="B1948" s="79" t="str">
        <x:v>8:00-12:00</x:v>
      </x:c>
      <x:c r="C1948" s="80" t="n">
        <x:v>5843.190579377964</x:v>
      </x:c>
      <x:c r="D1948" s="80" t="n">
        <x:v>7097.400809366467</x:v>
      </x:c>
      <x:c r="E1948" s="81"/>
      <x:c r="F1948" s="80"/>
    </x:row>
    <x:row r="1949">
      <x:c r="A1949" s="78"/>
      <x:c r="B1949" s="79" t="str">
        <x:v>12:00-16:00</x:v>
      </x:c>
      <x:c r="C1949" s="80" t="n">
        <x:v>7535.904405128247</x:v>
      </x:c>
      <x:c r="D1949" s="80" t="n">
        <x:v>2814.8107049365053</x:v>
      </x:c>
      <x:c r="E1949" s="81"/>
      <x:c r="F1949" s="80"/>
    </x:row>
    <x:row r="1950">
      <x:c r="A1950" s="78"/>
      <x:c r="B1950" s="79" t="str">
        <x:v>16:00-20:00</x:v>
      </x:c>
      <x:c r="C1950" s="80" t="n">
        <x:v>438.61946481906</x:v>
      </x:c>
      <x:c r="D1950" s="80" t="n">
        <x:v>5320.017351315682</x:v>
      </x:c>
      <x:c r="E1950" s="81"/>
      <x:c r="F1950" s="80"/>
    </x:row>
    <x:row r="1951">
      <x:c r="A1951" s="98"/>
      <x:c r="B1951" s="99" t="str">
        <x:v>20:00-24:00</x:v>
      </x:c>
      <x:c r="C1951" s="100" t="n">
        <x:v>5319.145114902423</x:v>
      </x:c>
      <x:c r="D1951" s="100" t="n">
        <x:v>3094.280806551691</x:v>
      </x:c>
      <x:c r="E1951" s="101"/>
      <x:c r="F1951" s="100"/>
    </x:row>
    <x:row r="1952">
      <x:c r="A1952" s="102" t="n">
        <x:v>46014</x:v>
      </x:c>
      <x:c r="B1952" s="103" t="str">
        <x:v>0:00-4:00</x:v>
      </x:c>
      <x:c r="C1952" s="104" t="n">
        <x:v>5423.366085169915</x:v>
      </x:c>
      <x:c r="D1952" s="104" t="n">
        <x:v>199.43430266927055</x:v>
      </x:c>
      <x:c r="E1952" s="105" t="str">
        <x:v>0:00</x:v>
      </x:c>
      <x:c r="F1952" s="104" t="n">
        <x:v>5928.90175510489</x:v>
      </x:c>
    </x:row>
    <x:row r="1953">
      <x:c r="A1953" s="78"/>
      <x:c r="B1953" s="79" t="str">
        <x:v>4:00-8:00</x:v>
      </x:c>
      <x:c r="C1953" s="80" t="n">
        <x:v>367.66386422538073</x:v>
      </x:c>
      <x:c r="D1953" s="80" t="n">
        <x:v>880.9291202292757</x:v>
      </x:c>
      <x:c r="E1953" s="81" t="str">
        <x:v>24:00</x:v>
      </x:c>
      <x:c r="F1953" s="80" t="n">
        <x:v>5884.650724939237</x:v>
      </x:c>
    </x:row>
    <x:row r="1954">
      <x:c r="A1954" s="78"/>
      <x:c r="B1954" s="79" t="str">
        <x:v>8:00-12:00</x:v>
      </x:c>
      <x:c r="C1954" s="80" t="n">
        <x:v>5933.968786341173</x:v>
      </x:c>
      <x:c r="D1954" s="80" t="n">
        <x:v>7665.434016911444</x:v>
      </x:c>
      <x:c r="E1954" s="81"/>
      <x:c r="F1954" s="80"/>
    </x:row>
    <x:row r="1955">
      <x:c r="A1955" s="78"/>
      <x:c r="B1955" s="79" t="str">
        <x:v>12:00-16:00</x:v>
      </x:c>
      <x:c r="C1955" s="80" t="n">
        <x:v>7778.520844776599</x:v>
      </x:c>
      <x:c r="D1955" s="80" t="n">
        <x:v>2668.0649999999996</x:v>
      </x:c>
      <x:c r="E1955" s="81"/>
      <x:c r="F1955" s="80"/>
    </x:row>
    <x:row r="1956">
      <x:c r="A1956" s="78"/>
      <x:c r="B1956" s="79" t="str">
        <x:v>16:00-20:00</x:v>
      </x:c>
      <x:c r="C1956" s="80" t="n">
        <x:v>72.74367886989114</x:v>
      </x:c>
      <x:c r="D1956" s="80" t="n">
        <x:v>5249.132276647475</x:v>
      </x:c>
      <x:c r="E1956" s="81"/>
      <x:c r="F1956" s="80"/>
    </x:row>
    <x:row r="1957">
      <x:c r="A1957" s="98"/>
      <x:c r="B1957" s="99" t="str">
        <x:v>20:00-24:00</x:v>
      </x:c>
      <x:c r="C1957" s="100" t="n">
        <x:v>5321.603038977302</x:v>
      </x:c>
      <x:c r="D1957" s="100" t="n">
        <x:v>3544.102912363441</x:v>
      </x:c>
      <x:c r="E1957" s="101"/>
      <x:c r="F1957" s="100"/>
    </x:row>
    <x:row r="1958">
      <x:c r="A1958" s="102" t="n">
        <x:v>46015</x:v>
      </x:c>
      <x:c r="B1958" s="103" t="str">
        <x:v>0:00-4:00</x:v>
      </x:c>
      <x:c r="C1958" s="104" t="n">
        <x:v>5030.771911197917</x:v>
      </x:c>
      <x:c r="D1958" s="104" t="n">
        <x:v>98.00823893229176</x:v>
      </x:c>
      <x:c r="E1958" s="105" t="str">
        <x:v>0:00</x:v>
      </x:c>
      <x:c r="F1958" s="104" t="n">
        <x:v>5884.650724939237</x:v>
      </x:c>
    </x:row>
    <x:row r="1959">
      <x:c r="A1959" s="78"/>
      <x:c r="B1959" s="79" t="str">
        <x:v>4:00-8:00</x:v>
      </x:c>
      <x:c r="C1959" s="80" t="n">
        <x:v>932.1011391099565</x:v>
      </x:c>
      <x:c r="D1959" s="80" t="n">
        <x:v>1411.6539951129296</x:v>
      </x:c>
      <x:c r="E1959" s="81" t="str">
        <x:v>24:00</x:v>
      </x:c>
      <x:c r="F1959" s="80" t="n">
        <x:v>5980.025426451246</x:v>
      </x:c>
    </x:row>
    <x:row r="1960">
      <x:c r="A1960" s="78"/>
      <x:c r="B1960" s="79" t="str">
        <x:v>8:00-12:00</x:v>
      </x:c>
      <x:c r="C1960" s="80" t="n">
        <x:v>5833.333333333333</x:v>
      </x:c>
      <x:c r="D1960" s="80" t="n">
        <x:v>7536.450589149471</x:v>
      </x:c>
      <x:c r="E1960" s="81"/>
      <x:c r="F1960" s="80"/>
    </x:row>
    <x:row r="1961">
      <x:c r="A1961" s="78"/>
      <x:c r="B1961" s="79" t="str">
        <x:v>12:00-16:00</x:v>
      </x:c>
      <x:c r="C1961" s="80" t="n">
        <x:v>7903.142403978928</x:v>
      </x:c>
      <x:c r="D1961" s="80" t="n">
        <x:v>3079.9464136291863</x:v>
      </x:c>
      <x:c r="E1961" s="81"/>
      <x:c r="F1961" s="80"/>
    </x:row>
    <x:row r="1962">
      <x:c r="A1962" s="78"/>
      <x:c r="B1962" s="79" t="str">
        <x:v>16:00-20:00</x:v>
      </x:c>
      <x:c r="C1962" s="80" t="n">
        <x:v>141.71045816363142</x:v>
      </x:c>
      <x:c r="D1962" s="80" t="n">
        <x:v>5237.655245883941</x:v>
      </x:c>
      <x:c r="E1962" s="81"/>
      <x:c r="F1962" s="80"/>
    </x:row>
    <x:row r="1963">
      <x:c r="A1963" s="98"/>
      <x:c r="B1963" s="99" t="str">
        <x:v>20:00-24:00</x:v>
      </x:c>
      <x:c r="C1963" s="100" t="n">
        <x:v>5352.959630534819</x:v>
      </x:c>
      <x:c r="D1963" s="100" t="n">
        <x:v>2957.6035757494305</x:v>
      </x:c>
      <x:c r="E1963" s="101"/>
      <x:c r="F1963" s="100"/>
    </x:row>
    <x:row r="1964">
      <x:c r="A1964" s="102" t="n">
        <x:v>46016</x:v>
      </x:c>
      <x:c r="B1964" s="103" t="str">
        <x:v>0:00-4:00</x:v>
      </x:c>
      <x:c r="C1964" s="104" t="n">
        <x:v>5455.157431221705</x:v>
      </x:c>
      <x:c r="D1964" s="104" t="n">
        <x:v>210.25639707031257</x:v>
      </x:c>
      <x:c r="E1964" s="105" t="str">
        <x:v>0:00</x:v>
      </x:c>
      <x:c r="F1964" s="104" t="n">
        <x:v>5980.025426451246</x:v>
      </x:c>
    </x:row>
    <x:row r="1965">
      <x:c r="A1965" s="78"/>
      <x:c r="B1965" s="79" t="str">
        <x:v>4:00-8:00</x:v>
      </x:c>
      <x:c r="C1965" s="80" t="n">
        <x:v>269.17605564922155</x:v>
      </x:c>
      <x:c r="D1965" s="80" t="n">
        <x:v>1160.620381658167</x:v>
      </x:c>
      <x:c r="E1965" s="81" t="str">
        <x:v>24:00</x:v>
      </x:c>
      <x:c r="F1965" s="80" t="n">
        <x:v>6027.094380466001</x:v>
      </x:c>
    </x:row>
    <x:row r="1966">
      <x:c r="A1966" s="78"/>
      <x:c r="B1966" s="79" t="str">
        <x:v>8:00-12:00</x:v>
      </x:c>
      <x:c r="C1966" s="80" t="n">
        <x:v>5403.308216632071</x:v>
      </x:c>
      <x:c r="D1966" s="80" t="n">
        <x:v>7566.254861835283</x:v>
      </x:c>
      <x:c r="E1966" s="81"/>
      <x:c r="F1966" s="80"/>
    </x:row>
    <x:row r="1967">
      <x:c r="A1967" s="78"/>
      <x:c r="B1967" s="79" t="str">
        <x:v>12:00-16:00</x:v>
      </x:c>
      <x:c r="C1967" s="80" t="n">
        <x:v>7595.7472085493755</x:v>
      </x:c>
      <x:c r="D1967" s="80" t="n">
        <x:v>2296.9068208622557</x:v>
      </x:c>
      <x:c r="E1967" s="81"/>
      <x:c r="F1967" s="80"/>
    </x:row>
    <x:row r="1968">
      <x:c r="A1968" s="78"/>
      <x:c r="B1968" s="79" t="str">
        <x:v>16:00-20:00</x:v>
      </x:c>
      <x:c r="C1968" s="80" t="n">
        <x:v>95.24477995641882</x:v>
      </x:c>
      <x:c r="D1968" s="80" t="n">
        <x:v>5251.495749488405</x:v>
      </x:c>
      <x:c r="E1968" s="81"/>
      <x:c r="F1968" s="80"/>
    </x:row>
    <x:row r="1969">
      <x:c r="A1969" s="98"/>
      <x:c r="B1969" s="99" t="str">
        <x:v>20:00-24:00</x:v>
      </x:c>
      <x:c r="C1969" s="100" t="n">
        <x:v>5426.886504870917</x:v>
      </x:c>
      <x:c r="D1969" s="100" t="n">
        <x:v>3110.975089944861</x:v>
      </x:c>
      <x:c r="E1969" s="101"/>
      <x:c r="F1969" s="100"/>
    </x:row>
    <x:row r="1970">
      <x:c r="A1970" s="102" t="n">
        <x:v>46017</x:v>
      </x:c>
      <x:c r="B1970" s="103" t="str">
        <x:v>0:00-4:00</x:v>
      </x:c>
      <x:c r="C1970" s="104" t="n">
        <x:v>5801.938613695826</x:v>
      </x:c>
      <x:c r="D1970" s="104" t="n">
        <x:v>695.5853562499999</x:v>
      </x:c>
      <x:c r="E1970" s="105" t="str">
        <x:v>0:00</x:v>
      </x:c>
      <x:c r="F1970" s="104" t="n">
        <x:v>6027.094380466001</x:v>
      </x:c>
    </x:row>
    <x:row r="1971">
      <x:c r="A1971" s="78"/>
      <x:c r="B1971" s="79" t="str">
        <x:v>4:00-8:00</x:v>
      </x:c>
      <x:c r="C1971" s="80" t="n">
        <x:v>50.670458984375045</x:v>
      </x:c>
      <x:c r="D1971" s="80" t="n">
        <x:v>7082.047310416666</x:v>
      </x:c>
      <x:c r="E1971" s="81" t="str">
        <x:v>24:00</x:v>
      </x:c>
      <x:c r="F1971" s="80" t="n">
        <x:v>5988.431469235822</x:v>
      </x:c>
    </x:row>
    <x:row r="1972">
      <x:c r="A1972" s="78"/>
      <x:c r="B1972" s="79" t="str">
        <x:v>8:00-12:00</x:v>
      </x:c>
      <x:c r="C1972" s="80" t="n">
        <x:v>5859.259401401568</x:v>
      </x:c>
      <x:c r="D1972" s="80" t="n">
        <x:v>1307.365624623699</x:v>
      </x:c>
      <x:c r="E1972" s="81"/>
      <x:c r="F1972" s="80"/>
    </x:row>
    <x:row r="1973">
      <x:c r="A1973" s="78"/>
      <x:c r="B1973" s="79" t="str">
        <x:v>12:00-16:00</x:v>
      </x:c>
      <x:c r="C1973" s="80" t="n">
        <x:v>3312.2390786591327</x:v>
      </x:c>
      <x:c r="D1973" s="80" t="n">
        <x:v>351.2065750380218</x:v>
      </x:c>
      <x:c r="E1973" s="81"/>
      <x:c r="F1973" s="80"/>
    </x:row>
    <x:row r="1974">
      <x:c r="A1974" s="78"/>
      <x:c r="B1974" s="79" t="str">
        <x:v>16:00-20:00</x:v>
      </x:c>
      <x:c r="C1974" s="80" t="n">
        <x:v>79.37446959635412</x:v>
      </x:c>
      <x:c r="D1974" s="80" t="n">
        <x:v>6242.5915575394065</x:v>
      </x:c>
      <x:c r="E1974" s="81"/>
      <x:c r="F1974" s="80"/>
    </x:row>
    <x:row r="1975">
      <x:c r="A1975" s="98"/>
      <x:c r="B1975" s="99" t="str">
        <x:v>20:00-24:00</x:v>
      </x:c>
      <x:c r="C1975" s="100" t="n">
        <x:v>5335.4464854774305</x:v>
      </x:c>
      <x:c r="D1975" s="100" t="n">
        <x:v>911.5322875692616</x:v>
      </x:c>
      <x:c r="E1975" s="101"/>
      <x:c r="F1975" s="100"/>
    </x:row>
    <x:row r="1976">
      <x:c r="A1976" s="102" t="n">
        <x:v>46018</x:v>
      </x:c>
      <x:c r="B1976" s="103" t="str">
        <x:v>0:00-4:00</x:v>
      </x:c>
      <x:c r="C1976" s="104" t="n">
        <x:v>4743.536477107767</x:v>
      </x:c>
      <x:c r="D1976" s="104" t="n">
        <x:v>258.39135944010394</x:v>
      </x:c>
      <x:c r="E1976" s="105" t="str">
        <x:v>0:00</x:v>
      </x:c>
      <x:c r="F1976" s="104" t="n">
        <x:v>5988.431469235822</x:v>
      </x:c>
    </x:row>
    <x:row r="1977">
      <x:c r="A1977" s="78"/>
      <x:c r="B1977" s="79" t="str">
        <x:v>4:00-8:00</x:v>
      </x:c>
      <x:c r="C1977" s="80" t="n">
        <x:v>888.8774725911459</x:v>
      </x:c>
      <x:c r="D1977" s="80" t="n">
        <x:v>6776.689156380207</x:v>
      </x:c>
      <x:c r="E1977" s="81" t="str">
        <x:v>24:00</x:v>
      </x:c>
      <x:c r="F1977" s="80" t="n">
        <x:v>6018.793833987991</x:v>
      </x:c>
    </x:row>
    <x:row r="1978">
      <x:c r="A1978" s="78"/>
      <x:c r="B1978" s="79" t="str">
        <x:v>8:00-12:00</x:v>
      </x:c>
      <x:c r="C1978" s="80" t="n">
        <x:v>4844.155824250644</x:v>
      </x:c>
      <x:c r="D1978" s="80" t="n">
        <x:v>1699.5235666666663</x:v>
      </x:c>
      <x:c r="E1978" s="81"/>
      <x:c r="F1978" s="80"/>
    </x:row>
    <x:row r="1979">
      <x:c r="A1979" s="78"/>
      <x:c r="B1979" s="79" t="str">
        <x:v>12:00-16:00</x:v>
      </x:c>
      <x:c r="C1979" s="80" t="n">
        <x:v>4309.30772777677</x:v>
      </x:c>
      <x:c r="D1979" s="80" t="n">
        <x:v>74.58791411649938</x:v>
      </x:c>
      <x:c r="E1979" s="81"/>
      <x:c r="F1979" s="80"/>
    </x:row>
    <x:row r="1980">
      <x:c r="A1980" s="78"/>
      <x:c r="B1980" s="79" t="str">
        <x:v>16:00-20:00</x:v>
      </x:c>
      <x:c r="C1980" s="80" t="n">
        <x:v>14.05080109292635</x:v>
      </x:c>
      <x:c r="D1980" s="80" t="n">
        <x:v>6441.46887848791</x:v>
      </x:c>
      <x:c r="E1980" s="81"/>
      <x:c r="F1980" s="80"/>
    </x:row>
    <x:row r="1981">
      <x:c r="A1981" s="98"/>
      <x:c r="B1981" s="99" t="str">
        <x:v>20:00-24:00</x:v>
      </x:c>
      <x:c r="C1981" s="100" t="n">
        <x:v>5385.719517027552</x:v>
      </x:c>
      <x:c r="D1981" s="100" t="n">
        <x:v>1072.387730707575</x:v>
      </x:c>
      <x:c r="E1981" s="101"/>
      <x:c r="F1981" s="100"/>
    </x:row>
    <x:row r="1982">
      <x:c r="A1982" s="102" t="n">
        <x:v>46019</x:v>
      </x:c>
      <x:c r="B1982" s="103" t="str">
        <x:v>0:00-4:00</x:v>
      </x:c>
      <x:c r="C1982" s="104" t="n">
        <x:v>5149.961828656284</x:v>
      </x:c>
      <x:c r="D1982" s="104" t="n">
        <x:v>197.4324955078124</x:v>
      </x:c>
      <x:c r="E1982" s="105" t="str">
        <x:v>0:00</x:v>
      </x:c>
      <x:c r="F1982" s="104" t="n">
        <x:v>6018.793833987991</x:v>
      </x:c>
    </x:row>
    <x:row r="1983">
      <x:c r="A1983" s="78"/>
      <x:c r="B1983" s="79" t="str">
        <x:v>4:00-8:00</x:v>
      </x:c>
      <x:c r="C1983" s="80" t="n">
        <x:v>1012.0433613281252</x:v>
      </x:c>
      <x:c r="D1983" s="80" t="n">
        <x:v>1784.8139564087069</x:v>
      </x:c>
      <x:c r="E1983" s="81" t="str">
        <x:v>24:00</x:v>
      </x:c>
      <x:c r="F1983" s="80" t="n">
        <x:v>6060.938594663628</x:v>
      </x:c>
    </x:row>
    <x:row r="1984">
      <x:c r="A1984" s="78"/>
      <x:c r="B1984" s="79" t="str">
        <x:v>8:00-12:00</x:v>
      </x:c>
      <x:c r="C1984" s="80" t="n">
        <x:v>5642.641157900558</x:v>
      </x:c>
      <x:c r="D1984" s="80" t="n">
        <x:v>7376.440372377323</x:v>
      </x:c>
      <x:c r="E1984" s="81"/>
      <x:c r="F1984" s="80"/>
    </x:row>
    <x:row r="1985">
      <x:c r="A1985" s="78"/>
      <x:c r="B1985" s="79" t="str">
        <x:v>12:00-16:00</x:v>
      </x:c>
      <x:c r="C1985" s="80" t="n">
        <x:v>7437.215121021955</x:v>
      </x:c>
      <x:c r="D1985" s="80" t="n">
        <x:v>1945.2376557928565</x:v>
      </x:c>
      <x:c r="E1985" s="81"/>
      <x:c r="F1985" s="80"/>
    </x:row>
    <x:row r="1986">
      <x:c r="A1986" s="78"/>
      <x:c r="B1986" s="79" t="str">
        <x:v>16:00-20:00</x:v>
      </x:c>
      <x:c r="C1986" s="80" t="n">
        <x:v>70.04011651894893</x:v>
      </x:c>
      <x:c r="D1986" s="80" t="n">
        <x:v>5151.78057679509</x:v>
      </x:c>
      <x:c r="E1986" s="81"/>
      <x:c r="F1986" s="80"/>
    </x:row>
    <x:row r="1987">
      <x:c r="A1987" s="98"/>
      <x:c r="B1987" s="99" t="str">
        <x:v>20:00-24:00</x:v>
      </x:c>
      <x:c r="C1987" s="100" t="n">
        <x:v>5402.178177053594</x:v>
      </x:c>
      <x:c r="D1987" s="100" t="n">
        <x:v>3524.7692661185056</x:v>
      </x:c>
      <x:c r="E1987" s="101"/>
      <x:c r="F1987" s="100"/>
    </x:row>
    <x:row r="1988">
      <x:c r="A1988" s="102" t="n">
        <x:v>46020</x:v>
      </x:c>
      <x:c r="B1988" s="103" t="str">
        <x:v>0:00-4:00</x:v>
      </x:c>
      <x:c r="C1988" s="104" t="n">
        <x:v>5333.767601806037</x:v>
      </x:c>
      <x:c r="D1988" s="104" t="n">
        <x:v>202.82318697916674</x:v>
      </x:c>
      <x:c r="E1988" s="105" t="str">
        <x:v>0:00</x:v>
      </x:c>
      <x:c r="F1988" s="104" t="n">
        <x:v>6060.938594663628</x:v>
      </x:c>
    </x:row>
    <x:row r="1989">
      <x:c r="A1989" s="78"/>
      <x:c r="B1989" s="79" t="str">
        <x:v>4:00-8:00</x:v>
      </x:c>
      <x:c r="C1989" s="80" t="n">
        <x:v>128.44927400149254</x:v>
      </x:c>
      <x:c r="D1989" s="80" t="n">
        <x:v>968.8819958524658</x:v>
      </x:c>
      <x:c r="E1989" s="81" t="str">
        <x:v>24:00</x:v>
      </x:c>
      <x:c r="F1989" s="80" t="n">
        <x:v>5901.15170368128</x:v>
      </x:c>
    </x:row>
    <x:row r="1990">
      <x:c r="A1990" s="78"/>
      <x:c r="B1990" s="79" t="str">
        <x:v>8:00-12:00</x:v>
      </x:c>
      <x:c r="C1990" s="80" t="n">
        <x:v>5701.914499588946</x:v>
      </x:c>
      <x:c r="D1990" s="80" t="n">
        <x:v>7370.261551420522</x:v>
      </x:c>
      <x:c r="E1990" s="81"/>
      <x:c r="F1990" s="80"/>
    </x:row>
    <x:row r="1991">
      <x:c r="A1991" s="78"/>
      <x:c r="B1991" s="79" t="str">
        <x:v>12:00-16:00</x:v>
      </x:c>
      <x:c r="C1991" s="80" t="n">
        <x:v>7277.197509206728</x:v>
      </x:c>
      <x:c r="D1991" s="80" t="n">
        <x:v>2476.66372297545</x:v>
      </x:c>
      <x:c r="E1991" s="81"/>
      <x:c r="F1991" s="80"/>
    </x:row>
    <x:row r="1992">
      <x:c r="A1992" s="78"/>
      <x:c r="B1992" s="79" t="str">
        <x:v>16:00-20:00</x:v>
      </x:c>
      <x:c r="C1992" s="80" t="n">
        <x:v>181.3797583078333</x:v>
      </x:c>
      <x:c r="D1992" s="80" t="n">
        <x:v>5246.378527103522</x:v>
      </x:c>
      <x:c r="E1992" s="81"/>
      <x:c r="F1992" s="80"/>
    </x:row>
    <x:row r="1993">
      <x:c r="A1993" s="98"/>
      <x:c r="B1993" s="99" t="str">
        <x:v>20:00-24:00</x:v>
      </x:c>
      <x:c r="C1993" s="100" t="n">
        <x:v>5254.845146446598</x:v>
      </x:c>
      <x:c r="D1993" s="100" t="n">
        <x:v>3219.6177869326775</x:v>
      </x:c>
      <x:c r="E1993" s="101"/>
      <x:c r="F1993" s="100"/>
    </x:row>
    <x:row r="1994">
      <x:c r="A1994" s="102" t="n">
        <x:v>46021</x:v>
      </x:c>
      <x:c r="B1994" s="103" t="str">
        <x:v>0:00-4:00</x:v>
      </x:c>
      <x:c r="C1994" s="104" t="n">
        <x:v>4742.190277072883</x:v>
      </x:c>
      <x:c r="D1994" s="104" t="n">
        <x:v>93.49674361979191</x:v>
      </x:c>
      <x:c r="E1994" s="105" t="str">
        <x:v>0:00</x:v>
      </x:c>
      <x:c r="F1994" s="104" t="n">
        <x:v>5901.15170368128</x:v>
      </x:c>
    </x:row>
    <x:row r="1995">
      <x:c r="A1995" s="78"/>
      <x:c r="B1995" s="79" t="str">
        <x:v>4:00-8:00</x:v>
      </x:c>
      <x:c r="C1995" s="80" t="n">
        <x:v>921.9750785444583</x:v>
      </x:c>
      <x:c r="D1995" s="80" t="n">
        <x:v>1107.4753532664813</x:v>
      </x:c>
      <x:c r="E1995" s="81" t="str">
        <x:v>24:00</x:v>
      </x:c>
      <x:c r="F1995" s="80" t="n">
        <x:v>5980.2695870391</x:v>
      </x:c>
    </x:row>
    <x:row r="1996">
      <x:c r="A1996" s="78"/>
      <x:c r="B1996" s="79" t="str">
        <x:v>8:00-12:00</x:v>
      </x:c>
      <x:c r="C1996" s="80" t="n">
        <x:v>5681.706169389756</x:v>
      </x:c>
      <x:c r="D1996" s="80" t="n">
        <x:v>7618.038374476925</x:v>
      </x:c>
      <x:c r="E1996" s="81"/>
      <x:c r="F1996" s="80"/>
    </x:row>
    <x:row r="1997">
      <x:c r="A1997" s="78"/>
      <x:c r="B1997" s="79" t="str">
        <x:v>12:00-16:00</x:v>
      </x:c>
      <x:c r="C1997" s="80" t="n">
        <x:v>7378.601505507365</x:v>
      </x:c>
      <x:c r="D1997" s="80" t="n">
        <x:v>1989.1455002776993</x:v>
      </x:c>
      <x:c r="E1997" s="81"/>
      <x:c r="F1997" s="80"/>
    </x:row>
    <x:row r="1998">
      <x:c r="A1998" s="78"/>
      <x:c r="B1998" s="79" t="str">
        <x:v>16:00-20:00</x:v>
      </x:c>
      <x:c r="C1998" s="80" t="n">
        <x:v>79.76104622531591</x:v>
      </x:c>
      <x:c r="D1998" s="80" t="n">
        <x:v>5132.400810110215</x:v>
      </x:c>
      <x:c r="E1998" s="81"/>
      <x:c r="F1998" s="80"/>
    </x:row>
    <x:row r="1999">
      <x:c r="A1999" s="98"/>
      <x:c r="B1999" s="99" t="str">
        <x:v>20:00-24:00</x:v>
      </x:c>
      <x:c r="C1999" s="100" t="n">
        <x:v>5336.7125178007645</x:v>
      </x:c>
      <x:c r="D1999" s="100" t="n">
        <x:v>3542.4038648046876</x:v>
      </x:c>
      <x:c r="E1999" s="101"/>
      <x:c r="F1999" s="100"/>
    </x:row>
    <x:row r="2000">
      <x:c r="A2000" s="102" t="n">
        <x:v>46022</x:v>
      </x:c>
      <x:c r="B2000" s="103" t="str">
        <x:v>0:00-4:00</x:v>
      </x:c>
      <x:c r="C2000" s="104" t="n">
        <x:v>5094.659676497396</x:v>
      </x:c>
      <x:c r="D2000" s="104" t="n">
        <x:v>245.1500308593752</x:v>
      </x:c>
      <x:c r="E2000" s="105" t="str">
        <x:v>0:00</x:v>
      </x:c>
      <x:c r="F2000" s="104" t="n">
        <x:v>5980.2695870391</x:v>
      </x:c>
    </x:row>
    <x:row r="2001">
      <x:c r="A2001" s="78"/>
      <x:c r="B2001" s="79" t="str">
        <x:v>4:00-8:00</x:v>
      </x:c>
      <x:c r="C2001" s="80" t="n">
        <x:v>661.9200695396864</x:v>
      </x:c>
      <x:c r="D2001" s="80" t="n">
        <x:v>1037.1136394755013</x:v>
      </x:c>
      <x:c r="E2001" s="81" t="str">
        <x:v>24:00</x:v>
      </x:c>
      <x:c r="F2001" s="80" t="n">
        <x:v>5826.484477839988</x:v>
      </x:c>
    </x:row>
    <x:row r="2002">
      <x:c r="A2002" s="78"/>
      <x:c r="B2002" s="79" t="str">
        <x:v>8:00-12:00</x:v>
      </x:c>
      <x:c r="C2002" s="80" t="n">
        <x:v>5619.922081600525</x:v>
      </x:c>
      <x:c r="D2002" s="80" t="n">
        <x:v>7682.808552290348</x:v>
      </x:c>
      <x:c r="E2002" s="81"/>
      <x:c r="F2002" s="80"/>
    </x:row>
    <x:row r="2003">
      <x:c r="A2003" s="78"/>
      <x:c r="B2003" s="79" t="str">
        <x:v>12:00-16:00</x:v>
      </x:c>
      <x:c r="C2003" s="80" t="n">
        <x:v>7549.638508638718</x:v>
      </x:c>
      <x:c r="D2003" s="80" t="n">
        <x:v>2859.7795053785867</x:v>
      </x:c>
      <x:c r="E2003" s="81"/>
      <x:c r="F2003" s="80"/>
    </x:row>
    <x:row r="2004">
      <x:c r="A2004" s="78"/>
      <x:c r="B2004" s="79" t="str">
        <x:v>16:00-20:00</x:v>
      </x:c>
      <x:c r="C2004" s="80" t="n">
        <x:v>82.67798915413721</x:v>
      </x:c>
      <x:c r="D2004" s="80" t="n">
        <x:v>5179.969168658076</x:v>
      </x:c>
      <x:c r="E2004" s="81"/>
      <x:c r="F2004" s="80"/>
    </x:row>
    <x:row r="2005">
      <x:c r="A2005" s="98"/>
      <x:c r="B2005" s="99" t="str">
        <x:v>20:00-24:00</x:v>
      </x:c>
      <x:c r="C2005" s="100" t="n">
        <x:v>5300.865598654514</x:v>
      </x:c>
      <x:c r="D2005" s="100" t="n">
        <x:v>2824.4296801261453</x:v>
      </x:c>
      <x:c r="E2005" s="101"/>
      <x:c r="F2005" s="10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6" style="2" hidden="0" customWidth="1"/>
    <x:col min="2" max="2" width="23" style="22" hidden="0" customWidth="1"/>
    <x:col min="3" max="3" width="18" style="2" hidden="0" customWidth="1"/>
    <x:col min="4" max="16384" width="8.7265625" style="20" customWidth="0"/>
  </x:cols>
  <x:sheetData>
    <x:row r="1" ht="14" customHeight="1">
      <x:c r="A1" s="109" t="s">
        <x:v>3</x:v>
      </x:c>
      <x:c r="B1" s="109" t="s">
        <x:v>9</x:v>
      </x:c>
      <x:c r="C1" s="109" t="s">
        <x:v>10</x:v>
      </x:c>
    </x:row>
    <x:row r="2" ht="14" customHeight="1">
      <x:c r="A2" s="110" t="n">
        <x:v>45689</x:v>
      </x:c>
      <x:c r="B2" s="109" t="str">
        <x:v>无</x:v>
      </x:c>
      <x:c r="C2" s="111" t="n">
        <x:v>0</x:v>
      </x:c>
    </x:row>
    <x:row r="3" ht="14" customHeight="1">
      <x:c r="A3" s="110" t="n">
        <x:v>45690</x:v>
      </x:c>
      <x:c r="B3" s="109" t="str">
        <x:v>无</x:v>
      </x:c>
      <x:c r="C3" s="111" t="n">
        <x:v>0</x:v>
      </x:c>
    </x:row>
    <x:row r="4" ht="14" customHeight="1">
      <x:c r="A4" s="110" t="n">
        <x:v>45691</x:v>
      </x:c>
      <x:c r="B4" s="109" t="str">
        <x:v>无</x:v>
      </x:c>
      <x:c r="C4" s="111" t="n">
        <x:v>0</x:v>
      </x:c>
    </x:row>
    <x:row r="5" ht="14" customHeight="1">
      <x:c r="A5" s="110" t="n">
        <x:v>45692</x:v>
      </x:c>
      <x:c r="B5" s="109" t="str">
        <x:v>20:30-20:50</x:v>
      </x:c>
      <x:c r="C5" s="111" t="n">
        <x:v>719.3936133566049</x:v>
      </x:c>
    </x:row>
    <x:row r="6" ht="14" customHeight="1">
      <x:c r="A6" s="110" t="n">
        <x:v>45693</x:v>
      </x:c>
      <x:c r="B6" s="109" t="str">
        <x:v>10:40-10:50</x:v>
      </x:c>
      <x:c r="C6" s="111" t="n">
        <x:v>48.93486998008521</x:v>
      </x:c>
    </x:row>
    <x:row r="7" ht="14" customHeight="1">
      <x:c r="A7" s="110" t="n">
        <x:v>45694</x:v>
      </x:c>
      <x:c r="B7" s="109" t="str">
        <x:v>07:50-08:10</x:v>
      </x:c>
      <x:c r="C7" s="111" t="n">
        <x:v>28.49742925806345</x:v>
      </x:c>
    </x:row>
    <x:row r="8" ht="14" customHeight="1">
      <x:c r="A8" s="110" t="n">
        <x:v>45695</x:v>
      </x:c>
      <x:c r="B8" s="109" t="str">
        <x:v>无</x:v>
      </x:c>
      <x:c r="C8" s="111" t="n">
        <x:v>0</x:v>
      </x:c>
    </x:row>
    <x:row r="9" ht="14" customHeight="1">
      <x:c r="A9" s="110" t="n">
        <x:v>45696</x:v>
      </x:c>
      <x:c r="B9" s="109" t="str">
        <x:v>无</x:v>
      </x:c>
      <x:c r="C9" s="111" t="n">
        <x:v>0</x:v>
      </x:c>
    </x:row>
    <x:row r="10" ht="14" customHeight="1">
      <x:c r="A10" s="110" t="n">
        <x:v>45697</x:v>
      </x:c>
      <x:c r="B10" s="109" t="str">
        <x:v>21:20-21:50</x:v>
      </x:c>
      <x:c r="C10" s="111" t="n">
        <x:v>49.34051818503931</x:v>
      </x:c>
    </x:row>
    <x:row r="11" ht="14" customHeight="1">
      <x:c r="A11" s="110" t="n">
        <x:v>45698</x:v>
      </x:c>
      <x:c r="B11" s="109" t="str">
        <x:v>无</x:v>
      </x:c>
      <x:c r="C11" s="111" t="n">
        <x:v>0</x:v>
      </x:c>
    </x:row>
    <x:row r="12">
      <x:c r="A12" s="112" t="n">
        <x:v>45699</x:v>
      </x:c>
      <x:c r="B12" s="113" t="str">
        <x:v>20:30-20:40</x:v>
      </x:c>
      <x:c r="C12" s="114" t="n">
        <x:v>12.762483333333194</x:v>
      </x:c>
    </x:row>
    <x:row r="13">
      <x:c r="A13" s="112"/>
      <x:c r="B13" s="113" t="str">
        <x:v>20:50-21:00</x:v>
      </x:c>
      <x:c r="C13" s="114" t="n">
        <x:v>5.351773126302168</x:v>
      </x:c>
    </x:row>
    <x:row r="14">
      <x:c r="A14" s="112"/>
      <x:c r="B14" s="113" t="str">
        <x:v>21:20-21:40</x:v>
      </x:c>
      <x:c r="C14" s="114" t="n">
        <x:v>22.76918591666681</x:v>
      </x:c>
    </x:row>
    <x:row r="15">
      <x:c r="A15" s="112" t="n">
        <x:v>45700</x:v>
      </x:c>
      <x:c r="B15" s="113" t="str">
        <x:v>20:30-20:40</x:v>
      </x:c>
      <x:c r="C15" s="114" t="n">
        <x:v>111.60588269217783</x:v>
      </x:c>
    </x:row>
    <x:row r="16">
      <x:c r="A16" s="112" t="n">
        <x:v>45701</x:v>
      </x:c>
      <x:c r="B16" s="113" t="str">
        <x:v>无</x:v>
      </x:c>
      <x:c r="C16" s="114" t="n">
        <x:v>0</x:v>
      </x:c>
    </x:row>
    <x:row r="17">
      <x:c r="A17" s="112" t="n">
        <x:v>45702</x:v>
      </x:c>
      <x:c r="B17" s="113" t="str">
        <x:v>无</x:v>
      </x:c>
      <x:c r="C17" s="114" t="n">
        <x:v>0</x:v>
      </x:c>
    </x:row>
    <x:row r="18">
      <x:c r="A18" s="112" t="n">
        <x:v>45703</x:v>
      </x:c>
      <x:c r="B18" s="113" t="str">
        <x:v>无</x:v>
      </x:c>
      <x:c r="C18" s="114" t="n">
        <x:v>0</x:v>
      </x:c>
    </x:row>
    <x:row r="19">
      <x:c r="A19" s="112" t="n">
        <x:v>45704</x:v>
      </x:c>
      <x:c r="B19" s="113" t="str">
        <x:v>20:30-20:50</x:v>
      </x:c>
      <x:c r="C19" s="114" t="n">
        <x:v>567.0498678447439</x:v>
      </x:c>
    </x:row>
    <x:row r="20">
      <x:c r="A20" s="112"/>
      <x:c r="B20" s="113" t="str">
        <x:v>21:30-21:50</x:v>
      </x:c>
      <x:c r="C20" s="114" t="n">
        <x:v>51.47640952473942</x:v>
      </x:c>
    </x:row>
    <x:row r="21">
      <x:c r="A21" s="112" t="n">
        <x:v>45705</x:v>
      </x:c>
      <x:c r="B21" s="113" t="str">
        <x:v>21:30-21:40</x:v>
      </x:c>
      <x:c r="C21" s="114" t="n">
        <x:v>16.09005205859312</x:v>
      </x:c>
    </x:row>
    <x:row r="22">
      <x:c r="A22" s="112" t="n">
        <x:v>45706</x:v>
      </x:c>
      <x:c r="B22" s="113" t="str">
        <x:v>20:30-20:40</x:v>
      </x:c>
      <x:c r="C22" s="114" t="n">
        <x:v>69.8519664384296</x:v>
      </x:c>
    </x:row>
    <x:row r="23">
      <x:c r="A23" s="112" t="n">
        <x:v>45707</x:v>
      </x:c>
      <x:c r="B23" s="113" t="str">
        <x:v>05:50-06:00</x:v>
      </x:c>
      <x:c r="C23" s="114" t="n">
        <x:v>27</x:v>
      </x:c>
    </x:row>
    <x:row r="24">
      <x:c r="A24" s="112"/>
      <x:c r="B24" s="113" t="str">
        <x:v>21:40-21:50</x:v>
      </x:c>
      <x:c r="C24" s="114" t="n">
        <x:v>21.85094094534395</x:v>
      </x:c>
    </x:row>
    <x:row r="25">
      <x:c r="A25" s="112" t="n">
        <x:v>45708</x:v>
      </x:c>
      <x:c r="B25" s="113" t="str">
        <x:v>21:00-21:10</x:v>
      </x:c>
      <x:c r="C25" s="114" t="n">
        <x:v>15.052975988981348</x:v>
      </x:c>
    </x:row>
    <x:row r="26">
      <x:c r="A26" s="112" t="n">
        <x:v>45709</x:v>
      </x:c>
      <x:c r="B26" s="113" t="str">
        <x:v>无</x:v>
      </x:c>
      <x:c r="C26" s="114" t="n">
        <x:v>0</x:v>
      </x:c>
    </x:row>
    <x:row r="27">
      <x:c r="A27" s="112" t="n">
        <x:v>45710</x:v>
      </x:c>
      <x:c r="B27" s="113" t="str">
        <x:v>无</x:v>
      </x:c>
      <x:c r="C27" s="114" t="n">
        <x:v>0</x:v>
      </x:c>
    </x:row>
    <x:row r="28">
      <x:c r="A28" s="112" t="n">
        <x:v>45711</x:v>
      </x:c>
      <x:c r="B28" s="113" t="str">
        <x:v>21:40-21:50</x:v>
      </x:c>
      <x:c r="C28" s="114" t="n">
        <x:v>35.04090337886178</x:v>
      </x:c>
    </x:row>
    <x:row r="29">
      <x:c r="A29" s="112" t="n">
        <x:v>45712</x:v>
      </x:c>
      <x:c r="B29" s="113" t="str">
        <x:v>06:10-06:20</x:v>
      </x:c>
      <x:c r="C29" s="114" t="n">
        <x:v>8.423192933589007</x:v>
      </x:c>
    </x:row>
    <x:row r="30">
      <x:c r="A30" s="112"/>
      <x:c r="B30" s="113" t="str">
        <x:v>20:30-21:00</x:v>
      </x:c>
      <x:c r="C30" s="114" t="n">
        <x:v>268.70780441032423</x:v>
      </x:c>
    </x:row>
    <x:row r="31">
      <x:c r="A31" s="112"/>
      <x:c r="B31" s="113" t="str">
        <x:v>21:30-21:50</x:v>
      </x:c>
      <x:c r="C31" s="114" t="n">
        <x:v>17.498759906233587</x:v>
      </x:c>
    </x:row>
    <x:row r="32">
      <x:c r="A32" s="112" t="n">
        <x:v>45713</x:v>
      </x:c>
      <x:c r="B32" s="113" t="str">
        <x:v>无</x:v>
      </x:c>
      <x:c r="C32" s="114" t="n">
        <x:v>0</x:v>
      </x:c>
    </x:row>
    <x:row r="33">
      <x:c r="A33" s="112" t="n">
        <x:v>45714</x:v>
      </x:c>
      <x:c r="B33" s="113" t="str">
        <x:v>05:50-06:00</x:v>
      </x:c>
      <x:c r="C33" s="114" t="n">
        <x:v>6.98831315104178</x:v>
      </x:c>
    </x:row>
    <x:row r="34">
      <x:c r="A34" s="112"/>
      <x:c r="B34" s="113" t="str">
        <x:v>20:30-20:40</x:v>
      </x:c>
      <x:c r="C34" s="114" t="n">
        <x:v>428.7628852710186</x:v>
      </x:c>
    </x:row>
    <x:row r="35">
      <x:c r="A35" s="112" t="n">
        <x:v>45715</x:v>
      </x:c>
      <x:c r="B35" s="113" t="str">
        <x:v>05:50-06:00</x:v>
      </x:c>
      <x:c r="C35" s="114" t="n">
        <x:v>12.448333333333267</x:v>
      </x:c>
    </x:row>
    <x:row r="36">
      <x:c r="A36" s="112"/>
      <x:c r="B36" s="113" t="str">
        <x:v>09:30-10:20</x:v>
      </x:c>
      <x:c r="C36" s="114" t="n">
        <x:v>437.74106211572393</x:v>
      </x:c>
    </x:row>
    <x:row r="37">
      <x:c r="A37" s="112"/>
      <x:c r="B37" s="113" t="str">
        <x:v>20:30-20:40</x:v>
      </x:c>
      <x:c r="C37" s="114" t="n">
        <x:v>101.04115304322556</x:v>
      </x:c>
    </x:row>
    <x:row r="38">
      <x:c r="A38" s="112"/>
      <x:c r="B38" s="113" t="str">
        <x:v>21:20-21:50</x:v>
      </x:c>
      <x:c r="C38" s="114" t="n">
        <x:v>16.587122762088345</x:v>
      </x:c>
    </x:row>
    <x:row r="39">
      <x:c r="A39" s="112" t="n">
        <x:v>45716</x:v>
      </x:c>
      <x:c r="B39" s="113" t="str">
        <x:v>无</x:v>
      </x:c>
      <x:c r="C39" s="114" t="n">
        <x:v>0</x:v>
      </x:c>
    </x:row>
    <x:row r="40">
      <x:c r="A40" s="112" t="n">
        <x:v>45717</x:v>
      </x:c>
      <x:c r="B40" s="113" t="str">
        <x:v>无</x:v>
      </x:c>
      <x:c r="C40" s="114" t="n">
        <x:v>0</x:v>
      </x:c>
    </x:row>
    <x:row r="41">
      <x:c r="A41" s="112" t="n">
        <x:v>45718</x:v>
      </x:c>
      <x:c r="B41" s="113" t="str">
        <x:v>19:30-21:00</x:v>
      </x:c>
      <x:c r="C41" s="114" t="n">
        <x:v>4300.205986857184</x:v>
      </x:c>
    </x:row>
    <x:row r="42">
      <x:c r="A42" s="112"/>
      <x:c r="B42" s="113" t="str">
        <x:v>21:10-21:40</x:v>
      </x:c>
      <x:c r="C42" s="114" t="n">
        <x:v>105.29838404991297</x:v>
      </x:c>
    </x:row>
    <x:row r="43">
      <x:c r="A43" s="112" t="n">
        <x:v>45719</x:v>
      </x:c>
      <x:c r="B43" s="113" t="str">
        <x:v>09:20-10:40</x:v>
      </x:c>
      <x:c r="C43" s="114" t="n">
        <x:v>1538.5816892981468</x:v>
      </x:c>
    </x:row>
    <x:row r="44">
      <x:c r="A44" s="112"/>
      <x:c r="B44" s="113" t="str">
        <x:v>19:50-21:50</x:v>
      </x:c>
      <x:c r="C44" s="114" t="n">
        <x:v>3224.8068748084506</x:v>
      </x:c>
    </x:row>
    <x:row r="45">
      <x:c r="A45" s="112" t="n">
        <x:v>45720</x:v>
      </x:c>
      <x:c r="B45" s="113" t="str">
        <x:v>20:20-21:50</x:v>
      </x:c>
      <x:c r="C45" s="114" t="n">
        <x:v>1024.932083314408</x:v>
      </x:c>
    </x:row>
    <x:row r="46">
      <x:c r="A46" s="112" t="n">
        <x:v>45721</x:v>
      </x:c>
      <x:c r="B46" s="113" t="str">
        <x:v>20:30-20:50</x:v>
      </x:c>
      <x:c r="C46" s="114" t="n">
        <x:v>82.98847203966352</x:v>
      </x:c>
    </x:row>
    <x:row r="47">
      <x:c r="A47" s="112" t="n">
        <x:v>45722</x:v>
      </x:c>
      <x:c r="B47" s="113" t="str">
        <x:v>20:20-21:20</x:v>
      </x:c>
      <x:c r="C47" s="114" t="n">
        <x:v>807.0881083765549</x:v>
      </x:c>
    </x:row>
    <x:row r="48">
      <x:c r="A48" s="112" t="n">
        <x:v>45723</x:v>
      </x:c>
      <x:c r="B48" s="113" t="str">
        <x:v>21:40-22:00</x:v>
      </x:c>
      <x:c r="C48" s="114" t="n">
        <x:v>37.90132648482036</x:v>
      </x:c>
    </x:row>
    <x:row r="49">
      <x:c r="A49" s="112" t="n">
        <x:v>45724</x:v>
      </x:c>
      <x:c r="B49" s="113" t="str">
        <x:v>无</x:v>
      </x:c>
      <x:c r="C49" s="114" t="n">
        <x:v>0</x:v>
      </x:c>
    </x:row>
    <x:row r="50">
      <x:c r="A50" s="112" t="n">
        <x:v>45725</x:v>
      </x:c>
      <x:c r="B50" s="113" t="str">
        <x:v>21:30-21:50</x:v>
      </x:c>
      <x:c r="C50" s="114" t="n">
        <x:v>55.33908713153717</x:v>
      </x:c>
    </x:row>
    <x:row r="51">
      <x:c r="A51" s="112" t="n">
        <x:v>45726</x:v>
      </x:c>
      <x:c r="B51" s="113" t="str">
        <x:v>09:30-10:20</x:v>
      </x:c>
      <x:c r="C51" s="114" t="n">
        <x:v>479.50800819582156</x:v>
      </x:c>
    </x:row>
    <x:row r="52">
      <x:c r="A52" s="112"/>
      <x:c r="B52" s="113" t="str">
        <x:v>20:00-20:50</x:v>
      </x:c>
      <x:c r="C52" s="114" t="n">
        <x:v>2250.9666847118992</x:v>
      </x:c>
    </x:row>
    <x:row r="53">
      <x:c r="A53" s="112"/>
      <x:c r="B53" s="113" t="str">
        <x:v>21:10-21:30</x:v>
      </x:c>
      <x:c r="C53" s="114" t="n">
        <x:v>33.74615449178562</x:v>
      </x:c>
    </x:row>
    <x:row r="54">
      <x:c r="A54" s="112"/>
      <x:c r="B54" s="113" t="str">
        <x:v>21:50-22:00</x:v>
      </x:c>
      <x:c r="C54" s="114" t="n">
        <x:v>8.436102475911571</x:v>
      </x:c>
    </x:row>
    <x:row r="55">
      <x:c r="A55" s="112" t="n">
        <x:v>45727</x:v>
      </x:c>
      <x:c r="B55" s="113" t="str">
        <x:v>20:20-20:40</x:v>
      </x:c>
      <x:c r="C55" s="114" t="n">
        <x:v>771.9688608365065</x:v>
      </x:c>
    </x:row>
    <x:row r="56">
      <x:c r="A56" s="112"/>
      <x:c r="B56" s="113" t="str">
        <x:v>21:00-21:30</x:v>
      </x:c>
      <x:c r="C56" s="114" t="n">
        <x:v>63.036604640223075</x:v>
      </x:c>
    </x:row>
    <x:row r="57">
      <x:c r="A57" s="112" t="n">
        <x:v>45728</x:v>
      </x:c>
      <x:c r="B57" s="113" t="str">
        <x:v>20:30-20:40</x:v>
      </x:c>
      <x:c r="C57" s="114" t="n">
        <x:v>301.66022581731744</x:v>
      </x:c>
    </x:row>
    <x:row r="58">
      <x:c r="A58" s="112"/>
      <x:c r="B58" s="113" t="str">
        <x:v>20:50-21:10</x:v>
      </x:c>
      <x:c r="C58" s="114" t="n">
        <x:v>5.113348720952627</x:v>
      </x:c>
    </x:row>
    <x:row r="59">
      <x:c r="A59" s="112" t="n">
        <x:v>45729</x:v>
      </x:c>
      <x:c r="B59" s="113" t="str">
        <x:v>10:10-10:50</x:v>
      </x:c>
      <x:c r="C59" s="114" t="n">
        <x:v>383.161922929827</x:v>
      </x:c>
    </x:row>
    <x:row r="60">
      <x:c r="A60" s="112"/>
      <x:c r="B60" s="113" t="str">
        <x:v>19:30-21:00</x:v>
      </x:c>
      <x:c r="C60" s="114" t="n">
        <x:v>3022.990086201792</x:v>
      </x:c>
    </x:row>
    <x:row r="61">
      <x:c r="A61" s="112" t="n">
        <x:v>45730</x:v>
      </x:c>
      <x:c r="B61" s="113" t="str">
        <x:v>21:30-21:40</x:v>
      </x:c>
      <x:c r="C61" s="114" t="n">
        <x:v>6.469955509065002</x:v>
      </x:c>
    </x:row>
    <x:row r="62">
      <x:c r="A62" s="112" t="n">
        <x:v>45731</x:v>
      </x:c>
      <x:c r="B62" s="113" t="str">
        <x:v>21:30-21:50</x:v>
      </x:c>
      <x:c r="C62" s="114" t="n">
        <x:v>230.76879186803257</x:v>
      </x:c>
    </x:row>
    <x:row r="63">
      <x:c r="A63" s="112" t="n">
        <x:v>45732</x:v>
      </x:c>
      <x:c r="B63" s="113" t="str">
        <x:v>05:50-06:00</x:v>
      </x:c>
      <x:c r="C63" s="114" t="n">
        <x:v>1.6400000000001</x:v>
      </x:c>
    </x:row>
    <x:row r="64">
      <x:c r="A64" s="112"/>
      <x:c r="B64" s="113" t="str">
        <x:v>08:30-09:20</x:v>
      </x:c>
      <x:c r="C64" s="114" t="n">
        <x:v>604.6490068120266</x:v>
      </x:c>
    </x:row>
    <x:row r="65">
      <x:c r="A65" s="112"/>
      <x:c r="B65" s="113" t="str">
        <x:v>20:30-21:00</x:v>
      </x:c>
      <x:c r="C65" s="114" t="n">
        <x:v>610.2524514309304</x:v>
      </x:c>
    </x:row>
    <x:row r="66">
      <x:c r="A66" s="112" t="n">
        <x:v>45733</x:v>
      </x:c>
      <x:c r="B66" s="113" t="str">
        <x:v>20:30-20:40</x:v>
      </x:c>
      <x:c r="C66" s="114" t="n">
        <x:v>105.93625926620848</x:v>
      </x:c>
    </x:row>
    <x:row r="67">
      <x:c r="A67" s="112"/>
      <x:c r="B67" s="113" t="str">
        <x:v>20:50-21:10</x:v>
      </x:c>
      <x:c r="C67" s="114" t="n">
        <x:v>18.899737903645928</x:v>
      </x:c>
    </x:row>
    <x:row r="68">
      <x:c r="A68" s="112" t="n">
        <x:v>45734</x:v>
      </x:c>
      <x:c r="B68" s="113" t="str">
        <x:v>09:00-10:00</x:v>
      </x:c>
      <x:c r="C68" s="114" t="n">
        <x:v>552.2689050839858</x:v>
      </x:c>
    </x:row>
    <x:row r="69">
      <x:c r="A69" s="112" t="n">
        <x:v>45735</x:v>
      </x:c>
      <x:c r="B69" s="113" t="str">
        <x:v>09:00-09:40</x:v>
      </x:c>
      <x:c r="C69" s="114" t="n">
        <x:v>551.5494441128284</x:v>
      </x:c>
    </x:row>
    <x:row r="70">
      <x:c r="A70" s="112" t="n">
        <x:v>45736</x:v>
      </x:c>
      <x:c r="B70" s="113" t="str">
        <x:v>20:10-20:40</x:v>
      </x:c>
      <x:c r="C70" s="114" t="n">
        <x:v>1914.2893630556134</x:v>
      </x:c>
    </x:row>
    <x:row r="71">
      <x:c r="A71" s="112"/>
      <x:c r="B71" s="113" t="str">
        <x:v>21:20-21:50</x:v>
      </x:c>
      <x:c r="C71" s="114" t="n">
        <x:v>69.92834445698301</x:v>
      </x:c>
    </x:row>
    <x:row r="72">
      <x:c r="A72" s="112" t="n">
        <x:v>45737</x:v>
      </x:c>
      <x:c r="B72" s="113" t="str">
        <x:v>20:40-20:50</x:v>
      </x:c>
      <x:c r="C72" s="114" t="n">
        <x:v>50.028416666666374</x:v>
      </x:c>
    </x:row>
    <x:row r="73">
      <x:c r="A73" s="112"/>
      <x:c r="B73" s="113" t="str">
        <x:v>21:30-21:40</x:v>
      </x:c>
      <x:c r="C73" s="114" t="n">
        <x:v>88.42082970446594</x:v>
      </x:c>
    </x:row>
    <x:row r="74">
      <x:c r="A74" s="112" t="n">
        <x:v>45738</x:v>
      </x:c>
      <x:c r="B74" s="113" t="str">
        <x:v>无</x:v>
      </x:c>
      <x:c r="C74" s="114" t="n">
        <x:v>0</x:v>
      </x:c>
    </x:row>
    <x:row r="75">
      <x:c r="A75" s="112" t="n">
        <x:v>45739</x:v>
      </x:c>
      <x:c r="B75" s="113" t="str">
        <x:v>08:40-10:00</x:v>
      </x:c>
      <x:c r="C75" s="114" t="n">
        <x:v>1092.5497655759684</x:v>
      </x:c>
    </x:row>
    <x:row r="76">
      <x:c r="A76" s="112"/>
      <x:c r="B76" s="113" t="str">
        <x:v>20:30-20:40</x:v>
      </x:c>
      <x:c r="C76" s="114" t="n">
        <x:v>188.74934147231988</x:v>
      </x:c>
    </x:row>
    <x:row r="77">
      <x:c r="A77" s="112"/>
      <x:c r="B77" s="113" t="str">
        <x:v>20:50-21:00</x:v>
      </x:c>
      <x:c r="C77" s="114" t="n">
        <x:v>30.912437910156132</x:v>
      </x:c>
    </x:row>
    <x:row r="78">
      <x:c r="A78" s="112"/>
      <x:c r="B78" s="113" t="str">
        <x:v>21:50-22:00</x:v>
      </x:c>
      <x:c r="C78" s="114" t="n">
        <x:v>28.399887765625067</x:v>
      </x:c>
    </x:row>
    <x:row r="79">
      <x:c r="A79" s="112" t="n">
        <x:v>45740</x:v>
      </x:c>
      <x:c r="B79" s="113" t="str">
        <x:v>08:50-09:40</x:v>
      </x:c>
      <x:c r="C79" s="114" t="n">
        <x:v>525.2454701770178</x:v>
      </x:c>
    </x:row>
    <x:row r="80">
      <x:c r="A80" s="112"/>
      <x:c r="B80" s="113" t="str">
        <x:v>20:30-21:00</x:v>
      </x:c>
      <x:c r="C80" s="114" t="n">
        <x:v>418.50167305935656</x:v>
      </x:c>
    </x:row>
    <x:row r="81">
      <x:c r="A81" s="112"/>
      <x:c r="B81" s="113" t="str">
        <x:v>21:30-21:40</x:v>
      </x:c>
      <x:c r="C81" s="114" t="n">
        <x:v>0.6304398281250769</x:v>
      </x:c>
    </x:row>
    <x:row r="82">
      <x:c r="A82" s="112" t="n">
        <x:v>45741</x:v>
      </x:c>
      <x:c r="B82" s="113" t="str">
        <x:v>08:40-10:40</x:v>
      </x:c>
      <x:c r="C82" s="114" t="n">
        <x:v>1242.001208710416</x:v>
      </x:c>
    </x:row>
    <x:row r="83">
      <x:c r="A83" s="112"/>
      <x:c r="B83" s="113" t="str">
        <x:v>20:20-20:40</x:v>
      </x:c>
      <x:c r="C83" s="114" t="n">
        <x:v>1355.2954667461404</x:v>
      </x:c>
    </x:row>
    <x:row r="84">
      <x:c r="A84" s="112"/>
      <x:c r="B84" s="113" t="str">
        <x:v>21:00-21:30</x:v>
      </x:c>
      <x:c r="C84" s="114" t="n">
        <x:v>45.284664212866595</x:v>
      </x:c>
    </x:row>
    <x:row r="85">
      <x:c r="A85" s="112"/>
      <x:c r="B85" s="113" t="str">
        <x:v>21:50-22:00</x:v>
      </x:c>
      <x:c r="C85" s="114" t="n">
        <x:v>3.4301481695313436</x:v>
      </x:c>
    </x:row>
    <x:row r="86">
      <x:c r="A86" s="112" t="n">
        <x:v>45742</x:v>
      </x:c>
      <x:c r="B86" s="113" t="str">
        <x:v>08:50-09:30</x:v>
      </x:c>
      <x:c r="C86" s="114" t="n">
        <x:v>187.4172729880179</x:v>
      </x:c>
    </x:row>
    <x:row r="87">
      <x:c r="A87" s="112" t="n">
        <x:v>45743</x:v>
      </x:c>
      <x:c r="B87" s="113" t="str">
        <x:v>09:10-09:40</x:v>
      </x:c>
      <x:c r="C87" s="114" t="n">
        <x:v>125.37560447389072</x:v>
      </x:c>
    </x:row>
    <x:row r="88">
      <x:c r="A88" s="112"/>
      <x:c r="B88" s="113" t="str">
        <x:v>20:10-20:20</x:v>
      </x:c>
      <x:c r="C88" s="114" t="n">
        <x:v>601.4758135743825</x:v>
      </x:c>
    </x:row>
    <x:row r="89">
      <x:c r="A89" s="112"/>
      <x:c r="B89" s="113" t="str">
        <x:v>20:30-22:00</x:v>
      </x:c>
      <x:c r="C89" s="114" t="n">
        <x:v>865.0654525101276</x:v>
      </x:c>
    </x:row>
    <x:row r="90">
      <x:c r="A90" s="112" t="n">
        <x:v>45744</x:v>
      </x:c>
      <x:c r="B90" s="113" t="str">
        <x:v>无</x:v>
      </x:c>
      <x:c r="C90" s="114" t="n">
        <x:v>0</x:v>
      </x:c>
    </x:row>
    <x:row r="91">
      <x:c r="A91" s="112" t="n">
        <x:v>45745</x:v>
      </x:c>
      <x:c r="B91" s="113" t="str">
        <x:v>20:40-20:50</x:v>
      </x:c>
      <x:c r="C91" s="114" t="n">
        <x:v>126.48905322087506</x:v>
      </x:c>
    </x:row>
    <x:row r="92">
      <x:c r="A92" s="112"/>
      <x:c r="B92" s="113" t="str">
        <x:v>21:10-21:30</x:v>
      </x:c>
      <x:c r="C92" s="114" t="n">
        <x:v>14.120928691917062</x:v>
      </x:c>
    </x:row>
    <x:row r="93">
      <x:c r="A93" s="112" t="n">
        <x:v>45746</x:v>
      </x:c>
      <x:c r="B93" s="113" t="str">
        <x:v>08:50-09:30</x:v>
      </x:c>
      <x:c r="C93" s="114" t="n">
        <x:v>250.2291137989212</x:v>
      </x:c>
    </x:row>
    <x:row r="94">
      <x:c r="A94" s="112"/>
      <x:c r="B94" s="113" t="str">
        <x:v>20:30-20:40</x:v>
      </x:c>
      <x:c r="C94" s="114" t="n">
        <x:v>695.2950816785285</x:v>
      </x:c>
    </x:row>
    <x:row r="95">
      <x:c r="A95" s="112" t="n">
        <x:v>45747</x:v>
      </x:c>
      <x:c r="B95" s="113" t="str">
        <x:v>19:40-20:00</x:v>
      </x:c>
      <x:c r="C95" s="114" t="n">
        <x:v>882.9206275894335</x:v>
      </x:c>
    </x:row>
    <x:row r="96">
      <x:c r="A96" s="112"/>
      <x:c r="B96" s="113" t="str">
        <x:v>20:10-20:40</x:v>
      </x:c>
      <x:c r="C96" s="114" t="n">
        <x:v>1416.4016886145832</x:v>
      </x:c>
    </x:row>
    <x:row r="97">
      <x:c r="A97" s="112"/>
      <x:c r="B97" s="113" t="str">
        <x:v>20:50-21:00</x:v>
      </x:c>
      <x:c r="C97" s="114" t="n">
        <x:v>29.514324782616335</x:v>
      </x:c>
    </x:row>
    <x:row r="98">
      <x:c r="A98" s="112"/>
      <x:c r="B98" s="113" t="str">
        <x:v>21:20-21:40</x:v>
      </x:c>
      <x:c r="C98" s="114" t="n">
        <x:v>19.7842938320312</x:v>
      </x:c>
    </x:row>
    <x:row r="99">
      <x:c r="A99" s="112" t="n">
        <x:v>45748</x:v>
      </x:c>
      <x:c r="B99" s="113" t="str">
        <x:v>19:10-19:50</x:v>
      </x:c>
      <x:c r="C99" s="114" t="n">
        <x:v>2755.0070235770254</x:v>
      </x:c>
    </x:row>
    <x:row r="100">
      <x:c r="A100" s="112"/>
      <x:c r="B100" s="113" t="str">
        <x:v>20:00-21:00</x:v>
      </x:c>
      <x:c r="C100" s="114" t="n">
        <x:v>1578.671847779266</x:v>
      </x:c>
    </x:row>
    <x:row r="101">
      <x:c r="A101" s="112"/>
      <x:c r="B101" s="113" t="str">
        <x:v>21:30-21:50</x:v>
      </x:c>
      <x:c r="C101" s="114" t="n">
        <x:v>50.27537472786514</x:v>
      </x:c>
    </x:row>
    <x:row r="102">
      <x:c r="A102" s="112" t="n">
        <x:v>45749</x:v>
      </x:c>
      <x:c r="B102" s="113" t="str">
        <x:v>08:10-10:20</x:v>
      </x:c>
      <x:c r="C102" s="114" t="n">
        <x:v>2499.741297338742</x:v>
      </x:c>
    </x:row>
    <x:row r="103">
      <x:c r="A103" s="112"/>
      <x:c r="B103" s="113" t="str">
        <x:v>20:00-20:40</x:v>
      </x:c>
      <x:c r="C103" s="114" t="n">
        <x:v>2008.7739598738674</x:v>
      </x:c>
    </x:row>
    <x:row r="104">
      <x:c r="A104" s="112" t="n">
        <x:v>45750</x:v>
      </x:c>
      <x:c r="B104" s="113" t="str">
        <x:v>08:50-09:30</x:v>
      </x:c>
      <x:c r="C104" s="114" t="n">
        <x:v>492.7072020597087</x:v>
      </x:c>
    </x:row>
    <x:row r="105">
      <x:c r="A105" s="112"/>
      <x:c r="B105" s="113" t="str">
        <x:v>20:30-20:40</x:v>
      </x:c>
      <x:c r="C105" s="114" t="n">
        <x:v>250.85953881098897</x:v>
      </x:c>
    </x:row>
    <x:row r="106">
      <x:c r="A106" s="112" t="n">
        <x:v>45751</x:v>
      </x:c>
      <x:c r="B106" s="113" t="str">
        <x:v>无</x:v>
      </x:c>
      <x:c r="C106" s="114" t="n">
        <x:v>0</x:v>
      </x:c>
    </x:row>
    <x:row r="107">
      <x:c r="A107" s="112" t="n">
        <x:v>45752</x:v>
      </x:c>
      <x:c r="B107" s="113" t="str">
        <x:v>06:40-07:20</x:v>
      </x:c>
      <x:c r="C107" s="114" t="n">
        <x:v>506.3523485697398</x:v>
      </x:c>
    </x:row>
    <x:row r="108">
      <x:c r="A108" s="112"/>
      <x:c r="B108" s="113" t="str">
        <x:v>20:40-21:20</x:v>
      </x:c>
      <x:c r="C108" s="114" t="n">
        <x:v>111.59570396296112</x:v>
      </x:c>
    </x:row>
    <x:row r="109">
      <x:c r="A109" s="112"/>
      <x:c r="B109" s="113" t="str">
        <x:v>21:30-22:00</x:v>
      </x:c>
      <x:c r="C109" s="114" t="n">
        <x:v>419.3776466417763</x:v>
      </x:c>
    </x:row>
    <x:row r="110">
      <x:c r="A110" s="112" t="n">
        <x:v>45753</x:v>
      </x:c>
      <x:c r="B110" s="113" t="str">
        <x:v>08:20-09:20</x:v>
      </x:c>
      <x:c r="C110" s="114" t="n">
        <x:v>924.8452839626507</x:v>
      </x:c>
    </x:row>
    <x:row r="111">
      <x:c r="A111" s="112"/>
      <x:c r="B111" s="113" t="str">
        <x:v>19:50-21:10</x:v>
      </x:c>
      <x:c r="C111" s="114" t="n">
        <x:v>2306.7121868995882</x:v>
      </x:c>
    </x:row>
    <x:row r="112">
      <x:c r="A112" s="112"/>
      <x:c r="B112" s="113" t="str">
        <x:v>21:20-21:50</x:v>
      </x:c>
      <x:c r="C112" s="114" t="n">
        <x:v>139.85434364973966</x:v>
      </x:c>
    </x:row>
    <x:row r="113">
      <x:c r="A113" s="112" t="n">
        <x:v>45754</x:v>
      </x:c>
      <x:c r="B113" s="113" t="str">
        <x:v>无</x:v>
      </x:c>
      <x:c r="C113" s="114" t="n">
        <x:v>0</x:v>
      </x:c>
    </x:row>
    <x:row r="114">
      <x:c r="A114" s="112" t="n">
        <x:v>45755</x:v>
      </x:c>
      <x:c r="B114" s="113" t="str">
        <x:v>09:20-09:40</x:v>
      </x:c>
      <x:c r="C114" s="114" t="n">
        <x:v>30.921068496821473</x:v>
      </x:c>
    </x:row>
    <x:row r="115">
      <x:c r="A115" s="112"/>
      <x:c r="B115" s="113" t="str">
        <x:v>20:30-21:30</x:v>
      </x:c>
      <x:c r="C115" s="114" t="n">
        <x:v>710.8764657452685</x:v>
      </x:c>
    </x:row>
    <x:row r="116">
      <x:c r="A116" s="112" t="n">
        <x:v>45756</x:v>
      </x:c>
      <x:c r="B116" s="113" t="str">
        <x:v>08:40-09:40</x:v>
      </x:c>
      <x:c r="C116" s="114" t="n">
        <x:v>582.9103681311391</x:v>
      </x:c>
    </x:row>
    <x:row r="117">
      <x:c r="A117" s="112"/>
      <x:c r="B117" s="113" t="str">
        <x:v>19:40-21:00</x:v>
      </x:c>
      <x:c r="C117" s="114" t="n">
        <x:v>4240.284782564662</x:v>
      </x:c>
    </x:row>
    <x:row r="118">
      <x:c r="A118" s="112" t="n">
        <x:v>45757</x:v>
      </x:c>
      <x:c r="B118" s="113" t="str">
        <x:v>09:40-09:50</x:v>
      </x:c>
      <x:c r="C118" s="114" t="n">
        <x:v>13.20140779340013</x:v>
      </x:c>
    </x:row>
    <x:row r="119">
      <x:c r="A119" s="112"/>
      <x:c r="B119" s="113" t="str">
        <x:v>20:20-20:50</x:v>
      </x:c>
      <x:c r="C119" s="114" t="n">
        <x:v>1166.711460408264</x:v>
      </x:c>
    </x:row>
    <x:row r="120">
      <x:c r="A120" s="112"/>
      <x:c r="B120" s="113" t="str">
        <x:v>21:30-22:00</x:v>
      </x:c>
      <x:c r="C120" s="114" t="n">
        <x:v>71.1629501054687</x:v>
      </x:c>
    </x:row>
    <x:row r="121">
      <x:c r="A121" s="112" t="n">
        <x:v>45758</x:v>
      </x:c>
      <x:c r="B121" s="113" t="str">
        <x:v>07:00-07:20</x:v>
      </x:c>
      <x:c r="C121" s="114" t="n">
        <x:v>47.197522583041604</x:v>
      </x:c>
    </x:row>
    <x:row r="122">
      <x:c r="A122" s="112"/>
      <x:c r="B122" s="113" t="str">
        <x:v>21:20-21:30</x:v>
      </x:c>
      <x:c r="C122" s="114" t="n">
        <x:v>0.8056529874222278</x:v>
      </x:c>
    </x:row>
    <x:row r="123">
      <x:c r="A123" s="112" t="n">
        <x:v>45759</x:v>
      </x:c>
      <x:c r="B123" s="113" t="str">
        <x:v>无</x:v>
      </x:c>
      <x:c r="C123" s="114" t="n">
        <x:v>0</x:v>
      </x:c>
    </x:row>
    <x:row r="124">
      <x:c r="A124" s="112" t="n">
        <x:v>45760</x:v>
      </x:c>
      <x:c r="B124" s="113" t="str">
        <x:v>20:10-21:20</x:v>
      </x:c>
      <x:c r="C124" s="114" t="n">
        <x:v>1985.4934112065362</x:v>
      </x:c>
    </x:row>
    <x:row r="125">
      <x:c r="A125" s="112"/>
      <x:c r="B125" s="113" t="str">
        <x:v>21:50-22:00</x:v>
      </x:c>
      <x:c r="C125" s="114" t="n">
        <x:v>9.881576845798008</x:v>
      </x:c>
    </x:row>
    <x:row r="126">
      <x:c r="A126" s="112" t="n">
        <x:v>45761</x:v>
      </x:c>
      <x:c r="B126" s="113" t="str">
        <x:v>20:30-20:50</x:v>
      </x:c>
      <x:c r="C126" s="114" t="n">
        <x:v>578.1727759308443</x:v>
      </x:c>
    </x:row>
    <x:row r="127">
      <x:c r="A127" s="112"/>
      <x:c r="B127" s="113" t="str">
        <x:v>21:30-21:50</x:v>
      </x:c>
      <x:c r="C127" s="114" t="n">
        <x:v>14.667124658854323</x:v>
      </x:c>
    </x:row>
    <x:row r="128">
      <x:c r="A128" s="112" t="n">
        <x:v>45762</x:v>
      </x:c>
      <x:c r="B128" s="113" t="str">
        <x:v>20:30-21:10</x:v>
      </x:c>
      <x:c r="C128" s="114" t="n">
        <x:v>315.692668201706</x:v>
      </x:c>
    </x:row>
    <x:row r="129">
      <x:c r="A129" s="112"/>
      <x:c r="B129" s="113" t="str">
        <x:v>21:40-22:00</x:v>
      </x:c>
      <x:c r="C129" s="114" t="n">
        <x:v>18.745869990885307</x:v>
      </x:c>
    </x:row>
    <x:row r="130">
      <x:c r="A130" s="112" t="n">
        <x:v>45763</x:v>
      </x:c>
      <x:c r="B130" s="113" t="str">
        <x:v>19:50-20:40</x:v>
      </x:c>
      <x:c r="C130" s="114" t="n">
        <x:v>3123.477974066678</x:v>
      </x:c>
    </x:row>
    <x:row r="131">
      <x:c r="A131" s="112"/>
      <x:c r="B131" s="113" t="str">
        <x:v>21:00-21:50</x:v>
      </x:c>
      <x:c r="C131" s="114" t="n">
        <x:v>73.45411562744346</x:v>
      </x:c>
    </x:row>
    <x:row r="132">
      <x:c r="A132" s="112" t="n">
        <x:v>45764</x:v>
      </x:c>
      <x:c r="B132" s="113" t="str">
        <x:v>20:00-20:40</x:v>
      </x:c>
      <x:c r="C132" s="114" t="n">
        <x:v>1495.4466306585332</x:v>
      </x:c>
    </x:row>
    <x:row r="133">
      <x:c r="A133" s="112"/>
      <x:c r="B133" s="113" t="str">
        <x:v>21:20-21:30</x:v>
      </x:c>
      <x:c r="C133" s="114" t="n">
        <x:v>6.325174038516206</x:v>
      </x:c>
    </x:row>
    <x:row r="134">
      <x:c r="A134" s="112" t="n">
        <x:v>45765</x:v>
      </x:c>
      <x:c r="B134" s="113" t="str">
        <x:v>06:50-07:10</x:v>
      </x:c>
      <x:c r="C134" s="114" t="n">
        <x:v>147.6204780366166</x:v>
      </x:c>
    </x:row>
    <x:row r="135">
      <x:c r="A135" s="112" t="n">
        <x:v>45766</x:v>
      </x:c>
      <x:c r="B135" s="113" t="str">
        <x:v>无</x:v>
      </x:c>
      <x:c r="C135" s="114" t="n">
        <x:v>0</x:v>
      </x:c>
    </x:row>
    <x:row r="136">
      <x:c r="A136" s="112" t="n">
        <x:v>45767</x:v>
      </x:c>
      <x:c r="B136" s="113" t="str">
        <x:v>20:20-20:40</x:v>
      </x:c>
      <x:c r="C136" s="114" t="n">
        <x:v>1031.2185772438183</x:v>
      </x:c>
    </x:row>
    <x:row r="137">
      <x:c r="A137" s="112"/>
      <x:c r="B137" s="113" t="str">
        <x:v>20:50-21:00</x:v>
      </x:c>
      <x:c r="C137" s="114" t="n">
        <x:v>1.3789746575521802</x:v>
      </x:c>
    </x:row>
    <x:row r="138">
      <x:c r="A138" s="112" t="n">
        <x:v>45768</x:v>
      </x:c>
      <x:c r="B138" s="113" t="str">
        <x:v>20:30-20:50</x:v>
      </x:c>
      <x:c r="C138" s="114" t="n">
        <x:v>47.65958295108874</x:v>
      </x:c>
    </x:row>
    <x:row r="139">
      <x:c r="A139" s="112"/>
      <x:c r="B139" s="113" t="str">
        <x:v>21:00-21:40</x:v>
      </x:c>
      <x:c r="C139" s="114" t="n">
        <x:v>83.52914898807242</x:v>
      </x:c>
    </x:row>
    <x:row r="140">
      <x:c r="A140" s="112" t="n">
        <x:v>45769</x:v>
      </x:c>
      <x:c r="B140" s="113" t="str">
        <x:v>08:40-09:20</x:v>
      </x:c>
      <x:c r="C140" s="114" t="n">
        <x:v>157.14819475439248</x:v>
      </x:c>
    </x:row>
    <x:row r="141">
      <x:c r="A141" s="112"/>
      <x:c r="B141" s="113" t="str">
        <x:v>19:50-20:10</x:v>
      </x:c>
      <x:c r="C141" s="114" t="n">
        <x:v>207.45907611291477</x:v>
      </x:c>
    </x:row>
    <x:row r="142">
      <x:c r="A142" s="112"/>
      <x:c r="B142" s="113" t="str">
        <x:v>20:20-20:40</x:v>
      </x:c>
      <x:c r="C142" s="114" t="n">
        <x:v>1386.1535535924477</x:v>
      </x:c>
    </x:row>
    <x:row r="143">
      <x:c r="A143" s="112"/>
      <x:c r="B143" s="113" t="str">
        <x:v>21:10-21:50</x:v>
      </x:c>
      <x:c r="C143" s="114" t="n">
        <x:v>91.45053997526038</x:v>
      </x:c>
    </x:row>
    <x:row r="144">
      <x:c r="A144" s="112" t="n">
        <x:v>45770</x:v>
      </x:c>
      <x:c r="B144" s="113" t="str">
        <x:v>20:20-20:40</x:v>
      </x:c>
      <x:c r="C144" s="114" t="n">
        <x:v>1038.0478333859132</x:v>
      </x:c>
    </x:row>
    <x:row r="145">
      <x:c r="A145" s="112"/>
      <x:c r="B145" s="113" t="str">
        <x:v>21:20-21:50</x:v>
      </x:c>
      <x:c r="C145" s="114" t="n">
        <x:v>67.20250054244802</x:v>
      </x:c>
    </x:row>
    <x:row r="146">
      <x:c r="A146" s="112" t="n">
        <x:v>45771</x:v>
      </x:c>
      <x:c r="B146" s="113" t="str">
        <x:v>20:30-20:40</x:v>
      </x:c>
      <x:c r="C146" s="114" t="n">
        <x:v>107.15065703448113</x:v>
      </x:c>
    </x:row>
    <x:row r="147">
      <x:c r="A147" s="112"/>
      <x:c r="B147" s="113" t="str">
        <x:v>21:20-21:50</x:v>
      </x:c>
      <x:c r="C147" s="114" t="n">
        <x:v>58.99793158548728</x:v>
      </x:c>
    </x:row>
    <x:row r="148">
      <x:c r="A148" s="112" t="n">
        <x:v>45772</x:v>
      </x:c>
      <x:c r="B148" s="113" t="str">
        <x:v>21:30-21:40</x:v>
      </x:c>
      <x:c r="C148" s="114" t="n">
        <x:v>21.936064683032214</x:v>
      </x:c>
    </x:row>
    <x:row r="149">
      <x:c r="A149" s="112" t="n">
        <x:v>45773</x:v>
      </x:c>
      <x:c r="B149" s="113" t="str">
        <x:v>21:30-21:50</x:v>
      </x:c>
      <x:c r="C149" s="114" t="n">
        <x:v>232.78749601051314</x:v>
      </x:c>
    </x:row>
    <x:row r="150">
      <x:c r="A150" s="112" t="n">
        <x:v>45774</x:v>
      </x:c>
      <x:c r="B150" s="113" t="str">
        <x:v>08:10-09:10</x:v>
      </x:c>
      <x:c r="C150" s="114" t="n">
        <x:v>865.0967425091394</x:v>
      </x:c>
    </x:row>
    <x:row r="151">
      <x:c r="A151" s="112"/>
      <x:c r="B151" s="113" t="str">
        <x:v>20:00-20:40</x:v>
      </x:c>
      <x:c r="C151" s="114" t="n">
        <x:v>1082.5626768558109</x:v>
      </x:c>
    </x:row>
    <x:row r="152">
      <x:c r="A152" s="112"/>
      <x:c r="B152" s="113" t="str">
        <x:v>21:30-21:50</x:v>
      </x:c>
      <x:c r="C152" s="114" t="n">
        <x:v>32.74824849829447</x:v>
      </x:c>
    </x:row>
    <x:row r="153">
      <x:c r="A153" s="112" t="n">
        <x:v>45775</x:v>
      </x:c>
      <x:c r="B153" s="113" t="str">
        <x:v>08:20-09:50</x:v>
      </x:c>
      <x:c r="C153" s="114" t="n">
        <x:v>1387.6598077479996</x:v>
      </x:c>
    </x:row>
    <x:row r="154">
      <x:c r="A154" s="112"/>
      <x:c r="B154" s="113" t="str">
        <x:v>18:40-20:10</x:v>
      </x:c>
      <x:c r="C154" s="114" t="n">
        <x:v>5820.660133457644</x:v>
      </x:c>
    </x:row>
    <x:row r="155">
      <x:c r="A155" s="112"/>
      <x:c r="B155" s="113" t="str">
        <x:v>20:30-21:10</x:v>
      </x:c>
      <x:c r="C155" s="114" t="n">
        <x:v>791.135915120186</x:v>
      </x:c>
    </x:row>
    <x:row r="156">
      <x:c r="A156" s="112"/>
      <x:c r="B156" s="113" t="str">
        <x:v>21:40-21:50</x:v>
      </x:c>
      <x:c r="C156" s="114" t="n">
        <x:v>2.849903518229098</x:v>
      </x:c>
    </x:row>
    <x:row r="157">
      <x:c r="A157" s="112" t="n">
        <x:v>45776</x:v>
      </x:c>
      <x:c r="B157" s="113" t="str">
        <x:v>20:20-20:40</x:v>
      </x:c>
      <x:c r="C157" s="114" t="n">
        <x:v>1012.7160141199292</x:v>
      </x:c>
    </x:row>
    <x:row r="158">
      <x:c r="A158" s="112" t="n">
        <x:v>45777</x:v>
      </x:c>
      <x:c r="B158" s="113" t="str">
        <x:v>21:00-21:30</x:v>
      </x:c>
      <x:c r="C158" s="114" t="n">
        <x:v>61.15708896366632</x:v>
      </x:c>
    </x:row>
    <x:row r="159">
      <x:c r="A159" s="112" t="n">
        <x:v>45778</x:v>
      </x:c>
      <x:c r="B159" s="113" t="str">
        <x:v>08:00-09:10</x:v>
      </x:c>
      <x:c r="C159" s="114" t="n">
        <x:v>1344.3522902802656</x:v>
      </x:c>
    </x:row>
    <x:row r="160">
      <x:c r="A160" s="112"/>
      <x:c r="B160" s="113" t="str">
        <x:v>19:50-21:50</x:v>
      </x:c>
      <x:c r="C160" s="114" t="n">
        <x:v>3100.492660889271</x:v>
      </x:c>
    </x:row>
    <x:row r="161">
      <x:c r="A161" s="112" t="n">
        <x:v>45779</x:v>
      </x:c>
      <x:c r="B161" s="113" t="str">
        <x:v>06:30-07:30</x:v>
      </x:c>
      <x:c r="C161" s="114" t="n">
        <x:v>569.8926811238907</x:v>
      </x:c>
    </x:row>
    <x:row r="162">
      <x:c r="A162" s="112"/>
      <x:c r="B162" s="113" t="str">
        <x:v>20:10-21:50</x:v>
      </x:c>
      <x:c r="C162" s="114" t="n">
        <x:v>2783.7752018265746</x:v>
      </x:c>
    </x:row>
    <x:row r="163">
      <x:c r="A163" s="112" t="n">
        <x:v>45780</x:v>
      </x:c>
      <x:c r="B163" s="113" t="str">
        <x:v>06:40-07:20</x:v>
      </x:c>
      <x:c r="C163" s="114" t="n">
        <x:v>273.10025988666507</x:v>
      </x:c>
    </x:row>
    <x:row r="164">
      <x:c r="A164" s="112"/>
      <x:c r="B164" s="113" t="str">
        <x:v>20:20-21:50</x:v>
      </x:c>
      <x:c r="C164" s="114" t="n">
        <x:v>2294.064991155482</x:v>
      </x:c>
    </x:row>
    <x:row r="165">
      <x:c r="A165" s="112" t="n">
        <x:v>45781</x:v>
      </x:c>
      <x:c r="B165" s="113" t="str">
        <x:v>18:40-18:50</x:v>
      </x:c>
      <x:c r="C165" s="114" t="n">
        <x:v>5.9969500000000835</x:v>
      </x:c>
    </x:row>
    <x:row r="166">
      <x:c r="A166" s="112"/>
      <x:c r="B166" s="113" t="str">
        <x:v>19:50-21:50</x:v>
      </x:c>
      <x:c r="C166" s="114" t="n">
        <x:v>3869.0744567650295</x:v>
      </x:c>
    </x:row>
    <x:row r="167">
      <x:c r="A167" s="112" t="n">
        <x:v>45782</x:v>
      </x:c>
      <x:c r="B167" s="113" t="str">
        <x:v>08:10-09:30</x:v>
      </x:c>
      <x:c r="C167" s="114" t="n">
        <x:v>1124.8976638298263</x:v>
      </x:c>
    </x:row>
    <x:row r="168">
      <x:c r="A168" s="112"/>
      <x:c r="B168" s="113" t="str">
        <x:v>19:20-22:00</x:v>
      </x:c>
      <x:c r="C168" s="114" t="n">
        <x:v>4763.079116378607</x:v>
      </x:c>
    </x:row>
    <x:row r="169">
      <x:c r="A169" s="112" t="n">
        <x:v>45783</x:v>
      </x:c>
      <x:c r="B169" s="113" t="str">
        <x:v>08:20-09:50</x:v>
      </x:c>
      <x:c r="C169" s="114" t="n">
        <x:v>868.2841933294934</x:v>
      </x:c>
    </x:row>
    <x:row r="170">
      <x:c r="A170" s="112"/>
      <x:c r="B170" s="113" t="str">
        <x:v>19:50-21:50</x:v>
      </x:c>
      <x:c r="C170" s="114" t="n">
        <x:v>2335.29717594367</x:v>
      </x:c>
    </x:row>
    <x:row r="171">
      <x:c r="A171" s="112" t="n">
        <x:v>45784</x:v>
      </x:c>
      <x:c r="B171" s="113" t="str">
        <x:v>08:50-09:20</x:v>
      </x:c>
      <x:c r="C171" s="114" t="n">
        <x:v>205.05113998066275</x:v>
      </x:c>
    </x:row>
    <x:row r="172">
      <x:c r="A172" s="112"/>
      <x:c r="B172" s="113" t="str">
        <x:v>19:30-21:50</x:v>
      </x:c>
      <x:c r="C172" s="114" t="n">
        <x:v>5250.926456053449</x:v>
      </x:c>
    </x:row>
    <x:row r="173">
      <x:c r="A173" s="112" t="n">
        <x:v>45785</x:v>
      </x:c>
      <x:c r="B173" s="113" t="str">
        <x:v>19:20-20:40</x:v>
      </x:c>
      <x:c r="C173" s="114" t="n">
        <x:v>4688.939990640638</x:v>
      </x:c>
    </x:row>
    <x:row r="174">
      <x:c r="A174" s="112"/>
      <x:c r="B174" s="113" t="str">
        <x:v>20:50-21:50</x:v>
      </x:c>
      <x:c r="C174" s="114" t="n">
        <x:v>270.0285290304461</x:v>
      </x:c>
    </x:row>
    <x:row r="175">
      <x:c r="A175" s="112" t="n">
        <x:v>45786</x:v>
      </x:c>
      <x:c r="B175" s="113" t="str">
        <x:v>06:50-07:30</x:v>
      </x:c>
      <x:c r="C175" s="114" t="n">
        <x:v>237.64218490404969</x:v>
      </x:c>
    </x:row>
    <x:row r="176">
      <x:c r="A176" s="112"/>
      <x:c r="B176" s="113" t="str">
        <x:v>20:30-21:50</x:v>
      </x:c>
      <x:c r="C176" s="114" t="n">
        <x:v>1172.2399276368246</x:v>
      </x:c>
    </x:row>
    <x:row r="177">
      <x:c r="A177" s="112" t="n">
        <x:v>45787</x:v>
      </x:c>
      <x:c r="B177" s="113" t="str">
        <x:v>20:40-21:40</x:v>
      </x:c>
      <x:c r="C177" s="114" t="n">
        <x:v>884.8715449819956</x:v>
      </x:c>
    </x:row>
    <x:row r="178">
      <x:c r="A178" s="112"/>
      <x:c r="B178" s="113" t="str">
        <x:v>21:50-22:00</x:v>
      </x:c>
      <x:c r="C178" s="114" t="n">
        <x:v>13.919874772697892</x:v>
      </x:c>
    </x:row>
    <x:row r="179">
      <x:c r="A179" s="112" t="n">
        <x:v>45788</x:v>
      </x:c>
      <x:c r="B179" s="113" t="str">
        <x:v>18:40-18:50</x:v>
      </x:c>
      <x:c r="C179" s="114" t="n">
        <x:v>18.335550000000012</x:v>
      </x:c>
    </x:row>
    <x:row r="180">
      <x:c r="A180" s="112"/>
      <x:c r="B180" s="113" t="str">
        <x:v>19:10-19:30</x:v>
      </x:c>
      <x:c r="C180" s="114" t="n">
        <x:v>41.18071666666674</x:v>
      </x:c>
    </x:row>
    <x:row r="181">
      <x:c r="A181" s="112"/>
      <x:c r="B181" s="113" t="str">
        <x:v>19:50-22:00</x:v>
      </x:c>
      <x:c r="C181" s="114" t="n">
        <x:v>3465.873673936838</x:v>
      </x:c>
    </x:row>
    <x:row r="182">
      <x:c r="A182" s="112" t="n">
        <x:v>45789</x:v>
      </x:c>
      <x:c r="B182" s="113" t="str">
        <x:v>20:20-21:10</x:v>
      </x:c>
      <x:c r="C182" s="114" t="n">
        <x:v>1325.2029769770895</x:v>
      </x:c>
    </x:row>
    <x:row r="183">
      <x:c r="A183" s="112"/>
      <x:c r="B183" s="113" t="str">
        <x:v>21:30-22:00</x:v>
      </x:c>
      <x:c r="C183" s="114" t="n">
        <x:v>82.7819114518231</x:v>
      </x:c>
    </x:row>
    <x:row r="184">
      <x:c r="A184" s="112" t="n">
        <x:v>45790</x:v>
      </x:c>
      <x:c r="B184" s="113" t="str">
        <x:v>20:10-21:50</x:v>
      </x:c>
      <x:c r="C184" s="114" t="n">
        <x:v>2177.7619613791353</x:v>
      </x:c>
    </x:row>
    <x:row r="185">
      <x:c r="A185" s="112" t="n">
        <x:v>45791</x:v>
      </x:c>
      <x:c r="B185" s="113" t="str">
        <x:v>20:20-22:20</x:v>
      </x:c>
      <x:c r="C185" s="114" t="n">
        <x:v>1684.9519881187916</x:v>
      </x:c>
    </x:row>
    <x:row r="186">
      <x:c r="A186" s="112" t="n">
        <x:v>45792</x:v>
      </x:c>
      <x:c r="B186" s="113" t="str">
        <x:v>20:20-20:40</x:v>
      </x:c>
      <x:c r="C186" s="114" t="n">
        <x:v>1110.360040681194</x:v>
      </x:c>
    </x:row>
    <x:row r="187">
      <x:c r="A187" s="112"/>
      <x:c r="B187" s="113" t="str">
        <x:v>21:00-21:40</x:v>
      </x:c>
      <x:c r="C187" s="114" t="n">
        <x:v>150.6010413374001</x:v>
      </x:c>
    </x:row>
    <x:row r="188">
      <x:c r="A188" s="112" t="n">
        <x:v>45793</x:v>
      </x:c>
      <x:c r="B188" s="113" t="str">
        <x:v>20:40-20:50</x:v>
      </x:c>
      <x:c r="C188" s="114" t="n">
        <x:v>64.43959018775541</x:v>
      </x:c>
    </x:row>
    <x:row r="189">
      <x:c r="A189" s="112"/>
      <x:c r="B189" s="113" t="str">
        <x:v>21:00-21:50</x:v>
      </x:c>
      <x:c r="C189" s="114" t="n">
        <x:v>290.32891189870986</x:v>
      </x:c>
    </x:row>
    <x:row r="190">
      <x:c r="A190" s="112" t="n">
        <x:v>45794</x:v>
      </x:c>
      <x:c r="B190" s="113" t="str">
        <x:v>20:30-20:50</x:v>
      </x:c>
      <x:c r="C190" s="114" t="n">
        <x:v>733.9244296759173</x:v>
      </x:c>
    </x:row>
    <x:row r="191">
      <x:c r="A191" s="112" t="n">
        <x:v>45795</x:v>
      </x:c>
      <x:c r="B191" s="113" t="str">
        <x:v>19:50-20:10</x:v>
      </x:c>
      <x:c r="C191" s="114" t="n">
        <x:v>1104.690521976986</x:v>
      </x:c>
    </x:row>
    <x:row r="192">
      <x:c r="A192" s="112"/>
      <x:c r="B192" s="113" t="str">
        <x:v>20:20-20:40</x:v>
      </x:c>
      <x:c r="C192" s="114" t="n">
        <x:v>932.3893280169804</x:v>
      </x:c>
    </x:row>
    <x:row r="193">
      <x:c r="A193" s="112"/>
      <x:c r="B193" s="113" t="str">
        <x:v>21:10-21:20</x:v>
      </x:c>
      <x:c r="C193" s="114" t="n">
        <x:v>28.159029740885195</x:v>
      </x:c>
    </x:row>
    <x:row r="194">
      <x:c r="A194" s="112"/>
      <x:c r="B194" s="113" t="str">
        <x:v>21:30-21:50</x:v>
      </x:c>
      <x:c r="C194" s="114" t="n">
        <x:v>33.85265219264427</x:v>
      </x:c>
    </x:row>
    <x:row r="195">
      <x:c r="A195" s="112" t="n">
        <x:v>45796</x:v>
      </x:c>
      <x:c r="B195" s="113" t="str">
        <x:v>20:10-20:50</x:v>
      </x:c>
      <x:c r="C195" s="114" t="n">
        <x:v>430.722150088787</x:v>
      </x:c>
    </x:row>
    <x:row r="196">
      <x:c r="A196" s="112"/>
      <x:c r="B196" s="113" t="str">
        <x:v>21:20-21:40</x:v>
      </x:c>
      <x:c r="C196" s="114" t="n">
        <x:v>122.95798960416644</x:v>
      </x:c>
    </x:row>
    <x:row r="197">
      <x:c r="A197" s="112" t="n">
        <x:v>45797</x:v>
      </x:c>
      <x:c r="B197" s="113" t="str">
        <x:v>19:30-21:00</x:v>
      </x:c>
      <x:c r="C197" s="114" t="n">
        <x:v>3702.31499186139</x:v>
      </x:c>
    </x:row>
    <x:row r="198">
      <x:c r="A198" s="112"/>
      <x:c r="B198" s="113" t="str">
        <x:v>21:30-22:00</x:v>
      </x:c>
      <x:c r="C198" s="114" t="n">
        <x:v>59.50473515755168</x:v>
      </x:c>
    </x:row>
    <x:row r="199">
      <x:c r="A199" s="112" t="n">
        <x:v>45798</x:v>
      </x:c>
      <x:c r="B199" s="113" t="str">
        <x:v>20:20-21:20</x:v>
      </x:c>
      <x:c r="C199" s="114" t="n">
        <x:v>1752.4952103253045</x:v>
      </x:c>
    </x:row>
    <x:row r="200">
      <x:c r="A200" s="112"/>
      <x:c r="B200" s="113" t="str">
        <x:v>21:30-21:50</x:v>
      </x:c>
      <x:c r="C200" s="114" t="n">
        <x:v>86.40037216796864</x:v>
      </x:c>
    </x:row>
    <x:row r="201">
      <x:c r="A201" s="112" t="n">
        <x:v>45799</x:v>
      </x:c>
      <x:c r="B201" s="113" t="str">
        <x:v>20:20-20:40</x:v>
      </x:c>
      <x:c r="C201" s="114" t="n">
        <x:v>1156.3056109048398</x:v>
      </x:c>
    </x:row>
    <x:row r="202">
      <x:c r="A202" s="112"/>
      <x:c r="B202" s="113" t="str">
        <x:v>20:50-21:00</x:v>
      </x:c>
      <x:c r="C202" s="114" t="n">
        <x:v>18.227698821325248</x:v>
      </x:c>
    </x:row>
    <x:row r="203">
      <x:c r="A203" s="112" t="n">
        <x:v>45800</x:v>
      </x:c>
      <x:c r="B203" s="113" t="str">
        <x:v>06:20-07:00</x:v>
      </x:c>
      <x:c r="C203" s="114" t="n">
        <x:v>167.5630581310271</x:v>
      </x:c>
    </x:row>
    <x:row r="204">
      <x:c r="A204" s="112"/>
      <x:c r="B204" s="113" t="str">
        <x:v>20:40-21:00</x:v>
      </x:c>
      <x:c r="C204" s="114" t="n">
        <x:v>320.67192257177635</x:v>
      </x:c>
    </x:row>
    <x:row r="205">
      <x:c r="A205" s="112"/>
      <x:c r="B205" s="113" t="str">
        <x:v>21:30-21:50</x:v>
      </x:c>
      <x:c r="C205" s="114" t="n">
        <x:v>89.54489617185187</x:v>
      </x:c>
    </x:row>
    <x:row r="206">
      <x:c r="A206" s="112" t="n">
        <x:v>45801</x:v>
      </x:c>
      <x:c r="B206" s="113" t="str">
        <x:v>06:20-06:50</x:v>
      </x:c>
      <x:c r="C206" s="114" t="n">
        <x:v>132.5789738778601</x:v>
      </x:c>
    </x:row>
    <x:row r="207">
      <x:c r="A207" s="112"/>
      <x:c r="B207" s="113" t="str">
        <x:v>21:00-21:50</x:v>
      </x:c>
      <x:c r="C207" s="114" t="n">
        <x:v>122.35498348980725</x:v>
      </x:c>
    </x:row>
    <x:row r="208">
      <x:c r="A208" s="112" t="n">
        <x:v>45802</x:v>
      </x:c>
      <x:c r="B208" s="113" t="str">
        <x:v>20:30-21:10</x:v>
      </x:c>
      <x:c r="C208" s="114" t="n">
        <x:v>760.2577534498266</x:v>
      </x:c>
    </x:row>
    <x:row r="209">
      <x:c r="A209" s="112"/>
      <x:c r="B209" s="113" t="str">
        <x:v>21:30-21:50</x:v>
      </x:c>
      <x:c r="C209" s="114" t="n">
        <x:v>94.88965206901048</x:v>
      </x:c>
    </x:row>
    <x:row r="210">
      <x:c r="A210" s="112" t="n">
        <x:v>45803</x:v>
      </x:c>
      <x:c r="B210" s="113" t="str">
        <x:v>08:20-09:10</x:v>
      </x:c>
      <x:c r="C210" s="114" t="n">
        <x:v>580.2881909593935</x:v>
      </x:c>
    </x:row>
    <x:row r="211">
      <x:c r="A211" s="112"/>
      <x:c r="B211" s="113" t="str">
        <x:v>19:10-19:50</x:v>
      </x:c>
      <x:c r="C211" s="114" t="n">
        <x:v>2062.031452136107</x:v>
      </x:c>
    </x:row>
    <x:row r="212">
      <x:c r="A212" s="112"/>
      <x:c r="B212" s="113" t="str">
        <x:v>20:00-20:50</x:v>
      </x:c>
      <x:c r="C212" s="114" t="n">
        <x:v>3152.0737294596356</x:v>
      </x:c>
    </x:row>
    <x:row r="213">
      <x:c r="A213" s="112"/>
      <x:c r="B213" s="113" t="str">
        <x:v>21:10-21:50</x:v>
      </x:c>
      <x:c r="C213" s="114" t="n">
        <x:v>173.8891286458333</x:v>
      </x:c>
    </x:row>
    <x:row r="214">
      <x:c r="A214" s="112" t="n">
        <x:v>45804</x:v>
      </x:c>
      <x:c r="B214" s="113" t="str">
        <x:v>20:30-21:50</x:v>
      </x:c>
      <x:c r="C214" s="114" t="n">
        <x:v>473.54517745827184</x:v>
      </x:c>
    </x:row>
    <x:row r="215">
      <x:c r="A215" s="112" t="n">
        <x:v>45805</x:v>
      </x:c>
      <x:c r="B215" s="113" t="str">
        <x:v>09:00-09:20</x:v>
      </x:c>
      <x:c r="C215" s="114" t="n">
        <x:v>63.33736959472128</x:v>
      </x:c>
    </x:row>
    <x:row r="216">
      <x:c r="A216" s="112"/>
      <x:c r="B216" s="113" t="str">
        <x:v>19:50-21:20</x:v>
      </x:c>
      <x:c r="C216" s="114" t="n">
        <x:v>3255.1094325534846</x:v>
      </x:c>
    </x:row>
    <x:row r="217">
      <x:c r="A217" s="112"/>
      <x:c r="B217" s="113" t="str">
        <x:v>21:40-22:00</x:v>
      </x:c>
      <x:c r="C217" s="114" t="n">
        <x:v>57.29045390624988</x:v>
      </x:c>
    </x:row>
    <x:row r="218">
      <x:c r="A218" s="112" t="n">
        <x:v>45806</x:v>
      </x:c>
      <x:c r="B218" s="113" t="str">
        <x:v>09:00-09:20</x:v>
      </x:c>
      <x:c r="C218" s="114" t="n">
        <x:v>62.18266670849396</x:v>
      </x:c>
    </x:row>
    <x:row r="219">
      <x:c r="A219" s="112"/>
      <x:c r="B219" s="113" t="str">
        <x:v>19:10-20:40</x:v>
      </x:c>
      <x:c r="C219" s="114" t="n">
        <x:v>4715.4309586375975</x:v>
      </x:c>
    </x:row>
    <x:row r="220">
      <x:c r="A220" s="112"/>
      <x:c r="B220" s="113" t="str">
        <x:v>20:50-21:50</x:v>
      </x:c>
      <x:c r="C220" s="114" t="n">
        <x:v>156.2939455462804</x:v>
      </x:c>
    </x:row>
    <x:row r="221">
      <x:c r="A221" s="112" t="n">
        <x:v>45807</x:v>
      </x:c>
      <x:c r="B221" s="113" t="str">
        <x:v>06:50-07:10</x:v>
      </x:c>
      <x:c r="C221" s="114" t="n">
        <x:v>69.44784482575537</x:v>
      </x:c>
    </x:row>
    <x:row r="222">
      <x:c r="A222" s="112"/>
      <x:c r="B222" s="113" t="str">
        <x:v>20:30-21:00</x:v>
      </x:c>
      <x:c r="C222" s="114" t="n">
        <x:v>757.997760603354</x:v>
      </x:c>
    </x:row>
    <x:row r="223">
      <x:c r="A223" s="112"/>
      <x:c r="B223" s="113" t="str">
        <x:v>21:30-21:40</x:v>
      </x:c>
      <x:c r="C223" s="114" t="n">
        <x:v>118.8514547051303</x:v>
      </x:c>
    </x:row>
    <x:row r="224">
      <x:c r="A224" s="112" t="n">
        <x:v>45808</x:v>
      </x:c>
      <x:c r="B224" s="113" t="str">
        <x:v>06:10-07:20</x:v>
      </x:c>
      <x:c r="C224" s="114" t="n">
        <x:v>659.8710211739399</x:v>
      </x:c>
    </x:row>
    <x:row r="225">
      <x:c r="A225" s="112"/>
      <x:c r="B225" s="113" t="str">
        <x:v>20:40-21:20</x:v>
      </x:c>
      <x:c r="C225" s="114" t="n">
        <x:v>364.9960944895159</x:v>
      </x:c>
    </x:row>
    <x:row r="226">
      <x:c r="A226" s="112" t="n">
        <x:v>45809</x:v>
      </x:c>
      <x:c r="B226" s="113" t="str">
        <x:v>08:00-11:40</x:v>
      </x:c>
      <x:c r="C226" s="114" t="n">
        <x:v>3634.8701417979983</x:v>
      </x:c>
    </x:row>
    <x:row r="227">
      <x:c r="A227" s="112"/>
      <x:c r="B227" s="113" t="str">
        <x:v>11:50-12:00</x:v>
      </x:c>
      <x:c r="C227" s="114" t="n">
        <x:v>20.337860833333373</x:v>
      </x:c>
    </x:row>
    <x:row r="228">
      <x:c r="A228" s="112"/>
      <x:c r="B228" s="113" t="str">
        <x:v>14:10-21:50</x:v>
      </x:c>
      <x:c r="C228" s="114" t="n">
        <x:v>14837.111597395768</x:v>
      </x:c>
    </x:row>
    <x:row r="229">
      <x:c r="A229" s="112" t="n">
        <x:v>45810</x:v>
      </x:c>
      <x:c r="B229" s="113" t="str">
        <x:v>08:20-09:30</x:v>
      </x:c>
      <x:c r="C229" s="114" t="n">
        <x:v>1351.0037053989197</x:v>
      </x:c>
    </x:row>
    <x:row r="230">
      <x:c r="A230" s="112"/>
      <x:c r="B230" s="113" t="str">
        <x:v>16:10-22:00</x:v>
      </x:c>
      <x:c r="C230" s="114" t="n">
        <x:v>12894.411616369727</x:v>
      </x:c>
    </x:row>
    <x:row r="231">
      <x:c r="A231" s="112" t="n">
        <x:v>45811</x:v>
      </x:c>
      <x:c r="B231" s="113" t="str">
        <x:v>08:40-10:20</x:v>
      </x:c>
      <x:c r="C231" s="114" t="n">
        <x:v>1528.2220776964543</x:v>
      </x:c>
    </x:row>
    <x:row r="232">
      <x:c r="A232" s="112"/>
      <x:c r="B232" s="113" t="str">
        <x:v>18:50-21:50</x:v>
      </x:c>
      <x:c r="C232" s="114" t="n">
        <x:v>9281.583047166281</x:v>
      </x:c>
    </x:row>
    <x:row r="233">
      <x:c r="A233" s="112" t="n">
        <x:v>45812</x:v>
      </x:c>
      <x:c r="B233" s="113" t="str">
        <x:v>08:50-10:00</x:v>
      </x:c>
      <x:c r="C233" s="114" t="n">
        <x:v>415.0388291939944</x:v>
      </x:c>
    </x:row>
    <x:row r="234">
      <x:c r="A234" s="112"/>
      <x:c r="B234" s="113" t="str">
        <x:v>18:30-22:00</x:v>
      </x:c>
      <x:c r="C234" s="114" t="n">
        <x:v>10007.670702017444</x:v>
      </x:c>
    </x:row>
    <x:row r="235">
      <x:c r="A235" s="112" t="n">
        <x:v>45813</x:v>
      </x:c>
      <x:c r="B235" s="113" t="str">
        <x:v>08:30-10:00</x:v>
      </x:c>
      <x:c r="C235" s="114" t="n">
        <x:v>1536.3280168501901</x:v>
      </x:c>
    </x:row>
    <x:row r="236">
      <x:c r="A236" s="112"/>
      <x:c r="B236" s="113" t="str">
        <x:v>18:30-22:00</x:v>
      </x:c>
      <x:c r="C236" s="114" t="n">
        <x:v>9869.194952094687</x:v>
      </x:c>
    </x:row>
    <x:row r="237">
      <x:c r="A237" s="112" t="n">
        <x:v>45814</x:v>
      </x:c>
      <x:c r="B237" s="113" t="str">
        <x:v>04:00-04:20</x:v>
      </x:c>
      <x:c r="C237" s="114" t="n">
        <x:v>9.036064717272996</x:v>
      </x:c>
    </x:row>
    <x:row r="238">
      <x:c r="A238" s="112"/>
      <x:c r="B238" s="113" t="str">
        <x:v>05:10-05:30</x:v>
      </x:c>
      <x:c r="C238" s="114" t="n">
        <x:v>48.25265967998259</x:v>
      </x:c>
    </x:row>
    <x:row r="239">
      <x:c r="A239" s="112"/>
      <x:c r="B239" s="113" t="str">
        <x:v>05:50-07:40</x:v>
      </x:c>
      <x:c r="C239" s="114" t="n">
        <x:v>1399.841074752687</x:v>
      </x:c>
    </x:row>
    <x:row r="240">
      <x:c r="A240" s="112"/>
      <x:c r="B240" s="113" t="str">
        <x:v>19:20-21:50</x:v>
      </x:c>
      <x:c r="C240" s="114" t="n">
        <x:v>5563.309824522239</x:v>
      </x:c>
    </x:row>
    <x:row r="241">
      <x:c r="A241" s="112" t="n">
        <x:v>45815</x:v>
      </x:c>
      <x:c r="B241" s="113" t="str">
        <x:v>06:00-07:40</x:v>
      </x:c>
      <x:c r="C241" s="114" t="n">
        <x:v>1189.318089324545</x:v>
      </x:c>
    </x:row>
    <x:row r="242">
      <x:c r="A242" s="112"/>
      <x:c r="B242" s="113" t="str">
        <x:v>19:50-21:50</x:v>
      </x:c>
      <x:c r="C242" s="114" t="n">
        <x:v>2948.5205537506263</x:v>
      </x:c>
    </x:row>
    <x:row r="243">
      <x:c r="A243" s="112" t="n">
        <x:v>45816</x:v>
      </x:c>
      <x:c r="B243" s="113" t="str">
        <x:v>18:50-19:00</x:v>
      </x:c>
      <x:c r="C243" s="114" t="n">
        <x:v>21.18087239583349</x:v>
      </x:c>
    </x:row>
    <x:row r="244">
      <x:c r="A244" s="112"/>
      <x:c r="B244" s="113" t="str">
        <x:v>19:10-19:30</x:v>
      </x:c>
      <x:c r="C244" s="114" t="n">
        <x:v>71.26429103827036</x:v>
      </x:c>
    </x:row>
    <x:row r="245">
      <x:c r="A245" s="112"/>
      <x:c r="B245" s="113" t="str">
        <x:v>19:50-20:10</x:v>
      </x:c>
      <x:c r="C245" s="114" t="n">
        <x:v>63.94983385416697</x:v>
      </x:c>
    </x:row>
    <x:row r="246">
      <x:c r="A246" s="112"/>
      <x:c r="B246" s="113" t="str">
        <x:v>20:20-21:50</x:v>
      </x:c>
      <x:c r="C246" s="114" t="n">
        <x:v>1662.303459699263</x:v>
      </x:c>
    </x:row>
    <x:row r="247">
      <x:c r="A247" s="112" t="n">
        <x:v>45817</x:v>
      </x:c>
      <x:c r="B247" s="113" t="str">
        <x:v>18:40-21:00</x:v>
      </x:c>
      <x:c r="C247" s="114" t="n">
        <x:v>5618.526344828244</x:v>
      </x:c>
    </x:row>
    <x:row r="248">
      <x:c r="A248" s="112"/>
      <x:c r="B248" s="113" t="str">
        <x:v>21:20-22:20</x:v>
      </x:c>
      <x:c r="C248" s="114" t="n">
        <x:v>122.12900101250641</x:v>
      </x:c>
    </x:row>
    <x:row r="249">
      <x:c r="A249" s="112" t="n">
        <x:v>45818</x:v>
      </x:c>
      <x:c r="B249" s="113" t="str">
        <x:v>09:30-09:50</x:v>
      </x:c>
      <x:c r="C249" s="114" t="n">
        <x:v>110.21434089352427</x:v>
      </x:c>
    </x:row>
    <x:row r="250">
      <x:c r="A250" s="112"/>
      <x:c r="B250" s="113" t="str">
        <x:v>19:00-19:20</x:v>
      </x:c>
      <x:c r="C250" s="114" t="n">
        <x:v>10.61087959188103</x:v>
      </x:c>
    </x:row>
    <x:row r="251">
      <x:c r="A251" s="112"/>
      <x:c r="B251" s="113" t="str">
        <x:v>19:30-21:50</x:v>
      </x:c>
      <x:c r="C251" s="114" t="n">
        <x:v>5273.910050062564</x:v>
      </x:c>
    </x:row>
    <x:row r="252">
      <x:c r="A252" s="112" t="n">
        <x:v>45819</x:v>
      </x:c>
      <x:c r="B252" s="113" t="str">
        <x:v>09:30-10:50</x:v>
      </x:c>
      <x:c r="C252" s="114" t="n">
        <x:v>1194.4914297867913</x:v>
      </x:c>
    </x:row>
    <x:row r="253">
      <x:c r="A253" s="112"/>
      <x:c r="B253" s="113" t="str">
        <x:v>18:50-21:50</x:v>
      </x:c>
      <x:c r="C253" s="114" t="n">
        <x:v>8610.118980961255</x:v>
      </x:c>
    </x:row>
    <x:row r="254">
      <x:c r="A254" s="112" t="n">
        <x:v>45820</x:v>
      </x:c>
      <x:c r="B254" s="113" t="str">
        <x:v>19:20-22:00</x:v>
      </x:c>
      <x:c r="C254" s="114" t="n">
        <x:v>4598.5152945282425</x:v>
      </x:c>
    </x:row>
    <x:row r="255">
      <x:c r="A255" s="112" t="n">
        <x:v>45821</x:v>
      </x:c>
      <x:c r="B255" s="113" t="str">
        <x:v>06:50-07:40</x:v>
      </x:c>
      <x:c r="C255" s="114" t="n">
        <x:v>368.90654993751207</x:v>
      </x:c>
    </x:row>
    <x:row r="256">
      <x:c r="A256" s="112"/>
      <x:c r="B256" s="113" t="str">
        <x:v>20:10-21:10</x:v>
      </x:c>
      <x:c r="C256" s="114" t="n">
        <x:v>1712.5443354964286</x:v>
      </x:c>
    </x:row>
    <x:row r="257">
      <x:c r="A257" s="112"/>
      <x:c r="B257" s="113" t="str">
        <x:v>21:20-21:50</x:v>
      </x:c>
      <x:c r="C257" s="114" t="n">
        <x:v>81.72627262434897</x:v>
      </x:c>
    </x:row>
    <x:row r="258">
      <x:c r="A258" s="112" t="n">
        <x:v>45822</x:v>
      </x:c>
      <x:c r="B258" s="113" t="str">
        <x:v>06:50-07:30</x:v>
      </x:c>
      <x:c r="C258" s="114" t="n">
        <x:v>256.2397290298009</x:v>
      </x:c>
    </x:row>
    <x:row r="259">
      <x:c r="A259" s="112"/>
      <x:c r="B259" s="113" t="str">
        <x:v>20:20-21:10</x:v>
      </x:c>
      <x:c r="C259" s="114" t="n">
        <x:v>1029.6996579617485</x:v>
      </x:c>
    </x:row>
    <x:row r="260">
      <x:c r="A260" s="112"/>
      <x:c r="B260" s="113" t="str">
        <x:v>21:40-21:50</x:v>
      </x:c>
      <x:c r="C260" s="114" t="n">
        <x:v>17.150392345052225</x:v>
      </x:c>
    </x:row>
    <x:row r="261">
      <x:c r="A261" s="112" t="n">
        <x:v>45823</x:v>
      </x:c>
      <x:c r="B261" s="113" t="str">
        <x:v>20:20-20:40</x:v>
      </x:c>
      <x:c r="C261" s="114" t="n">
        <x:v>1357.0564168052101</x:v>
      </x:c>
    </x:row>
    <x:row r="262">
      <x:c r="A262" s="112"/>
      <x:c r="B262" s="113" t="str">
        <x:v>21:30-21:40</x:v>
      </x:c>
      <x:c r="C262" s="114" t="n">
        <x:v>64.20185020963511</x:v>
      </x:c>
    </x:row>
    <x:row r="263">
      <x:c r="A263" s="112" t="n">
        <x:v>45824</x:v>
      </x:c>
      <x:c r="B263" s="113" t="str">
        <x:v>20:00-21:30</x:v>
      </x:c>
      <x:c r="C263" s="114" t="n">
        <x:v>3222.68055996137</x:v>
      </x:c>
    </x:row>
    <x:row r="264">
      <x:c r="A264" s="112" t="n">
        <x:v>45825</x:v>
      </x:c>
      <x:c r="B264" s="113" t="str">
        <x:v>19:40-20:50</x:v>
      </x:c>
      <x:c r="C264" s="114" t="n">
        <x:v>3964.1514736233266</x:v>
      </x:c>
    </x:row>
    <x:row r="265">
      <x:c r="A265" s="112"/>
      <x:c r="B265" s="113" t="str">
        <x:v>21:10-22:00</x:v>
      </x:c>
      <x:c r="C265" s="114" t="n">
        <x:v>101.52791531770849</x:v>
      </x:c>
    </x:row>
    <x:row r="266">
      <x:c r="A266" s="112" t="n">
        <x:v>45826</x:v>
      </x:c>
      <x:c r="B266" s="113" t="str">
        <x:v>20:30-20:40</x:v>
      </x:c>
      <x:c r="C266" s="114" t="n">
        <x:v>500.68601333616664</x:v>
      </x:c>
    </x:row>
    <x:row r="267">
      <x:c r="A267" s="112"/>
      <x:c r="B267" s="113" t="str">
        <x:v>21:40-21:50</x:v>
      </x:c>
      <x:c r="C267" s="114" t="n">
        <x:v>8.379353882161329</x:v>
      </x:c>
    </x:row>
    <x:row r="268">
      <x:c r="A268" s="112" t="n">
        <x:v>45827</x:v>
      </x:c>
      <x:c r="B268" s="113" t="str">
        <x:v>19:10-19:30</x:v>
      </x:c>
      <x:c r="C268" s="114" t="n">
        <x:v>15.970047605713148</x:v>
      </x:c>
    </x:row>
    <x:row r="269">
      <x:c r="A269" s="112"/>
      <x:c r="B269" s="113" t="str">
        <x:v>20:30-21:10</x:v>
      </x:c>
      <x:c r="C269" s="114" t="n">
        <x:v>375.010920914242</x:v>
      </x:c>
    </x:row>
    <x:row r="270">
      <x:c r="A270" s="112"/>
      <x:c r="B270" s="113" t="str">
        <x:v>21:30-21:50</x:v>
      </x:c>
      <x:c r="C270" s="114" t="n">
        <x:v>43.41796250911418</x:v>
      </x:c>
    </x:row>
    <x:row r="271">
      <x:c r="A271" s="112" t="n">
        <x:v>45828</x:v>
      </x:c>
      <x:c r="B271" s="113" t="str">
        <x:v>无</x:v>
      </x:c>
      <x:c r="C271" s="114" t="n">
        <x:v>0</x:v>
      </x:c>
    </x:row>
    <x:row r="272">
      <x:c r="A272" s="112" t="n">
        <x:v>45829</x:v>
      </x:c>
      <x:c r="B272" s="113" t="str">
        <x:v>06:50-07:20</x:v>
      </x:c>
      <x:c r="C272" s="114" t="n">
        <x:v>170.6240791622271</x:v>
      </x:c>
    </x:row>
    <x:row r="273">
      <x:c r="A273" s="112" t="n">
        <x:v>45830</x:v>
      </x:c>
      <x:c r="B273" s="113" t="str">
        <x:v>20:20-20:50</x:v>
      </x:c>
      <x:c r="C273" s="114" t="n">
        <x:v>850.2473633979708</x:v>
      </x:c>
    </x:row>
    <x:row r="274">
      <x:c r="A274" s="112"/>
      <x:c r="B274" s="113" t="str">
        <x:v>21:00-21:20</x:v>
      </x:c>
      <x:c r="C274" s="114" t="n">
        <x:v>10.347139550781115</x:v>
      </x:c>
    </x:row>
    <x:row r="275">
      <x:c r="A275" s="112"/>
      <x:c r="B275" s="113" t="str">
        <x:v>21:30-21:50</x:v>
      </x:c>
      <x:c r="C275" s="114" t="n">
        <x:v>31.982518131510414</x:v>
      </x:c>
    </x:row>
    <x:row r="276">
      <x:c r="A276" s="112" t="n">
        <x:v>45831</x:v>
      </x:c>
      <x:c r="B276" s="113" t="str">
        <x:v>20:20-21:00</x:v>
      </x:c>
      <x:c r="C276" s="114" t="n">
        <x:v>1329.2030529362205</x:v>
      </x:c>
    </x:row>
    <x:row r="277">
      <x:c r="A277" s="112"/>
      <x:c r="B277" s="113" t="str">
        <x:v>21:10-21:50</x:v>
      </x:c>
      <x:c r="C277" s="114" t="n">
        <x:v>119.83073887109374</x:v>
      </x:c>
    </x:row>
    <x:row r="278">
      <x:c r="A278" s="112" t="n">
        <x:v>45832</x:v>
      </x:c>
      <x:c r="B278" s="113" t="str">
        <x:v>10:40-11:00</x:v>
      </x:c>
      <x:c r="C278" s="114" t="n">
        <x:v>142.11369054064073</x:v>
      </x:c>
    </x:row>
    <x:row r="279">
      <x:c r="A279" s="112"/>
      <x:c r="B279" s="113" t="str">
        <x:v>18:30-21:40</x:v>
      </x:c>
      <x:c r="C279" s="114" t="n">
        <x:v>8206.061919590655</x:v>
      </x:c>
    </x:row>
    <x:row r="280">
      <x:c r="A280" s="112" t="n">
        <x:v>45833</x:v>
      </x:c>
      <x:c r="B280" s="113" t="str">
        <x:v>19:50-21:00</x:v>
      </x:c>
      <x:c r="C280" s="114" t="n">
        <x:v>1722.5047676103436</x:v>
      </x:c>
    </x:row>
    <x:row r="281">
      <x:c r="A281" s="112"/>
      <x:c r="B281" s="113" t="str">
        <x:v>21:40-22:00</x:v>
      </x:c>
      <x:c r="C281" s="114" t="n">
        <x:v>117.54830188802077</x:v>
      </x:c>
    </x:row>
    <x:row r="282">
      <x:c r="A282" s="112" t="n">
        <x:v>45834</x:v>
      </x:c>
      <x:c r="B282" s="113" t="str">
        <x:v>19:40-19:50</x:v>
      </x:c>
      <x:c r="C282" s="114" t="n">
        <x:v>0.15351940104176265</x:v>
      </x:c>
    </x:row>
    <x:row r="283">
      <x:c r="A283" s="112"/>
      <x:c r="B283" s="113" t="str">
        <x:v>20:30-20:40</x:v>
      </x:c>
      <x:c r="C283" s="114" t="n">
        <x:v>258.2759384530954</x:v>
      </x:c>
    </x:row>
    <x:row r="284">
      <x:c r="A284" s="112"/>
      <x:c r="B284" s="113" t="str">
        <x:v>21:20-22:00</x:v>
      </x:c>
      <x:c r="C284" s="114" t="n">
        <x:v>119.95041529101559</x:v>
      </x:c>
    </x:row>
    <x:row r="285">
      <x:c r="A285" s="112" t="n">
        <x:v>45835</x:v>
      </x:c>
      <x:c r="B285" s="113" t="str">
        <x:v>03:20-03:30</x:v>
      </x:c>
      <x:c r="C285" s="114" t="n">
        <x:v>25.886655261067062</x:v>
      </x:c>
    </x:row>
    <x:row r="286">
      <x:c r="A286" s="112"/>
      <x:c r="B286" s="113" t="str">
        <x:v>03:40-04:00</x:v>
      </x:c>
      <x:c r="C286" s="114" t="n">
        <x:v>25.643600584895694</x:v>
      </x:c>
    </x:row>
    <x:row r="287">
      <x:c r="A287" s="112"/>
      <x:c r="B287" s="113" t="str">
        <x:v>07:00-07:20</x:v>
      </x:c>
      <x:c r="C287" s="114" t="n">
        <x:v>112.46300505410733</x:v>
      </x:c>
    </x:row>
    <x:row r="288">
      <x:c r="A288" s="112"/>
      <x:c r="B288" s="113" t="str">
        <x:v>20:30-20:40</x:v>
      </x:c>
      <x:c r="C288" s="114" t="n">
        <x:v>117.14079274679455</x:v>
      </x:c>
    </x:row>
    <x:row r="289">
      <x:c r="A289" s="112" t="n">
        <x:v>45836</x:v>
      </x:c>
      <x:c r="B289" s="113" t="str">
        <x:v>07:30-07:50</x:v>
      </x:c>
      <x:c r="C289" s="114" t="n">
        <x:v>17.429766254298194</x:v>
      </x:c>
    </x:row>
    <x:row r="290">
      <x:c r="A290" s="112"/>
      <x:c r="B290" s="113" t="str">
        <x:v>20:30-21:50</x:v>
      </x:c>
      <x:c r="C290" s="114" t="n">
        <x:v>299.6607307658897</x:v>
      </x:c>
    </x:row>
    <x:row r="291">
      <x:c r="A291" s="112" t="n">
        <x:v>45837</x:v>
      </x:c>
      <x:c r="B291" s="113" t="str">
        <x:v>18:50-19:00</x:v>
      </x:c>
      <x:c r="C291" s="114" t="n">
        <x:v>3.063276105591626</x:v>
      </x:c>
    </x:row>
    <x:row r="292">
      <x:c r="A292" s="112"/>
      <x:c r="B292" s="113" t="str">
        <x:v>20:00-20:40</x:v>
      </x:c>
      <x:c r="C292" s="114" t="n">
        <x:v>2092.002564485631</x:v>
      </x:c>
    </x:row>
    <x:row r="293">
      <x:c r="A293" s="112"/>
      <x:c r="B293" s="113" t="str">
        <x:v>20:50-21:10</x:v>
      </x:c>
      <x:c r="C293" s="114" t="n">
        <x:v>18.424449393229292</x:v>
      </x:c>
    </x:row>
    <x:row r="294">
      <x:c r="A294" s="112"/>
      <x:c r="B294" s="113" t="str">
        <x:v>21:30-21:50</x:v>
      </x:c>
      <x:c r="C294" s="114" t="n">
        <x:v>59.28453708463562</x:v>
      </x:c>
    </x:row>
    <x:row r="295">
      <x:c r="A295" s="112" t="n">
        <x:v>45838</x:v>
      </x:c>
      <x:c r="B295" s="113" t="str">
        <x:v>18:50-19:00</x:v>
      </x:c>
      <x:c r="C295" s="114" t="n">
        <x:v>24.95893463630489</x:v>
      </x:c>
    </x:row>
    <x:row r="296">
      <x:c r="A296" s="112"/>
      <x:c r="B296" s="113" t="str">
        <x:v>19:50-20:50</x:v>
      </x:c>
      <x:c r="C296" s="114" t="n">
        <x:v>2584.777824586402</x:v>
      </x:c>
    </x:row>
    <x:row r="297">
      <x:c r="A297" s="112"/>
      <x:c r="B297" s="113" t="str">
        <x:v>21:30-21:50</x:v>
      </x:c>
      <x:c r="C297" s="114" t="n">
        <x:v>48.73283776432304</x:v>
      </x:c>
    </x:row>
    <x:row r="298">
      <x:c r="A298" s="112" t="n">
        <x:v>45839</x:v>
      </x:c>
      <x:c r="B298" s="113" t="str">
        <x:v>18:40-18:50</x:v>
      </x:c>
      <x:c r="C298" s="114" t="n">
        <x:v>38.331835613838734</x:v>
      </x:c>
    </x:row>
    <x:row r="299">
      <x:c r="A299" s="112"/>
      <x:c r="B299" s="113" t="str">
        <x:v>19:00-22:00</x:v>
      </x:c>
      <x:c r="C299" s="114" t="n">
        <x:v>8485.84595590649</x:v>
      </x:c>
    </x:row>
    <x:row r="300">
      <x:c r="A300" s="112" t="n">
        <x:v>45840</x:v>
      </x:c>
      <x:c r="B300" s="113" t="str">
        <x:v>18:50-19:30</x:v>
      </x:c>
      <x:c r="C300" s="114" t="n">
        <x:v>114.80673831259503</x:v>
      </x:c>
    </x:row>
    <x:row r="301">
      <x:c r="A301" s="112"/>
      <x:c r="B301" s="113" t="str">
        <x:v>19:50-20:00</x:v>
      </x:c>
      <x:c r="C301" s="114" t="n">
        <x:v>17.728173177083363</x:v>
      </x:c>
    </x:row>
    <x:row r="302">
      <x:c r="A302" s="112"/>
      <x:c r="B302" s="113" t="str">
        <x:v>20:20-22:00</x:v>
      </x:c>
      <x:c r="C302" s="114" t="n">
        <x:v>1457.9331562503291</x:v>
      </x:c>
    </x:row>
    <x:row r="303">
      <x:c r="A303" s="112" t="n">
        <x:v>45841</x:v>
      </x:c>
      <x:c r="B303" s="113" t="str">
        <x:v>09:30-10:30</x:v>
      </x:c>
      <x:c r="C303" s="114" t="n">
        <x:v>415.07794311750075</x:v>
      </x:c>
    </x:row>
    <x:row r="304">
      <x:c r="A304" s="112"/>
      <x:c r="B304" s="113" t="str">
        <x:v>19:20-22:00</x:v>
      </x:c>
      <x:c r="C304" s="114" t="n">
        <x:v>6218.0496285084555</x:v>
      </x:c>
    </x:row>
    <x:row r="305">
      <x:c r="A305" s="112" t="n">
        <x:v>45842</x:v>
      </x:c>
      <x:c r="B305" s="113" t="str">
        <x:v>01:40-05:00</x:v>
      </x:c>
      <x:c r="C305" s="114" t="n">
        <x:v>2741.6942321166034</x:v>
      </x:c>
    </x:row>
    <x:row r="306">
      <x:c r="A306" s="112"/>
      <x:c r="B306" s="113" t="str">
        <x:v>06:30-07:20</x:v>
      </x:c>
      <x:c r="C306" s="114" t="n">
        <x:v>687.8643767310211</x:v>
      </x:c>
    </x:row>
    <x:row r="307">
      <x:c r="A307" s="112"/>
      <x:c r="B307" s="113" t="str">
        <x:v>20:10-22:00</x:v>
      </x:c>
      <x:c r="C307" s="114" t="n">
        <x:v>3614.57008076441</x:v>
      </x:c>
    </x:row>
    <x:row r="308">
      <x:c r="A308" s="112" t="n">
        <x:v>45843</x:v>
      </x:c>
      <x:c r="B308" s="113" t="str">
        <x:v>01:50-02:20</x:v>
      </x:c>
      <x:c r="C308" s="114" t="n">
        <x:v>43.704081932943495</x:v>
      </x:c>
    </x:row>
    <x:row r="309">
      <x:c r="A309" s="112"/>
      <x:c r="B309" s="113" t="str">
        <x:v>06:20-07:30</x:v>
      </x:c>
      <x:c r="C309" s="114" t="n">
        <x:v>698.6973982642577</x:v>
      </x:c>
    </x:row>
    <x:row r="310">
      <x:c r="A310" s="112"/>
      <x:c r="B310" s="113" t="str">
        <x:v>20:20-21:50</x:v>
      </x:c>
      <x:c r="C310" s="114" t="n">
        <x:v>1871.5148447628499</x:v>
      </x:c>
    </x:row>
    <x:row r="311">
      <x:c r="A311" s="112" t="n">
        <x:v>45844</x:v>
      </x:c>
      <x:c r="B311" s="113" t="str">
        <x:v>08:30-09:40</x:v>
      </x:c>
      <x:c r="C311" s="114" t="n">
        <x:v>1153.0958524092403</x:v>
      </x:c>
    </x:row>
    <x:row r="312">
      <x:c r="A312" s="112"/>
      <x:c r="B312" s="113" t="str">
        <x:v>09:50-10:10</x:v>
      </x:c>
      <x:c r="C312" s="114" t="n">
        <x:v>195.78462166666665</x:v>
      </x:c>
    </x:row>
    <x:row r="313">
      <x:c r="A313" s="112"/>
      <x:c r="B313" s="113" t="str">
        <x:v>18:50-21:50</x:v>
      </x:c>
      <x:c r="C313" s="114" t="n">
        <x:v>9650.739462888223</x:v>
      </x:c>
    </x:row>
    <x:row r="314">
      <x:c r="A314" s="112" t="n">
        <x:v>45845</x:v>
      </x:c>
      <x:c r="B314" s="113" t="str">
        <x:v>08:50-09:20</x:v>
      </x:c>
      <x:c r="C314" s="114" t="n">
        <x:v>290.7623216413337</x:v>
      </x:c>
    </x:row>
    <x:row r="315">
      <x:c r="A315" s="112"/>
      <x:c r="B315" s="113" t="str">
        <x:v>19:10-19:20</x:v>
      </x:c>
      <x:c r="C315" s="114" t="n">
        <x:v>8.222967769614456</x:v>
      </x:c>
    </x:row>
    <x:row r="316">
      <x:c r="A316" s="112"/>
      <x:c r="B316" s="113" t="str">
        <x:v>19:50-20:50</x:v>
      </x:c>
      <x:c r="C316" s="114" t="n">
        <x:v>2248.6182937007593</x:v>
      </x:c>
    </x:row>
    <x:row r="317">
      <x:c r="A317" s="112"/>
      <x:c r="B317" s="113" t="str">
        <x:v>21:10-21:50</x:v>
      </x:c>
      <x:c r="C317" s="114" t="n">
        <x:v>218.57132593749984</x:v>
      </x:c>
    </x:row>
    <x:row r="318">
      <x:c r="A318" s="112" t="n">
        <x:v>45846</x:v>
      </x:c>
      <x:c r="B318" s="113" t="str">
        <x:v>20:00-20:50</x:v>
      </x:c>
      <x:c r="C318" s="114" t="n">
        <x:v>3111.8736151114017</x:v>
      </x:c>
    </x:row>
    <x:row r="319">
      <x:c r="A319" s="112" t="n">
        <x:v>45847</x:v>
      </x:c>
      <x:c r="B319" s="113" t="str">
        <x:v>20:30-21:10</x:v>
      </x:c>
      <x:c r="C319" s="114" t="n">
        <x:v>182.49248617542878</x:v>
      </x:c>
    </x:row>
    <x:row r="320">
      <x:c r="A320" s="112" t="n">
        <x:v>45848</x:v>
      </x:c>
      <x:c r="B320" s="113" t="str">
        <x:v>20:30-21:00</x:v>
      </x:c>
      <x:c r="C320" s="114" t="n">
        <x:v>634.1194081802777</x:v>
      </x:c>
    </x:row>
    <x:row r="321">
      <x:c r="A321" s="112" t="n">
        <x:v>45849</x:v>
      </x:c>
      <x:c r="B321" s="113" t="str">
        <x:v>02:10-03:40</x:v>
      </x:c>
      <x:c r="C321" s="114" t="n">
        <x:v>517.7392200520837</x:v>
      </x:c>
    </x:row>
    <x:row r="322">
      <x:c r="A322" s="112"/>
      <x:c r="B322" s="113" t="str">
        <x:v>04:30-05:00</x:v>
      </x:c>
      <x:c r="C322" s="114" t="n">
        <x:v>216.7871308652766</x:v>
      </x:c>
    </x:row>
    <x:row r="323">
      <x:c r="A323" s="112"/>
      <x:c r="B323" s="113" t="str">
        <x:v>06:40-07:40</x:v>
      </x:c>
      <x:c r="C323" s="114" t="n">
        <x:v>738.6965223913862</x:v>
      </x:c>
    </x:row>
    <x:row r="324">
      <x:c r="A324" s="112"/>
      <x:c r="B324" s="113" t="str">
        <x:v>20:40-21:30</x:v>
      </x:c>
      <x:c r="C324" s="114" t="n">
        <x:v>891.4378542369542</x:v>
      </x:c>
    </x:row>
    <x:row r="325">
      <x:c r="A325" s="112" t="n">
        <x:v>45850</x:v>
      </x:c>
      <x:c r="B325" s="113" t="str">
        <x:v>04:40-04:50</x:v>
      </x:c>
      <x:c r="C325" s="114" t="n">
        <x:v>16.507598714800565</x:v>
      </x:c>
    </x:row>
    <x:row r="326">
      <x:c r="A326" s="112"/>
      <x:c r="B326" s="113" t="str">
        <x:v>07:20-07:40</x:v>
      </x:c>
      <x:c r="C326" s="114" t="n">
        <x:v>37.58437876352879</x:v>
      </x:c>
    </x:row>
    <x:row r="327">
      <x:c r="A327" s="112"/>
      <x:c r="B327" s="113" t="str">
        <x:v>20:40-21:30</x:v>
      </x:c>
      <x:c r="C327" s="114" t="n">
        <x:v>747.8893826309663</x:v>
      </x:c>
    </x:row>
    <x:row r="328">
      <x:c r="A328" s="112" t="n">
        <x:v>45851</x:v>
      </x:c>
      <x:c r="B328" s="113" t="str">
        <x:v>19:10-19:20</x:v>
      </x:c>
      <x:c r="C328" s="114" t="n">
        <x:v>13.272962478316572</x:v>
      </x:c>
    </x:row>
    <x:row r="329">
      <x:c r="A329" s="112"/>
      <x:c r="B329" s="113" t="str">
        <x:v>19:50-20:00</x:v>
      </x:c>
      <x:c r="C329" s="114" t="n">
        <x:v>13.979082031250073</x:v>
      </x:c>
    </x:row>
    <x:row r="330">
      <x:c r="A330" s="112"/>
      <x:c r="B330" s="113" t="str">
        <x:v>20:20-21:20</x:v>
      </x:c>
      <x:c r="C330" s="114" t="n">
        <x:v>1056.402425925828</x:v>
      </x:c>
    </x:row>
    <x:row r="331">
      <x:c r="A331" s="112" t="n">
        <x:v>45852</x:v>
      </x:c>
      <x:c r="B331" s="113" t="str">
        <x:v>20:30-20:50</x:v>
      </x:c>
      <x:c r="C331" s="114" t="n">
        <x:v>664.7024333459448</x:v>
      </x:c>
    </x:row>
    <x:row r="332">
      <x:c r="A332" s="112" t="n">
        <x:v>45853</x:v>
      </x:c>
      <x:c r="B332" s="113" t="str">
        <x:v>20:30-20:50</x:v>
      </x:c>
      <x:c r="C332" s="114" t="n">
        <x:v>159.06198865911222</x:v>
      </x:c>
    </x:row>
    <x:row r="333">
      <x:c r="A333" s="112" t="n">
        <x:v>45854</x:v>
      </x:c>
      <x:c r="B333" s="113" t="str">
        <x:v>20:10-20:20</x:v>
      </x:c>
      <x:c r="C333" s="114" t="n">
        <x:v>10.039995598958512</x:v>
      </x:c>
    </x:row>
    <x:row r="334">
      <x:c r="A334" s="112"/>
      <x:c r="B334" s="113" t="str">
        <x:v>20:30-20:50</x:v>
      </x:c>
      <x:c r="C334" s="114" t="n">
        <x:v>653.9349587951561</x:v>
      </x:c>
    </x:row>
    <x:row r="335">
      <x:c r="A335" s="112" t="n">
        <x:v>45855</x:v>
      </x:c>
      <x:c r="B335" s="113" t="str">
        <x:v>20:20-20:50</x:v>
      </x:c>
      <x:c r="C335" s="114" t="n">
        <x:v>1659.909532411777</x:v>
      </x:c>
    </x:row>
    <x:row r="336">
      <x:c r="A336" s="112"/>
      <x:c r="B336" s="113" t="str">
        <x:v>21:00-21:20</x:v>
      </x:c>
      <x:c r="C336" s="114" t="n">
        <x:v>62.43386774088542</x:v>
      </x:c>
    </x:row>
    <x:row r="337">
      <x:c r="A337" s="112" t="n">
        <x:v>45856</x:v>
      </x:c>
      <x:c r="B337" s="113" t="str">
        <x:v>20:40-20:50</x:v>
      </x:c>
      <x:c r="C337" s="114" t="n">
        <x:v>22.90714940709927</x:v>
      </x:c>
    </x:row>
    <x:row r="338">
      <x:c r="A338" s="112" t="n">
        <x:v>45857</x:v>
      </x:c>
      <x:c r="B338" s="113" t="str">
        <x:v>20:40-21:20</x:v>
      </x:c>
      <x:c r="C338" s="114" t="n">
        <x:v>637.3015200124861</x:v>
      </x:c>
    </x:row>
    <x:row r="339">
      <x:c r="A339" s="112"/>
      <x:c r="B339" s="113" t="str">
        <x:v>21:30-21:50</x:v>
      </x:c>
      <x:c r="C339" s="114" t="n">
        <x:v>27.44279296875011</x:v>
      </x:c>
    </x:row>
    <x:row r="340">
      <x:c r="A340" s="112" t="n">
        <x:v>45858</x:v>
      </x:c>
      <x:c r="B340" s="113" t="str">
        <x:v>20:30-20:40</x:v>
      </x:c>
      <x:c r="C340" s="114" t="n">
        <x:v>429.4987834460259</x:v>
      </x:c>
    </x:row>
    <x:row r="341">
      <x:c r="A341" s="112" t="n">
        <x:v>45859</x:v>
      </x:c>
      <x:c r="B341" s="113" t="str">
        <x:v>20:10-20:50</x:v>
      </x:c>
      <x:c r="C341" s="114" t="n">
        <x:v>1918.3820872514393</x:v>
      </x:c>
    </x:row>
    <x:row r="342">
      <x:c r="A342" s="112" t="n">
        <x:v>45860</x:v>
      </x:c>
      <x:c r="B342" s="113" t="str">
        <x:v>20:20-20:50</x:v>
      </x:c>
      <x:c r="C342" s="114" t="n">
        <x:v>1418.3515891591092</x:v>
      </x:c>
    </x:row>
    <x:row r="343">
      <x:c r="A343" s="112" t="n">
        <x:v>45861</x:v>
      </x:c>
      <x:c r="B343" s="113" t="str">
        <x:v>20:10-21:20</x:v>
      </x:c>
      <x:c r="C343" s="114" t="n">
        <x:v>1813.3239105005173</x:v>
      </x:c>
    </x:row>
    <x:row r="344">
      <x:c r="A344" s="112" t="n">
        <x:v>45862</x:v>
      </x:c>
      <x:c r="B344" s="113" t="str">
        <x:v>20:20-20:50</x:v>
      </x:c>
      <x:c r="C344" s="114" t="n">
        <x:v>1363.7988814824403</x:v>
      </x:c>
    </x:row>
    <x:row r="345">
      <x:c r="A345" s="112" t="n">
        <x:v>45863</x:v>
      </x:c>
      <x:c r="B345" s="113" t="str">
        <x:v>20:40-20:50</x:v>
      </x:c>
      <x:c r="C345" s="114" t="n">
        <x:v>230.2527056346837</x:v>
      </x:c>
    </x:row>
    <x:row r="346">
      <x:c r="A346" s="112"/>
      <x:c r="B346" s="113" t="str">
        <x:v>21:30-21:50</x:v>
      </x:c>
      <x:c r="C346" s="114" t="n">
        <x:v>39.603394376301935</x:v>
      </x:c>
    </x:row>
    <x:row r="347">
      <x:c r="A347" s="112" t="n">
        <x:v>45864</x:v>
      </x:c>
      <x:c r="B347" s="113" t="str">
        <x:v>20:40-20:50</x:v>
      </x:c>
      <x:c r="C347" s="114" t="n">
        <x:v>198.18912611877244</x:v>
      </x:c>
    </x:row>
    <x:row r="348">
      <x:c r="A348" s="112"/>
      <x:c r="B348" s="113" t="str">
        <x:v>21:00-21:40</x:v>
      </x:c>
      <x:c r="C348" s="114" t="n">
        <x:v>91.90694612630213</x:v>
      </x:c>
    </x:row>
    <x:row r="349">
      <x:c r="A349" s="112" t="n">
        <x:v>45865</x:v>
      </x:c>
      <x:c r="B349" s="113" t="str">
        <x:v>08:40-09:30</x:v>
      </x:c>
      <x:c r="C349" s="114" t="n">
        <x:v>865.4139338178161</x:v>
      </x:c>
    </x:row>
    <x:row r="350">
      <x:c r="A350" s="112"/>
      <x:c r="B350" s="113" t="str">
        <x:v>20:20-20:40</x:v>
      </x:c>
      <x:c r="C350" s="114" t="n">
        <x:v>1434.4063266604767</x:v>
      </x:c>
    </x:row>
    <x:row r="351">
      <x:c r="A351" s="112" t="n">
        <x:v>45866</x:v>
      </x:c>
      <x:c r="B351" s="113" t="str">
        <x:v>19:30-21:30</x:v>
      </x:c>
      <x:c r="C351" s="114" t="n">
        <x:v>5143.454419712228</x:v>
      </x:c>
    </x:row>
    <x:row r="352">
      <x:c r="A352" s="112" t="n">
        <x:v>45867</x:v>
      </x:c>
      <x:c r="B352" s="113" t="str">
        <x:v>18:50-19:00</x:v>
      </x:c>
      <x:c r="C352" s="114" t="n">
        <x:v>13.573065866717457</x:v>
      </x:c>
    </x:row>
    <x:row r="353">
      <x:c r="A353" s="112"/>
      <x:c r="B353" s="113" t="str">
        <x:v>20:10-20:50</x:v>
      </x:c>
      <x:c r="C353" s="114" t="n">
        <x:v>2144.2943567169796</x:v>
      </x:c>
    </x:row>
    <x:row r="354">
      <x:c r="A354" s="112" t="n">
        <x:v>45868</x:v>
      </x:c>
      <x:c r="B354" s="113" t="str">
        <x:v>20:30-21:00</x:v>
      </x:c>
      <x:c r="C354" s="114" t="n">
        <x:v>476.5361484582276</x:v>
      </x:c>
    </x:row>
    <x:row r="355">
      <x:c r="A355" s="112" t="n">
        <x:v>45869</x:v>
      </x:c>
      <x:c r="B355" s="113" t="str">
        <x:v>20:20-20:50</x:v>
      </x:c>
      <x:c r="C355" s="114" t="n">
        <x:v>1172.498886569887</x:v>
      </x:c>
    </x:row>
    <x:row r="356">
      <x:c r="A356" s="112" t="n">
        <x:v>45870</x:v>
      </x:c>
      <x:c r="B356" s="113" t="str">
        <x:v>20:40-21:00</x:v>
      </x:c>
      <x:c r="C356" s="114" t="n">
        <x:v>387.8904343611596</x:v>
      </x:c>
    </x:row>
    <x:row r="357">
      <x:c r="A357" s="112" t="n">
        <x:v>45871</x:v>
      </x:c>
      <x:c r="B357" s="113" t="str">
        <x:v>20:40-21:00</x:v>
      </x:c>
      <x:c r="C357" s="114" t="n">
        <x:v>170.68217858390312</x:v>
      </x:c>
    </x:row>
    <x:row r="358">
      <x:c r="A358" s="112" t="n">
        <x:v>45872</x:v>
      </x:c>
      <x:c r="B358" s="113" t="str">
        <x:v>19:30-19:50</x:v>
      </x:c>
      <x:c r="C358" s="114" t="n">
        <x:v>21.846079427083623</x:v>
      </x:c>
    </x:row>
    <x:row r="359">
      <x:c r="A359" s="112"/>
      <x:c r="B359" s="113" t="str">
        <x:v>20:30-22:00</x:v>
      </x:c>
      <x:c r="C359" s="114" t="n">
        <x:v>286.923565848013</x:v>
      </x:c>
    </x:row>
    <x:row r="360">
      <x:c r="A360" s="112" t="n">
        <x:v>45873</x:v>
      </x:c>
      <x:c r="B360" s="113" t="str">
        <x:v>20:30-20:40</x:v>
      </x:c>
      <x:c r="C360" s="114" t="n">
        <x:v>35.75993333122619</x:v>
      </x:c>
    </x:row>
    <x:row r="361">
      <x:c r="A361" s="112" t="n">
        <x:v>45874</x:v>
      </x:c>
      <x:c r="B361" s="113" t="str">
        <x:v>无</x:v>
      </x:c>
      <x:c r="C361" s="114" t="n">
        <x:v>0</x:v>
      </x:c>
    </x:row>
    <x:row r="362">
      <x:c r="A362" s="112" t="n">
        <x:v>45875</x:v>
      </x:c>
      <x:c r="B362" s="113" t="str">
        <x:v>20:10-20:40</x:v>
      </x:c>
      <x:c r="C362" s="114" t="n">
        <x:v>1810.2741154064697</x:v>
      </x:c>
    </x:row>
    <x:row r="363">
      <x:c r="A363" s="112"/>
      <x:c r="B363" s="113" t="str">
        <x:v>21:00-21:50</x:v>
      </x:c>
      <x:c r="C363" s="114" t="n">
        <x:v>91.91223867195508</x:v>
      </x:c>
    </x:row>
    <x:row r="364">
      <x:c r="A364" s="112" t="n">
        <x:v>45876</x:v>
      </x:c>
      <x:c r="B364" s="113" t="str">
        <x:v>20:00-20:10</x:v>
      </x:c>
      <x:c r="C364" s="114" t="n">
        <x:v>2.3077621093752896</x:v>
      </x:c>
    </x:row>
    <x:row r="365">
      <x:c r="A365" s="112"/>
      <x:c r="B365" s="113" t="str">
        <x:v>20:30-20:40</x:v>
      </x:c>
      <x:c r="C365" s="114" t="n">
        <x:v>48.62689309406301</x:v>
      </x:c>
    </x:row>
    <x:row r="366">
      <x:c r="A366" s="112" t="n">
        <x:v>45877</x:v>
      </x:c>
      <x:c r="B366" s="113" t="str">
        <x:v>20:40-21:10</x:v>
      </x:c>
      <x:c r="C366" s="114" t="n">
        <x:v>145.1440344887739</x:v>
      </x:c>
    </x:row>
    <x:row r="367">
      <x:c r="A367" s="112" t="n">
        <x:v>45878</x:v>
      </x:c>
      <x:c r="B367" s="113" t="str">
        <x:v>20:40-21:40</x:v>
      </x:c>
      <x:c r="C367" s="114" t="n">
        <x:v>286.9443047399616</x:v>
      </x:c>
    </x:row>
    <x:row r="368">
      <x:c r="A368" s="112" t="n">
        <x:v>45879</x:v>
      </x:c>
      <x:c r="B368" s="113" t="str">
        <x:v>20:30-20:50</x:v>
      </x:c>
      <x:c r="C368" s="114" t="n">
        <x:v>368.8581426754681</x:v>
      </x:c>
    </x:row>
    <x:row r="369">
      <x:c r="A369" s="112" t="n">
        <x:v>45880</x:v>
      </x:c>
      <x:c r="B369" s="113" t="str">
        <x:v>20:30-20:40</x:v>
      </x:c>
      <x:c r="C369" s="114" t="n">
        <x:v>731.2646708934474</x:v>
      </x:c>
    </x:row>
    <x:row r="370">
      <x:c r="A370" s="112" t="n">
        <x:v>45881</x:v>
      </x:c>
      <x:c r="B370" s="113" t="str">
        <x:v>19:40-19:50</x:v>
      </x:c>
      <x:c r="C370" s="114" t="n">
        <x:v>4.2553183854167855</x:v>
      </x:c>
    </x:row>
    <x:row r="371">
      <x:c r="A371" s="112"/>
      <x:c r="B371" s="113" t="str">
        <x:v>20:00-20:40</x:v>
      </x:c>
      <x:c r="C371" s="114" t="n">
        <x:v>2831.1456674283927</x:v>
      </x:c>
    </x:row>
    <x:row r="372">
      <x:c r="A372" s="112"/>
      <x:c r="B372" s="113" t="str">
        <x:v>20:50-21:00</x:v>
      </x:c>
      <x:c r="C372" s="114" t="n">
        <x:v>0.961842078510994</x:v>
      </x:c>
    </x:row>
    <x:row r="373">
      <x:c r="A373" s="112" t="n">
        <x:v>45882</x:v>
      </x:c>
      <x:c r="B373" s="113" t="str">
        <x:v>20:20-20:50</x:v>
      </x:c>
      <x:c r="C373" s="114" t="n">
        <x:v>1032.8871461573249</x:v>
      </x:c>
    </x:row>
    <x:row r="374">
      <x:c r="A374" s="112"/>
      <x:c r="B374" s="113" t="str">
        <x:v>21:10-21:40</x:v>
      </x:c>
      <x:c r="C374" s="114" t="n">
        <x:v>45.60207576171884</x:v>
      </x:c>
    </x:row>
    <x:row r="375">
      <x:c r="A375" s="112" t="n">
        <x:v>45883</x:v>
      </x:c>
      <x:c r="B375" s="113" t="str">
        <x:v>08:20-09:10</x:v>
      </x:c>
      <x:c r="C375" s="114" t="n">
        <x:v>736.531477228642</x:v>
      </x:c>
    </x:row>
    <x:row r="376">
      <x:c r="A376" s="112"/>
      <x:c r="B376" s="113" t="str">
        <x:v>20:20-21:20</x:v>
      </x:c>
      <x:c r="C376" s="114" t="n">
        <x:v>1069.1497808099664</x:v>
      </x:c>
    </x:row>
    <x:row r="377">
      <x:c r="A377" s="112" t="n">
        <x:v>45884</x:v>
      </x:c>
      <x:c r="B377" s="113" t="str">
        <x:v>07:10-07:20</x:v>
      </x:c>
      <x:c r="C377" s="114" t="n">
        <x:v>26.677404082262118</x:v>
      </x:c>
    </x:row>
    <x:row r="378">
      <x:c r="A378" s="112"/>
      <x:c r="B378" s="113" t="str">
        <x:v>20:40-20:50</x:v>
      </x:c>
      <x:c r="C378" s="114" t="n">
        <x:v>86.27495706318632</x:v>
      </x:c>
    </x:row>
    <x:row r="379">
      <x:c r="A379" s="112"/>
      <x:c r="B379" s="113" t="str">
        <x:v>21:10-21:40</x:v>
      </x:c>
      <x:c r="C379" s="114" t="n">
        <x:v>128.0378297444058</x:v>
      </x:c>
    </x:row>
    <x:row r="380">
      <x:c r="A380" s="112" t="n">
        <x:v>45885</x:v>
      </x:c>
      <x:c r="B380" s="113" t="str">
        <x:v>07:00-07:20</x:v>
      </x:c>
      <x:c r="C380" s="114" t="n">
        <x:v>54.45782641223888</x:v>
      </x:c>
    </x:row>
    <x:row r="381">
      <x:c r="A381" s="112"/>
      <x:c r="B381" s="113" t="str">
        <x:v>20:40-20:50</x:v>
      </x:c>
      <x:c r="C381" s="114" t="n">
        <x:v>302.89438603662387</x:v>
      </x:c>
    </x:row>
    <x:row r="382">
      <x:c r="A382" s="112" t="n">
        <x:v>45886</x:v>
      </x:c>
      <x:c r="B382" s="113" t="str">
        <x:v>08:20-09:00</x:v>
      </x:c>
      <x:c r="C382" s="114" t="n">
        <x:v>394.19314401178707</x:v>
      </x:c>
    </x:row>
    <x:row r="383">
      <x:c r="A383" s="112"/>
      <x:c r="B383" s="113" t="str">
        <x:v>19:10-19:40</x:v>
      </x:c>
      <x:c r="C383" s="114" t="n">
        <x:v>58.18062591145849</x:v>
      </x:c>
    </x:row>
    <x:row r="384">
      <x:c r="A384" s="112"/>
      <x:c r="B384" s="113" t="str">
        <x:v>20:30-20:40</x:v>
      </x:c>
      <x:c r="C384" s="114" t="n">
        <x:v>87.69687376429283</x:v>
      </x:c>
    </x:row>
    <x:row r="385">
      <x:c r="A385" s="112" t="n">
        <x:v>45887</x:v>
      </x:c>
      <x:c r="B385" s="113" t="str">
        <x:v>08:10-09:10</x:v>
      </x:c>
      <x:c r="C385" s="114" t="n">
        <x:v>1038.3443177618483</x:v>
      </x:c>
    </x:row>
    <x:row r="386">
      <x:c r="A386" s="112"/>
      <x:c r="B386" s="113" t="str">
        <x:v>19:50-20:00</x:v>
      </x:c>
      <x:c r="C386" s="114" t="n">
        <x:v>29.897319010416595</x:v>
      </x:c>
    </x:row>
    <x:row r="387">
      <x:c r="A387" s="112"/>
      <x:c r="B387" s="113" t="str">
        <x:v>20:20-21:10</x:v>
      </x:c>
      <x:c r="C387" s="114" t="n">
        <x:v>277.59753637583265</x:v>
      </x:c>
    </x:row>
    <x:row r="388">
      <x:c r="A388" s="112" t="n">
        <x:v>45888</x:v>
      </x:c>
      <x:c r="B388" s="113" t="str">
        <x:v>19:20-19:40</x:v>
      </x:c>
      <x:c r="C388" s="114" t="n">
        <x:v>100.58161734374994</x:v>
      </x:c>
    </x:row>
    <x:row r="389">
      <x:c r="A389" s="112"/>
      <x:c r="B389" s="113" t="str">
        <x:v>20:30-20:40</x:v>
      </x:c>
      <x:c r="C389" s="114" t="n">
        <x:v>18.001525096291743</x:v>
      </x:c>
    </x:row>
    <x:row r="390">
      <x:c r="A390" s="112"/>
      <x:c r="B390" s="113" t="str">
        <x:v>21:30-21:40</x:v>
      </x:c>
      <x:c r="C390" s="114" t="n">
        <x:v>39.808370102591745</x:v>
      </x:c>
    </x:row>
    <x:row r="391">
      <x:c r="A391" s="112" t="n">
        <x:v>45889</x:v>
      </x:c>
      <x:c r="B391" s="113" t="str">
        <x:v>08:00-09:30</x:v>
      </x:c>
      <x:c r="C391" s="114" t="n">
        <x:v>2521.805940398921</x:v>
      </x:c>
    </x:row>
    <x:row r="392">
      <x:c r="A392" s="112"/>
      <x:c r="B392" s="113" t="str">
        <x:v>19:50-21:00</x:v>
      </x:c>
      <x:c r="C392" s="114" t="n">
        <x:v>3941.058610246343</x:v>
      </x:c>
    </x:row>
    <x:row r="393">
      <x:c r="A393" s="112" t="n">
        <x:v>45890</x:v>
      </x:c>
      <x:c r="B393" s="113" t="str">
        <x:v>20:30-20:40</x:v>
      </x:c>
      <x:c r="C393" s="114" t="n">
        <x:v>253.90296809995482</x:v>
      </x:c>
    </x:row>
    <x:row r="394">
      <x:c r="A394" s="112" t="n">
        <x:v>45891</x:v>
      </x:c>
      <x:c r="B394" s="113" t="str">
        <x:v>20:30-21:40</x:v>
      </x:c>
      <x:c r="C394" s="114" t="n">
        <x:v>1119.5725989395132</x:v>
      </x:c>
    </x:row>
    <x:row r="395">
      <x:c r="A395" s="112" t="n">
        <x:v>45892</x:v>
      </x:c>
      <x:c r="B395" s="113" t="str">
        <x:v>20:40-20:50</x:v>
      </x:c>
      <x:c r="C395" s="114" t="n">
        <x:v>291.6538764833257</x:v>
      </x:c>
    </x:row>
    <x:row r="396">
      <x:c r="A396" s="112"/>
      <x:c r="B396" s="113" t="str">
        <x:v>21:30-21:50</x:v>
      </x:c>
      <x:c r="C396" s="114" t="n">
        <x:v>88.57895667968789</x:v>
      </x:c>
    </x:row>
    <x:row r="397">
      <x:c r="A397" s="112" t="n">
        <x:v>45893</x:v>
      </x:c>
      <x:c r="B397" s="113" t="str">
        <x:v>08:20-09:10</x:v>
      </x:c>
      <x:c r="C397" s="114" t="n">
        <x:v>682.6482813021831</x:v>
      </x:c>
    </x:row>
    <x:row r="398">
      <x:c r="A398" s="112"/>
      <x:c r="B398" s="113" t="str">
        <x:v>20:30-20:50</x:v>
      </x:c>
      <x:c r="C398" s="114" t="n">
        <x:v>661.4345915324615</x:v>
      </x:c>
    </x:row>
    <x:row r="399">
      <x:c r="A399" s="112"/>
      <x:c r="B399" s="113" t="str">
        <x:v>21:20-21:40</x:v>
      </x:c>
      <x:c r="C399" s="114" t="n">
        <x:v>33.98082227864618</x:v>
      </x:c>
    </x:row>
    <x:row r="400">
      <x:c r="A400" s="112" t="n">
        <x:v>45894</x:v>
      </x:c>
      <x:c r="B400" s="113" t="str">
        <x:v>08:20-09:20</x:v>
      </x:c>
      <x:c r="C400" s="114" t="n">
        <x:v>445.44252780450273</x:v>
      </x:c>
    </x:row>
    <x:row r="401">
      <x:c r="A401" s="112"/>
      <x:c r="B401" s="113" t="str">
        <x:v>19:10-19:20</x:v>
      </x:c>
      <x:c r="C401" s="114" t="n">
        <x:v>4.09735431545414</x:v>
      </x:c>
    </x:row>
    <x:row r="402">
      <x:c r="A402" s="112"/>
      <x:c r="B402" s="113" t="str">
        <x:v>19:40-20:40</x:v>
      </x:c>
      <x:c r="C402" s="114" t="n">
        <x:v>4359.253047947755</x:v>
      </x:c>
    </x:row>
    <x:row r="403">
      <x:c r="A403" s="112" t="n">
        <x:v>45895</x:v>
      </x:c>
      <x:c r="B403" s="113" t="str">
        <x:v>无</x:v>
      </x:c>
      <x:c r="C403" s="114" t="n">
        <x:v>0</x:v>
      </x:c>
    </x:row>
    <x:row r="404">
      <x:c r="A404" s="112" t="n">
        <x:v>45896</x:v>
      </x:c>
      <x:c r="B404" s="113" t="str">
        <x:v>20:10-20:40</x:v>
      </x:c>
      <x:c r="C404" s="114" t="n">
        <x:v>1804.5967244715166</x:v>
      </x:c>
    </x:row>
    <x:row r="405">
      <x:c r="A405" s="112" t="n">
        <x:v>45897</x:v>
      </x:c>
      <x:c r="B405" s="113" t="str">
        <x:v>09:00-10:50</x:v>
      </x:c>
      <x:c r="C405" s="114" t="n">
        <x:v>740.9728572683242</x:v>
      </x:c>
    </x:row>
    <x:row r="406">
      <x:c r="A406" s="112"/>
      <x:c r="B406" s="113" t="str">
        <x:v>19:50-20:40</x:v>
      </x:c>
      <x:c r="C406" s="114" t="n">
        <x:v>2885.7748047826744</x:v>
      </x:c>
    </x:row>
    <x:row r="407">
      <x:c r="A407" s="112" t="n">
        <x:v>45898</x:v>
      </x:c>
      <x:c r="B407" s="113" t="str">
        <x:v>20:40-21:00</x:v>
      </x:c>
      <x:c r="C407" s="114" t="n">
        <x:v>102.25533053025606</x:v>
      </x:c>
    </x:row>
    <x:row r="408">
      <x:c r="A408" s="112" t="n">
        <x:v>45899</x:v>
      </x:c>
      <x:c r="B408" s="113" t="str">
        <x:v>20:40-20:50</x:v>
      </x:c>
      <x:c r="C408" s="114" t="n">
        <x:v>296.65552866241904</x:v>
      </x:c>
    </x:row>
    <x:row r="409">
      <x:c r="A409" s="112" t="n">
        <x:v>45900</x:v>
      </x:c>
      <x:c r="B409" s="113" t="str">
        <x:v>20:30-20:50</x:v>
      </x:c>
      <x:c r="C409" s="114" t="n">
        <x:v>126.37267877404815</x:v>
      </x:c>
    </x:row>
    <x:row r="410">
      <x:c r="A410" s="112" t="n">
        <x:v>45901</x:v>
      </x:c>
      <x:c r="B410" s="113" t="str">
        <x:v>无</x:v>
      </x:c>
      <x:c r="C410" s="114" t="n">
        <x:v>0</x:v>
      </x:c>
    </x:row>
    <x:row r="411">
      <x:c r="A411" s="112" t="n">
        <x:v>45902</x:v>
      </x:c>
      <x:c r="B411" s="113" t="str">
        <x:v>无</x:v>
      </x:c>
      <x:c r="C411" s="114" t="n">
        <x:v>0</x:v>
      </x:c>
    </x:row>
    <x:row r="412">
      <x:c r="A412" s="112" t="n">
        <x:v>45903</x:v>
      </x:c>
      <x:c r="B412" s="113" t="str">
        <x:v>无</x:v>
      </x:c>
      <x:c r="C412" s="114" t="n">
        <x:v>0</x:v>
      </x:c>
    </x:row>
    <x:row r="413">
      <x:c r="A413" s="112" t="n">
        <x:v>45904</x:v>
      </x:c>
      <x:c r="B413" s="113" t="str">
        <x:v>无</x:v>
      </x:c>
      <x:c r="C413" s="114" t="n">
        <x:v>0</x:v>
      </x:c>
    </x:row>
    <x:row r="414">
      <x:c r="A414" s="112" t="n">
        <x:v>45905</x:v>
      </x:c>
      <x:c r="B414" s="113" t="str">
        <x:v>无</x:v>
      </x:c>
      <x:c r="C414" s="114" t="n">
        <x:v>0</x:v>
      </x:c>
    </x:row>
    <x:row r="415">
      <x:c r="A415" s="112" t="n">
        <x:v>45906</x:v>
      </x:c>
      <x:c r="B415" s="113" t="str">
        <x:v>无</x:v>
      </x:c>
      <x:c r="C415" s="114" t="n">
        <x:v>0</x:v>
      </x:c>
    </x:row>
    <x:row r="416">
      <x:c r="A416" s="112" t="n">
        <x:v>45907</x:v>
      </x:c>
      <x:c r="B416" s="113" t="str">
        <x:v>无</x:v>
      </x:c>
      <x:c r="C416" s="114" t="n">
        <x:v>0</x:v>
      </x:c>
    </x:row>
    <x:row r="417">
      <x:c r="A417" s="112" t="n">
        <x:v>45908</x:v>
      </x:c>
      <x:c r="B417" s="113" t="str">
        <x:v>19:40-20:40</x:v>
      </x:c>
      <x:c r="C417" s="114" t="n">
        <x:v>4075.7615708978556</x:v>
      </x:c>
    </x:row>
    <x:row r="418">
      <x:c r="A418" s="112" t="n">
        <x:v>45909</x:v>
      </x:c>
      <x:c r="B418" s="113" t="str">
        <x:v>19:30-19:40</x:v>
      </x:c>
      <x:c r="C418" s="114" t="n">
        <x:v>2.352616666666563</x:v>
      </x:c>
    </x:row>
    <x:row r="419">
      <x:c r="A419" s="112"/>
      <x:c r="B419" s="113" t="str">
        <x:v>20:10-20:20</x:v>
      </x:c>
      <x:c r="C419" s="114" t="n">
        <x:v>2.87619153645835</x:v>
      </x:c>
    </x:row>
    <x:row r="420">
      <x:c r="A420" s="112"/>
      <x:c r="B420" s="113" t="str">
        <x:v>20:30-20:40</x:v>
      </x:c>
      <x:c r="C420" s="114" t="n">
        <x:v>461.6946556726931</x:v>
      </x:c>
    </x:row>
    <x:row r="421">
      <x:c r="A421" s="112" t="n">
        <x:v>45910</x:v>
      </x:c>
      <x:c r="B421" s="113" t="str">
        <x:v>08:00-09:40</x:v>
      </x:c>
      <x:c r="C421" s="114" t="n">
        <x:v>1837.2553886436124</x:v>
      </x:c>
    </x:row>
    <x:row r="422">
      <x:c r="A422" s="112"/>
      <x:c r="B422" s="113" t="str">
        <x:v>19:50-20:40</x:v>
      </x:c>
      <x:c r="C422" s="114" t="n">
        <x:v>3306.652246795846</x:v>
      </x:c>
    </x:row>
    <x:row r="423">
      <x:c r="A423" s="112" t="n">
        <x:v>45911</x:v>
      </x:c>
      <x:c r="B423" s="113" t="str">
        <x:v>19:50-20:00</x:v>
      </x:c>
      <x:c r="C423" s="114" t="n">
        <x:v>2.153301432291755</x:v>
      </x:c>
    </x:row>
    <x:row r="424">
      <x:c r="A424" s="112" t="n">
        <x:v>45912</x:v>
      </x:c>
      <x:c r="B424" s="113" t="str">
        <x:v>无</x:v>
      </x:c>
      <x:c r="C424" s="114" t="n">
        <x:v>0</x:v>
      </x:c>
    </x:row>
    <x:row r="425">
      <x:c r="A425" s="112" t="n">
        <x:v>45913</x:v>
      </x:c>
      <x:c r="B425" s="113" t="str">
        <x:v>无</x:v>
      </x:c>
      <x:c r="C425" s="114" t="n">
        <x:v>0</x:v>
      </x:c>
    </x:row>
    <x:row r="426">
      <x:c r="A426" s="112" t="n">
        <x:v>45914</x:v>
      </x:c>
      <x:c r="B426" s="113" t="str">
        <x:v>08:40-09:20</x:v>
      </x:c>
      <x:c r="C426" s="114" t="n">
        <x:v>426.11890000000005</x:v>
      </x:c>
    </x:row>
    <x:row r="427">
      <x:c r="A427" s="112"/>
      <x:c r="B427" s="113" t="str">
        <x:v>19:50-21:00</x:v>
      </x:c>
      <x:c r="C427" s="114" t="n">
        <x:v>3857.0244470241078</x:v>
      </x:c>
    </x:row>
    <x:row r="428">
      <x:c r="A428" s="112" t="n">
        <x:v>45915</x:v>
      </x:c>
      <x:c r="B428" s="113" t="str">
        <x:v>08:30-09:20</x:v>
      </x:c>
      <x:c r="C428" s="114" t="n">
        <x:v>392.85079361593813</x:v>
      </x:c>
    </x:row>
    <x:row r="429">
      <x:c r="A429" s="112"/>
      <x:c r="B429" s="113" t="str">
        <x:v>19:40-19:50</x:v>
      </x:c>
      <x:c r="C429" s="114" t="n">
        <x:v>1.1717666666667128</x:v>
      </x:c>
    </x:row>
    <x:row r="430">
      <x:c r="A430" s="112"/>
      <x:c r="B430" s="113" t="str">
        <x:v>20:30-20:40</x:v>
      </x:c>
      <x:c r="C430" s="114" t="n">
        <x:v>478.8228342626246</x:v>
      </x:c>
    </x:row>
    <x:row r="431">
      <x:c r="A431" s="112" t="n">
        <x:v>45916</x:v>
      </x:c>
      <x:c r="B431" s="113" t="str">
        <x:v>08:40-09:20</x:v>
      </x:c>
      <x:c r="C431" s="114" t="n">
        <x:v>261.28883559110307</x:v>
      </x:c>
    </x:row>
    <x:row r="432">
      <x:c r="A432" s="112"/>
      <x:c r="B432" s="113" t="str">
        <x:v>19:10-19:20</x:v>
      </x:c>
      <x:c r="C432" s="114" t="n">
        <x:v>8.238266666666732</x:v>
      </x:c>
    </x:row>
    <x:row r="433">
      <x:c r="A433" s="112"/>
      <x:c r="B433" s="113" t="str">
        <x:v>20:00-20:50</x:v>
      </x:c>
      <x:c r="C433" s="114" t="n">
        <x:v>2564.325393517123</x:v>
      </x:c>
    </x:row>
    <x:row r="434">
      <x:c r="A434" s="112"/>
      <x:c r="B434" s="113" t="str">
        <x:v>21:00-21:20</x:v>
      </x:c>
      <x:c r="C434" s="114" t="n">
        <x:v>5.010556266557318</x:v>
      </x:c>
    </x:row>
    <x:row r="435">
      <x:c r="A435" s="112"/>
      <x:c r="B435" s="113" t="str">
        <x:v>21:30-21:50</x:v>
      </x:c>
      <x:c r="C435" s="114" t="n">
        <x:v>64.57924352213513</x:v>
      </x:c>
    </x:row>
    <x:row r="436">
      <x:c r="A436" s="112" t="n">
        <x:v>45917</x:v>
      </x:c>
      <x:c r="B436" s="113" t="str">
        <x:v>05:50-06:00</x:v>
      </x:c>
      <x:c r="C436" s="114" t="n">
        <x:v>7.629166666666833</x:v>
      </x:c>
    </x:row>
    <x:row r="437">
      <x:c r="A437" s="112"/>
      <x:c r="B437" s="113" t="str">
        <x:v>08:30-09:40</x:v>
      </x:c>
      <x:c r="C437" s="114" t="n">
        <x:v>1004.1220778122912</x:v>
      </x:c>
    </x:row>
    <x:row r="438">
      <x:c r="A438" s="112"/>
      <x:c r="B438" s="113" t="str">
        <x:v>09:50-10:00</x:v>
      </x:c>
      <x:c r="C438" s="114" t="n">
        <x:v>1.8205906666667175</x:v>
      </x:c>
    </x:row>
    <x:row r="439">
      <x:c r="A439" s="112"/>
      <x:c r="B439" s="113" t="str">
        <x:v>20:10-20:40</x:v>
      </x:c>
      <x:c r="C439" s="114" t="n">
        <x:v>1794.3939972638582</x:v>
      </x:c>
    </x:row>
    <x:row r="440">
      <x:c r="A440" s="112"/>
      <x:c r="B440" s="113" t="str">
        <x:v>21:20-21:40</x:v>
      </x:c>
      <x:c r="C440" s="114" t="n">
        <x:v>51.42473525683219</x:v>
      </x:c>
    </x:row>
    <x:row r="441">
      <x:c r="A441" s="112" t="n">
        <x:v>45918</x:v>
      </x:c>
      <x:c r="B441" s="113" t="str">
        <x:v>08:50-09:30</x:v>
      </x:c>
      <x:c r="C441" s="114" t="n">
        <x:v>549.6987227855011</x:v>
      </x:c>
    </x:row>
    <x:row r="442">
      <x:c r="A442" s="112"/>
      <x:c r="B442" s="113" t="str">
        <x:v>20:20-21:00</x:v>
      </x:c>
      <x:c r="C442" s="114" t="n">
        <x:v>1235.2988506469592</x:v>
      </x:c>
    </x:row>
    <x:row r="443">
      <x:c r="A443" s="112"/>
      <x:c r="B443" s="113" t="str">
        <x:v>21:20-21:50</x:v>
      </x:c>
      <x:c r="C443" s="114" t="n">
        <x:v>108.085938627604</x:v>
      </x:c>
    </x:row>
    <x:row r="444">
      <x:c r="A444" s="112" t="n">
        <x:v>45919</x:v>
      </x:c>
      <x:c r="B444" s="113" t="str">
        <x:v>06:50-07:50</x:v>
      </x:c>
      <x:c r="C444" s="114" t="n">
        <x:v>411.767223395025</x:v>
      </x:c>
    </x:row>
    <x:row r="445">
      <x:c r="A445" s="112"/>
      <x:c r="B445" s="113" t="str">
        <x:v>20:30-20:40</x:v>
      </x:c>
      <x:c r="C445" s="114" t="n">
        <x:v>126.98900396046855</x:v>
      </x:c>
    </x:row>
    <x:row r="446">
      <x:c r="A446" s="112" t="n">
        <x:v>45920</x:v>
      </x:c>
      <x:c r="B446" s="113" t="str">
        <x:v>07:00-07:50</x:v>
      </x:c>
      <x:c r="C446" s="114" t="n">
        <x:v>475.6877547175268</x:v>
      </x:c>
    </x:row>
    <x:row r="447">
      <x:c r="A447" s="112"/>
      <x:c r="B447" s="113" t="str">
        <x:v>20:30-21:00</x:v>
      </x:c>
      <x:c r="C447" s="114" t="n">
        <x:v>588.502365520729</x:v>
      </x:c>
    </x:row>
    <x:row r="448">
      <x:c r="A448" s="112" t="n">
        <x:v>45921</x:v>
      </x:c>
      <x:c r="B448" s="113" t="str">
        <x:v>20:30-20:50</x:v>
      </x:c>
      <x:c r="C448" s="114" t="n">
        <x:v>459.19708418741413</x:v>
      </x:c>
    </x:row>
    <x:row r="449">
      <x:c r="A449" s="112"/>
      <x:c r="B449" s="113" t="str">
        <x:v>21:00-21:20</x:v>
      </x:c>
      <x:c r="C449" s="114" t="n">
        <x:v>39.36561217447902</x:v>
      </x:c>
    </x:row>
    <x:row r="450">
      <x:c r="A450" s="112"/>
      <x:c r="B450" s="113" t="str">
        <x:v>21:40-21:50</x:v>
      </x:c>
      <x:c r="C450" s="114" t="n">
        <x:v>20.07594607942706</x:v>
      </x:c>
    </x:row>
    <x:row r="451">
      <x:c r="A451" s="112" t="n">
        <x:v>45922</x:v>
      </x:c>
      <x:c r="B451" s="113" t="str">
        <x:v>08:40-09:20</x:v>
      </x:c>
      <x:c r="C451" s="114" t="n">
        <x:v>310.75341476749577</x:v>
      </x:c>
    </x:row>
    <x:row r="452">
      <x:c r="A452" s="112"/>
      <x:c r="B452" s="113" t="str">
        <x:v>19:40-20:00</x:v>
      </x:c>
      <x:c r="C452" s="114" t="n">
        <x:v>19.555900000000065</x:v>
      </x:c>
    </x:row>
    <x:row r="453">
      <x:c r="A453" s="112"/>
      <x:c r="B453" s="113" t="str">
        <x:v>20:20-20:40</x:v>
      </x:c>
      <x:c r="C453" s="114" t="n">
        <x:v>1199.3726692646546</x:v>
      </x:c>
    </x:row>
    <x:row r="454">
      <x:c r="A454" s="112"/>
      <x:c r="B454" s="113" t="str">
        <x:v>21:00-22:00</x:v>
      </x:c>
      <x:c r="C454" s="114" t="n">
        <x:v>185.27235946151276</x:v>
      </x:c>
    </x:row>
    <x:row r="455">
      <x:c r="A455" s="112" t="n">
        <x:v>45923</x:v>
      </x:c>
      <x:c r="B455" s="113" t="str">
        <x:v>09:00-09:50</x:v>
      </x:c>
      <x:c r="C455" s="114" t="n">
        <x:v>209.12132041496108</x:v>
      </x:c>
    </x:row>
    <x:row r="456">
      <x:c r="A456" s="112"/>
      <x:c r="B456" s="113" t="str">
        <x:v>18:20-18:30</x:v>
      </x:c>
      <x:c r="C456" s="114" t="n">
        <x:v>1.0833333333333712</x:v>
      </x:c>
    </x:row>
    <x:row r="457">
      <x:c r="A457" s="112"/>
      <x:c r="B457" s="113" t="str">
        <x:v>20:10-21:00</x:v>
      </x:c>
      <x:c r="C457" s="114" t="n">
        <x:v>2282.8301038078516</x:v>
      </x:c>
    </x:row>
    <x:row r="458">
      <x:c r="A458" s="112" t="n">
        <x:v>45924</x:v>
      </x:c>
      <x:c r="B458" s="113" t="str">
        <x:v>08:20-09:40</x:v>
      </x:c>
      <x:c r="C458" s="114" t="n">
        <x:v>1420.2473245957794</x:v>
      </x:c>
    </x:row>
    <x:row r="459">
      <x:c r="A459" s="112" t="n">
        <x:v>45925</x:v>
      </x:c>
      <x:c r="B459" s="113" t="str">
        <x:v>08:50-09:10</x:v>
      </x:c>
      <x:c r="C459" s="114" t="n">
        <x:v>120.1822274767425</x:v>
      </x:c>
    </x:row>
    <x:row r="460">
      <x:c r="A460" s="112"/>
      <x:c r="B460" s="113" t="str">
        <x:v>18:50-19:00</x:v>
      </x:c>
      <x:c r="C460" s="114" t="n">
        <x:v>15.37166666666667</x:v>
      </x:c>
    </x:row>
    <x:row r="461">
      <x:c r="A461" s="112"/>
      <x:c r="B461" s="113" t="str">
        <x:v>20:30-21:30</x:v>
      </x:c>
      <x:c r="C461" s="114" t="n">
        <x:v>533.2140679534034</x:v>
      </x:c>
    </x:row>
    <x:row r="462">
      <x:c r="A462" s="112" t="n">
        <x:v>45926</x:v>
      </x:c>
      <x:c r="B462" s="113" t="str">
        <x:v>无</x:v>
      </x:c>
      <x:c r="C462" s="114" t="n">
        <x:v>0</x:v>
      </x:c>
    </x:row>
    <x:row r="463">
      <x:c r="A463" s="112" t="n">
        <x:v>45927</x:v>
      </x:c>
      <x:c r="B463" s="113" t="str">
        <x:v>07:00-07:40</x:v>
      </x:c>
      <x:c r="C463" s="114" t="n">
        <x:v>436.8491906252507</x:v>
      </x:c>
    </x:row>
    <x:row r="464">
      <x:c r="A464" s="112"/>
      <x:c r="B464" s="113" t="str">
        <x:v>20:20-20:50</x:v>
      </x:c>
      <x:c r="C464" s="114" t="n">
        <x:v>814.3304622697156</x:v>
      </x:c>
    </x:row>
    <x:row r="465">
      <x:c r="A465" s="112"/>
      <x:c r="B465" s="113" t="str">
        <x:v>21:10-21:50</x:v>
      </x:c>
      <x:c r="C465" s="114" t="n">
        <x:v>122.8445371350949</x:v>
      </x:c>
    </x:row>
    <x:row r="466">
      <x:c r="A466" s="112" t="n">
        <x:v>45928</x:v>
      </x:c>
      <x:c r="B466" s="113" t="str">
        <x:v>08:30-09:50</x:v>
      </x:c>
      <x:c r="C466" s="114" t="n">
        <x:v>1144.263338130048</x:v>
      </x:c>
    </x:row>
    <x:row r="467">
      <x:c r="A467" s="112"/>
      <x:c r="B467" s="113" t="str">
        <x:v>20:20-20:40</x:v>
      </x:c>
      <x:c r="C467" s="114" t="n">
        <x:v>943.6924981434425</x:v>
      </x:c>
    </x:row>
    <x:row r="468">
      <x:c r="A468" s="112" t="n">
        <x:v>45929</x:v>
      </x:c>
      <x:c r="B468" s="113" t="str">
        <x:v>06:00-06:10</x:v>
      </x:c>
      <x:c r="C468" s="114" t="n">
        <x:v>20.39463333333333</x:v>
      </x:c>
    </x:row>
    <x:row r="469">
      <x:c r="A469" s="112"/>
      <x:c r="B469" s="113" t="str">
        <x:v>08:40-09:50</x:v>
      </x:c>
      <x:c r="C469" s="114" t="n">
        <x:v>645.4390795562962</x:v>
      </x:c>
    </x:row>
    <x:row r="470">
      <x:c r="A470" s="112"/>
      <x:c r="B470" s="113" t="str">
        <x:v>20:30-20:50</x:v>
      </x:c>
      <x:c r="C470" s="114" t="n">
        <x:v>574.2025480841438</x:v>
      </x:c>
    </x:row>
    <x:row r="471">
      <x:c r="A471" s="112" t="n">
        <x:v>45930</x:v>
      </x:c>
      <x:c r="B471" s="113" t="str">
        <x:v>08:40-09:40</x:v>
      </x:c>
      <x:c r="C471" s="114" t="n">
        <x:v>1156.6910926553298</x:v>
      </x:c>
    </x:row>
    <x:row r="472">
      <x:c r="A472" s="112"/>
      <x:c r="B472" s="113" t="str">
        <x:v>10:00-10:10</x:v>
      </x:c>
      <x:c r="C472" s="114" t="n">
        <x:v>3.8029134999998853</x:v>
      </x:c>
    </x:row>
    <x:row r="473">
      <x:c r="A473" s="112"/>
      <x:c r="B473" s="113" t="str">
        <x:v>20:10-20:50</x:v>
      </x:c>
      <x:c r="C473" s="114" t="n">
        <x:v>2132.65439739081</x:v>
      </x:c>
    </x:row>
    <x:row r="474">
      <x:c r="A474" s="112"/>
      <x:c r="B474" s="113" t="str">
        <x:v>21:00-21:20</x:v>
      </x:c>
      <x:c r="C474" s="114" t="n">
        <x:v>28.946465157776835</x:v>
      </x:c>
    </x:row>
    <x:row r="475">
      <x:c r="A475" s="112" t="n">
        <x:v>45931</x:v>
      </x:c>
      <x:c r="B475" s="113" t="str">
        <x:v>无</x:v>
      </x:c>
      <x:c r="C475" s="114" t="n">
        <x:v>0</x:v>
      </x:c>
    </x:row>
    <x:row r="476">
      <x:c r="A476" s="112" t="n">
        <x:v>45932</x:v>
      </x:c>
      <x:c r="B476" s="113" t="str">
        <x:v>无</x:v>
      </x:c>
      <x:c r="C476" s="114" t="n">
        <x:v>0</x:v>
      </x:c>
    </x:row>
    <x:row r="477">
      <x:c r="A477" s="112" t="n">
        <x:v>45933</x:v>
      </x:c>
      <x:c r="B477" s="113" t="str">
        <x:v>无</x:v>
      </x:c>
      <x:c r="C477" s="114" t="n">
        <x:v>0</x:v>
      </x:c>
    </x:row>
    <x:row r="478">
      <x:c r="A478" s="112" t="n">
        <x:v>45934</x:v>
      </x:c>
      <x:c r="B478" s="113" t="str">
        <x:v>07:00-07:40</x:v>
      </x:c>
      <x:c r="C478" s="114" t="n">
        <x:v>632.296504039015</x:v>
      </x:c>
    </x:row>
    <x:row r="479">
      <x:c r="A479" s="112" t="n">
        <x:v>45935</x:v>
      </x:c>
      <x:c r="B479" s="113" t="str">
        <x:v>08:50-09:20</x:v>
      </x:c>
      <x:c r="C479" s="114" t="n">
        <x:v>179.12589534510758</x:v>
      </x:c>
    </x:row>
    <x:row r="480">
      <x:c r="A480" s="112" t="n">
        <x:v>45936</x:v>
      </x:c>
      <x:c r="B480" s="113" t="str">
        <x:v>08:50-09:30</x:v>
      </x:c>
      <x:c r="C480" s="114" t="n">
        <x:v>225.2987814565883</x:v>
      </x:c>
    </x:row>
    <x:row r="481">
      <x:c r="A481" s="112" t="n">
        <x:v>45937</x:v>
      </x:c>
      <x:c r="B481" s="113" t="str">
        <x:v>08:30-09:40</x:v>
      </x:c>
      <x:c r="C481" s="114" t="n">
        <x:v>1246.3408835826492</x:v>
      </x:c>
    </x:row>
    <x:row r="482">
      <x:c r="A482" s="112" t="n">
        <x:v>45938</x:v>
      </x:c>
      <x:c r="B482" s="113" t="str">
        <x:v>08:20-09:20</x:v>
      </x:c>
      <x:c r="C482" s="114" t="n">
        <x:v>776.6665212084602</x:v>
      </x:c>
    </x:row>
    <x:row r="483">
      <x:c r="A483" s="112" t="n">
        <x:v>45939</x:v>
      </x:c>
      <x:c r="B483" s="113" t="str">
        <x:v>08:30-09:20</x:v>
      </x:c>
      <x:c r="C483" s="114" t="n">
        <x:v>701.3908990329166</x:v>
      </x:c>
    </x:row>
    <x:row r="484">
      <x:c r="A484" s="112"/>
      <x:c r="B484" s="113" t="str">
        <x:v>20:20-21:00</x:v>
      </x:c>
      <x:c r="C484" s="114" t="n">
        <x:v>956.9812970194125</x:v>
      </x:c>
    </x:row>
    <x:row r="485">
      <x:c r="A485" s="112"/>
      <x:c r="B485" s="113" t="str">
        <x:v>21:30-21:50</x:v>
      </x:c>
      <x:c r="C485" s="114" t="n">
        <x:v>74.56932338671854</x:v>
      </x:c>
    </x:row>
    <x:row r="486">
      <x:c r="A486" s="112" t="n">
        <x:v>45940</x:v>
      </x:c>
      <x:c r="B486" s="113" t="str">
        <x:v>07:00-07:40</x:v>
      </x:c>
      <x:c r="C486" s="114" t="n">
        <x:v>611.2900239989094</x:v>
      </x:c>
    </x:row>
    <x:row r="487">
      <x:c r="A487" s="112"/>
      <x:c r="B487" s="113" t="str">
        <x:v>20:40-21:00</x:v>
      </x:c>
      <x:c r="C487" s="114" t="n">
        <x:v>200.26141123577662</x:v>
      </x:c>
    </x:row>
    <x:row r="488">
      <x:c r="A488" s="112"/>
      <x:c r="B488" s="113" t="str">
        <x:v>21:20-21:40</x:v>
      </x:c>
      <x:c r="C488" s="114" t="n">
        <x:v>12.221191506510376</x:v>
      </x:c>
    </x:row>
    <x:row r="489">
      <x:c r="A489" s="112" t="n">
        <x:v>45941</x:v>
      </x:c>
      <x:c r="B489" s="113" t="str">
        <x:v>07:10-07:50</x:v>
      </x:c>
      <x:c r="C489" s="114" t="n">
        <x:v>339.67556878486107</x:v>
      </x:c>
    </x:row>
    <x:row r="490">
      <x:c r="A490" s="112"/>
      <x:c r="B490" s="113" t="str">
        <x:v>20:40-20:50</x:v>
      </x:c>
      <x:c r="C490" s="114" t="n">
        <x:v>263.118571515045</x:v>
      </x:c>
    </x:row>
    <x:row r="491">
      <x:c r="A491" s="112" t="n">
        <x:v>45942</x:v>
      </x:c>
      <x:c r="B491" s="113" t="str">
        <x:v>06:00-06:10</x:v>
      </x:c>
      <x:c r="C491" s="114" t="n">
        <x:v>18.55858280001121</x:v>
      </x:c>
    </x:row>
    <x:row r="492">
      <x:c r="A492" s="112"/>
      <x:c r="B492" s="113" t="str">
        <x:v>08:50-09:20</x:v>
      </x:c>
      <x:c r="C492" s="114" t="n">
        <x:v>214.5915254191111</x:v>
      </x:c>
    </x:row>
    <x:row r="493">
      <x:c r="A493" s="112"/>
      <x:c r="B493" s="113" t="str">
        <x:v>19:50-20:40</x:v>
      </x:c>
      <x:c r="C493" s="114" t="n">
        <x:v>2574.1827647095156</x:v>
      </x:c>
    </x:row>
    <x:row r="494">
      <x:c r="A494" s="112"/>
      <x:c r="B494" s="113" t="str">
        <x:v>20:50-21:00</x:v>
      </x:c>
      <x:c r="C494" s="114" t="n">
        <x:v>24.6672543658854</x:v>
      </x:c>
    </x:row>
    <x:row r="495">
      <x:c r="A495" s="112"/>
      <x:c r="B495" s="113" t="str">
        <x:v>21:20-21:50</x:v>
      </x:c>
      <x:c r="C495" s="114" t="n">
        <x:v>101.05426478776039</x:v>
      </x:c>
    </x:row>
    <x:row r="496">
      <x:c r="A496" s="112" t="n">
        <x:v>45943</x:v>
      </x:c>
      <x:c r="B496" s="113" t="str">
        <x:v>09:00-09:30</x:v>
      </x:c>
      <x:c r="C496" s="114" t="n">
        <x:v>193.14784425222385</x:v>
      </x:c>
    </x:row>
    <x:row r="497">
      <x:c r="A497" s="112"/>
      <x:c r="B497" s="113" t="str">
        <x:v>20:20-21:50</x:v>
      </x:c>
      <x:c r="C497" s="114" t="n">
        <x:v>958.480014959903</x:v>
      </x:c>
    </x:row>
    <x:row r="498">
      <x:c r="A498" s="112" t="n">
        <x:v>45944</x:v>
      </x:c>
      <x:c r="B498" s="113" t="str">
        <x:v>08:20-09:40</x:v>
      </x:c>
      <x:c r="C498" s="114" t="n">
        <x:v>1517.5041303038233</x:v>
      </x:c>
    </x:row>
    <x:row r="499">
      <x:c r="A499" s="112"/>
      <x:c r="B499" s="113" t="str">
        <x:v>20:00-20:40</x:v>
      </x:c>
      <x:c r="C499" s="114" t="n">
        <x:v>2739.3993535897052</x:v>
      </x:c>
    </x:row>
    <x:row r="500">
      <x:c r="A500" s="112"/>
      <x:c r="B500" s="113" t="str">
        <x:v>21:20-21:50</x:v>
      </x:c>
      <x:c r="C500" s="114" t="n">
        <x:v>108.20738321614606</x:v>
      </x:c>
    </x:row>
    <x:row r="501">
      <x:c r="A501" s="112"/>
      <x:c r="B501" s="113" t="str">
        <x:v>22:10-22:20</x:v>
      </x:c>
      <x:c r="C501" s="114" t="n">
        <x:v>0.9597877037759623</x:v>
      </x:c>
    </x:row>
    <x:row r="502">
      <x:c r="A502" s="112" t="n">
        <x:v>45945</x:v>
      </x:c>
      <x:c r="B502" s="113" t="str">
        <x:v>08:40-09:30</x:v>
      </x:c>
      <x:c r="C502" s="114" t="n">
        <x:v>665.3455178435513</x:v>
      </x:c>
    </x:row>
    <x:row r="503">
      <x:c r="A503" s="112"/>
      <x:c r="B503" s="113" t="str">
        <x:v>19:30-21:50</x:v>
      </x:c>
      <x:c r="C503" s="114" t="n">
        <x:v>4435.969190236446</x:v>
      </x:c>
    </x:row>
    <x:row r="504">
      <x:c r="A504" s="112" t="n">
        <x:v>45946</x:v>
      </x:c>
      <x:c r="B504" s="113" t="str">
        <x:v>08:30-09:40</x:v>
      </x:c>
      <x:c r="C504" s="114" t="n">
        <x:v>1204.5522706962704</x:v>
      </x:c>
    </x:row>
    <x:row r="505">
      <x:c r="A505" s="112"/>
      <x:c r="B505" s="113" t="str">
        <x:v>19:20-21:50</x:v>
      </x:c>
      <x:c r="C505" s="114" t="n">
        <x:v>4441.422013712017</x:v>
      </x:c>
    </x:row>
    <x:row r="506">
      <x:c r="A506" s="112" t="n">
        <x:v>45947</x:v>
      </x:c>
      <x:c r="B506" s="113" t="str">
        <x:v>07:20-07:50</x:v>
      </x:c>
      <x:c r="C506" s="114" t="n">
        <x:v>261.8749556853697</x:v>
      </x:c>
    </x:row>
    <x:row r="507">
      <x:c r="A507" s="112"/>
      <x:c r="B507" s="113" t="str">
        <x:v>20:40-21:00</x:v>
      </x:c>
      <x:c r="C507" s="114" t="n">
        <x:v>66.42556574594954</x:v>
      </x:c>
    </x:row>
    <x:row r="508">
      <x:c r="A508" s="112"/>
      <x:c r="B508" s="113" t="str">
        <x:v>21:10-21:50</x:v>
      </x:c>
      <x:c r="C508" s="114" t="n">
        <x:v>147.21482839551388</x:v>
      </x:c>
    </x:row>
    <x:row r="509">
      <x:c r="A509" s="112" t="n">
        <x:v>45948</x:v>
      </x:c>
      <x:c r="B509" s="113" t="str">
        <x:v>07:40-08:00</x:v>
      </x:c>
      <x:c r="C509" s="114" t="n">
        <x:v>52.74222174523808</x:v>
      </x:c>
    </x:row>
    <x:row r="510">
      <x:c r="A510" s="112"/>
      <x:c r="B510" s="113" t="str">
        <x:v>20:40-21:00</x:v>
      </x:c>
      <x:c r="C510" s="114" t="n">
        <x:v>188.85124588904142</x:v>
      </x:c>
    </x:row>
    <x:row r="511">
      <x:c r="A511" s="112" t="n">
        <x:v>45949</x:v>
      </x:c>
      <x:c r="B511" s="113" t="str">
        <x:v>08:30-09:40</x:v>
      </x:c>
      <x:c r="C511" s="114" t="n">
        <x:v>1021.2747673385467</x:v>
      </x:c>
    </x:row>
    <x:row r="512">
      <x:c r="A512" s="112"/>
      <x:c r="B512" s="113" t="str">
        <x:v>19:30-21:50</x:v>
      </x:c>
      <x:c r="C512" s="114" t="n">
        <x:v>4415.353050727309</x:v>
      </x:c>
    </x:row>
    <x:row r="513">
      <x:c r="A513" s="112" t="n">
        <x:v>45950</x:v>
      </x:c>
      <x:c r="B513" s="113" t="str">
        <x:v>08:40-10:10</x:v>
      </x:c>
      <x:c r="C513" s="114" t="n">
        <x:v>1756.0025840254393</x:v>
      </x:c>
    </x:row>
    <x:row r="514">
      <x:c r="A514" s="112"/>
      <x:c r="B514" s="113" t="str">
        <x:v>20:10-21:30</x:v>
      </x:c>
      <x:c r="C514" s="114" t="n">
        <x:v>2378.5959961243802</x:v>
      </x:c>
    </x:row>
    <x:row r="515">
      <x:c r="A515" s="112"/>
      <x:c r="B515" s="113" t="str">
        <x:v>21:40-22:00</x:v>
      </x:c>
      <x:c r="C515" s="114" t="n">
        <x:v>61.520467014323</x:v>
      </x:c>
    </x:row>
    <x:row r="516">
      <x:c r="A516" s="112" t="n">
        <x:v>45951</x:v>
      </x:c>
      <x:c r="B516" s="113" t="str">
        <x:v>08:40-10:10</x:v>
      </x:c>
      <x:c r="C516" s="114" t="n">
        <x:v>1384.2570411588015</x:v>
      </x:c>
    </x:row>
    <x:row r="517">
      <x:c r="A517" s="112"/>
      <x:c r="B517" s="113" t="str">
        <x:v>19:40-21:50</x:v>
      </x:c>
      <x:c r="C517" s="114" t="n">
        <x:v>3742.1317255634312</x:v>
      </x:c>
    </x:row>
    <x:row r="518">
      <x:c r="A518" s="112" t="n">
        <x:v>45952</x:v>
      </x:c>
      <x:c r="B518" s="113" t="str">
        <x:v>08:50-10:20</x:v>
      </x:c>
      <x:c r="C518" s="114" t="n">
        <x:v>1897.8718523166056</x:v>
      </x:c>
    </x:row>
    <x:row r="519">
      <x:c r="A519" s="112"/>
      <x:c r="B519" s="113" t="str">
        <x:v>20:10-21:00</x:v>
      </x:c>
      <x:c r="C519" s="114" t="n">
        <x:v>1708.8418785894607</x:v>
      </x:c>
    </x:row>
    <x:row r="520">
      <x:c r="A520" s="112"/>
      <x:c r="B520" s="113" t="str">
        <x:v>21:10-22:00</x:v>
      </x:c>
      <x:c r="C520" s="114" t="n">
        <x:v>197.3064860963542</x:v>
      </x:c>
    </x:row>
    <x:row r="521">
      <x:c r="A521" s="112" t="n">
        <x:v>45953</x:v>
      </x:c>
      <x:c r="B521" s="113" t="str">
        <x:v>09:10-09:40</x:v>
      </x:c>
      <x:c r="C521" s="114" t="n">
        <x:v>468.66241747025686</x:v>
      </x:c>
    </x:row>
    <x:row r="522">
      <x:c r="A522" s="112"/>
      <x:c r="B522" s="113" t="str">
        <x:v>20:20-21:50</x:v>
      </x:c>
      <x:c r="C522" s="114" t="n">
        <x:v>1365.1054017504453</x:v>
      </x:c>
    </x:row>
    <x:row r="523">
      <x:c r="A523" s="112" t="n">
        <x:v>45954</x:v>
      </x:c>
      <x:c r="B523" s="113" t="str">
        <x:v>07:20-08:10</x:v>
      </x:c>
      <x:c r="C523" s="114" t="n">
        <x:v>719.9589734878844</x:v>
      </x:c>
    </x:row>
    <x:row r="524">
      <x:c r="A524" s="112"/>
      <x:c r="B524" s="113" t="str">
        <x:v>20:30-21:40</x:v>
      </x:c>
      <x:c r="C524" s="114" t="n">
        <x:v>645.1421527006423</x:v>
      </x:c>
    </x:row>
    <x:row r="525">
      <x:c r="A525" s="112" t="n">
        <x:v>45955</x:v>
      </x:c>
      <x:c r="B525" s="113" t="str">
        <x:v>20:40-20:50</x:v>
      </x:c>
      <x:c r="C525" s="114" t="n">
        <x:v>236.44663349269254</x:v>
      </x:c>
    </x:row>
    <x:row r="526">
      <x:c r="A526" s="112"/>
      <x:c r="B526" s="113" t="str">
        <x:v>21:00-21:20</x:v>
      </x:c>
      <x:c r="C526" s="114" t="n">
        <x:v>79.39882068684902</x:v>
      </x:c>
    </x:row>
    <x:row r="527">
      <x:c r="A527" s="112"/>
      <x:c r="B527" s="113" t="str">
        <x:v>21:30-21:50</x:v>
      </x:c>
      <x:c r="C527" s="114" t="n">
        <x:v>44.92275111328094</x:v>
      </x:c>
    </x:row>
    <x:row r="528">
      <x:c r="A528" s="112" t="n">
        <x:v>45956</x:v>
      </x:c>
      <x:c r="B528" s="113" t="str">
        <x:v>09:10-09:50</x:v>
      </x:c>
      <x:c r="C528" s="114" t="n">
        <x:v>250.20221135098083</x:v>
      </x:c>
    </x:row>
    <x:row r="529">
      <x:c r="A529" s="112"/>
      <x:c r="B529" s="113" t="str">
        <x:v>20:00-21:50</x:v>
      </x:c>
      <x:c r="C529" s="114" t="n">
        <x:v>2251.3802127864246</x:v>
      </x:c>
    </x:row>
    <x:row r="530">
      <x:c r="A530" s="112" t="n">
        <x:v>45957</x:v>
      </x:c>
      <x:c r="B530" s="113" t="str">
        <x:v>06:00-06:10</x:v>
      </x:c>
      <x:c r="C530" s="114" t="n">
        <x:v>19.744933333333393</x:v>
      </x:c>
    </x:row>
    <x:row r="531">
      <x:c r="A531" s="112"/>
      <x:c r="B531" s="113" t="str">
        <x:v>09:10-09:40</x:v>
      </x:c>
      <x:c r="C531" s="114" t="n">
        <x:v>105.50202390393297</x:v>
      </x:c>
    </x:row>
    <x:row r="532">
      <x:c r="A532" s="112"/>
      <x:c r="B532" s="113" t="str">
        <x:v>20:00-21:50</x:v>
      </x:c>
      <x:c r="C532" s="114" t="n">
        <x:v>2545.5649004710986</x:v>
      </x:c>
    </x:row>
    <x:row r="533">
      <x:c r="A533" s="112" t="n">
        <x:v>45958</x:v>
      </x:c>
      <x:c r="B533" s="113" t="str">
        <x:v>08:50-09:40</x:v>
      </x:c>
      <x:c r="C533" s="114" t="n">
        <x:v>953.6002325673666</x:v>
      </x:c>
    </x:row>
    <x:row r="534">
      <x:c r="A534" s="112"/>
      <x:c r="B534" s="113" t="str">
        <x:v>20:10-21:50</x:v>
      </x:c>
      <x:c r="C534" s="114" t="n">
        <x:v>2426.836750184085</x:v>
      </x:c>
    </x:row>
    <x:row r="535">
      <x:c r="A535" s="112" t="n">
        <x:v>45959</x:v>
      </x:c>
      <x:c r="B535" s="113" t="str">
        <x:v>09:00-10:30</x:v>
      </x:c>
      <x:c r="C535" s="114" t="n">
        <x:v>1560.2423040540443</x:v>
      </x:c>
    </x:row>
    <x:row r="536">
      <x:c r="A536" s="112"/>
      <x:c r="B536" s="113" t="str">
        <x:v>19:30-21:50</x:v>
      </x:c>
      <x:c r="C536" s="114" t="n">
        <x:v>4443.192759765605</x:v>
      </x:c>
    </x:row>
    <x:row r="537">
      <x:c r="A537" s="112" t="n">
        <x:v>45960</x:v>
      </x:c>
      <x:c r="B537" s="113" t="str">
        <x:v>09:20-09:40</x:v>
      </x:c>
      <x:c r="C537" s="114" t="n">
        <x:v>78.99877632338288</x:v>
      </x:c>
    </x:row>
    <x:row r="538">
      <x:c r="A538" s="112"/>
      <x:c r="B538" s="113" t="str">
        <x:v>20:20-21:50</x:v>
      </x:c>
      <x:c r="C538" s="114" t="n">
        <x:v>1647.1142409117567</x:v>
      </x:c>
    </x:row>
    <x:row r="539">
      <x:c r="A539" s="112" t="n">
        <x:v>45961</x:v>
      </x:c>
      <x:c r="B539" s="113" t="str">
        <x:v>07:20-08:20</x:v>
      </x:c>
      <x:c r="C539" s="114" t="n">
        <x:v>479.0003358505925</x:v>
      </x:c>
    </x:row>
    <x:row r="540">
      <x:c r="A540" s="112"/>
      <x:c r="B540" s="113" t="str">
        <x:v>20:40-21:00</x:v>
      </x:c>
      <x:c r="C540" s="114" t="n">
        <x:v>470.1508423590695</x:v>
      </x:c>
    </x:row>
    <x:row r="541">
      <x:c r="A541" s="112"/>
      <x:c r="B541" s="113" t="str">
        <x:v>21:10-21:40</x:v>
      </x:c>
      <x:c r="C541" s="114" t="n">
        <x:v>83.0557112198323</x:v>
      </x:c>
    </x:row>
    <x:row r="542">
      <x:c r="A542" s="112" t="n">
        <x:v>45962</x:v>
      </x:c>
      <x:c r="B542" s="113" t="str">
        <x:v>07:40-08:10</x:v>
      </x:c>
      <x:c r="C542" s="114" t="n">
        <x:v>178.14407917552936</x:v>
      </x:c>
    </x:row>
    <x:row r="543">
      <x:c r="A543" s="112"/>
      <x:c r="B543" s="113" t="str">
        <x:v>20:40-21:00</x:v>
      </x:c>
      <x:c r="C543" s="114" t="n">
        <x:v>67.34770917807009</x:v>
      </x:c>
    </x:row>
    <x:row r="544">
      <x:c r="A544" s="112"/>
      <x:c r="B544" s="113" t="str">
        <x:v>21:30-21:50</x:v>
      </x:c>
      <x:c r="C544" s="114" t="n">
        <x:v>2.8116686597866973</x:v>
      </x:c>
    </x:row>
    <x:row r="545">
      <x:c r="A545" s="112" t="n">
        <x:v>45963</x:v>
      </x:c>
      <x:c r="B545" s="113" t="str">
        <x:v>09:00-10:10</x:v>
      </x:c>
      <x:c r="C545" s="114" t="n">
        <x:v>1240.2405985332693</x:v>
      </x:c>
    </x:row>
    <x:row r="546">
      <x:c r="A546" s="112"/>
      <x:c r="B546" s="113" t="str">
        <x:v>20:00-21:10</x:v>
      </x:c>
      <x:c r="C546" s="114" t="n">
        <x:v>1663.4022232424222</x:v>
      </x:c>
    </x:row>
    <x:row r="547">
      <x:c r="A547" s="112"/>
      <x:c r="B547" s="113" t="str">
        <x:v>21:30-21:50</x:v>
      </x:c>
      <x:c r="C547" s="114" t="n">
        <x:v>73.07175779166694</x:v>
      </x:c>
    </x:row>
    <x:row r="548">
      <x:c r="A548" s="112" t="n">
        <x:v>45964</x:v>
      </x:c>
      <x:c r="B548" s="113" t="str">
        <x:v>09:30-10:20</x:v>
      </x:c>
      <x:c r="C548" s="114" t="n">
        <x:v>365.24792286905983</x:v>
      </x:c>
    </x:row>
    <x:row r="549">
      <x:c r="A549" s="112"/>
      <x:c r="B549" s="113" t="str">
        <x:v>20:10-21:20</x:v>
      </x:c>
      <x:c r="C549" s="114" t="n">
        <x:v>1666.5651981547103</x:v>
      </x:c>
    </x:row>
    <x:row r="550">
      <x:c r="A550" s="112"/>
      <x:c r="B550" s="113" t="str">
        <x:v>21:30-21:40</x:v>
      </x:c>
      <x:c r="C550" s="114" t="n">
        <x:v>8.459677721354092</x:v>
      </x:c>
    </x:row>
    <x:row r="551">
      <x:c r="A551" s="112" t="n">
        <x:v>45965</x:v>
      </x:c>
      <x:c r="B551" s="113" t="str">
        <x:v>05:50-06:10</x:v>
      </x:c>
      <x:c r="C551" s="114" t="n">
        <x:v>30.689868708227777</x:v>
      </x:c>
    </x:row>
    <x:row r="552">
      <x:c r="A552" s="112"/>
      <x:c r="B552" s="113" t="str">
        <x:v>09:30-10:20</x:v>
      </x:c>
      <x:c r="C552" s="114" t="n">
        <x:v>311.0455570071498</x:v>
      </x:c>
    </x:row>
    <x:row r="553">
      <x:c r="A553" s="112"/>
      <x:c r="B553" s="113" t="str">
        <x:v>20:30-20:40</x:v>
      </x:c>
      <x:c r="C553" s="114" t="n">
        <x:v>524.7576944037473</x:v>
      </x:c>
    </x:row>
    <x:row r="554">
      <x:c r="A554" s="112"/>
      <x:c r="B554" s="113" t="str">
        <x:v>21:00-21:20</x:v>
      </x:c>
      <x:c r="C554" s="114" t="n">
        <x:v>79.73704471484355</x:v>
      </x:c>
    </x:row>
    <x:row r="555">
      <x:c r="A555" s="112" t="n">
        <x:v>45966</x:v>
      </x:c>
      <x:c r="B555" s="113" t="str">
        <x:v>09:00-10:10</x:v>
      </x:c>
      <x:c r="C555" s="114" t="n">
        <x:v>1035.036208102035</x:v>
      </x:c>
    </x:row>
    <x:row r="556">
      <x:c r="A556" s="112"/>
      <x:c r="B556" s="113" t="str">
        <x:v>20:20-20:40</x:v>
      </x:c>
      <x:c r="C556" s="114" t="n">
        <x:v>1009.1889245518869</x:v>
      </x:c>
    </x:row>
    <x:row r="557">
      <x:c r="A557" s="112"/>
      <x:c r="B557" s="113" t="str">
        <x:v>20:50-21:00</x:v>
      </x:c>
      <x:c r="C557" s="114" t="n">
        <x:v>17.48843512109379</x:v>
      </x:c>
    </x:row>
    <x:row r="558">
      <x:c r="A558" s="112"/>
      <x:c r="B558" s="113" t="str">
        <x:v>21:40-22:00</x:v>
      </x:c>
      <x:c r="C558" s="114" t="n">
        <x:v>32.10230663411473</x:v>
      </x:c>
    </x:row>
    <x:row r="559">
      <x:c r="A559" s="112" t="n">
        <x:v>45967</x:v>
      </x:c>
      <x:c r="B559" s="113" t="str">
        <x:v>08:50-10:40</x:v>
      </x:c>
      <x:c r="C559" s="114" t="n">
        <x:v>2227.268811425979</x:v>
      </x:c>
    </x:row>
    <x:row r="560">
      <x:c r="A560" s="112"/>
      <x:c r="B560" s="113" t="str">
        <x:v>20:20-21:50</x:v>
      </x:c>
      <x:c r="C560" s="114" t="n">
        <x:v>1222.5277271989426</x:v>
      </x:c>
    </x:row>
    <x:row r="561">
      <x:c r="A561" s="112" t="n">
        <x:v>45968</x:v>
      </x:c>
      <x:c r="B561" s="113" t="str">
        <x:v>07:30-08:30</x:v>
      </x:c>
      <x:c r="C561" s="114" t="n">
        <x:v>849.8223465152379</x:v>
      </x:c>
    </x:row>
    <x:row r="562">
      <x:c r="A562" s="112"/>
      <x:c r="B562" s="113" t="str">
        <x:v>20:40-21:00</x:v>
      </x:c>
      <x:c r="C562" s="114" t="n">
        <x:v>110.10409947640022</x:v>
      </x:c>
    </x:row>
    <x:row r="563">
      <x:c r="A563" s="112" t="n">
        <x:v>45969</x:v>
      </x:c>
      <x:c r="B563" s="113" t="str">
        <x:v>20:40-20:50</x:v>
      </x:c>
      <x:c r="C563" s="114" t="n">
        <x:v>46.03904594070457</x:v>
      </x:c>
    </x:row>
    <x:row r="564">
      <x:c r="A564" s="112"/>
      <x:c r="B564" s="113" t="str">
        <x:v>21:20-21:40</x:v>
      </x:c>
      <x:c r="C564" s="114" t="n">
        <x:v>45.927668550781235</x:v>
      </x:c>
    </x:row>
    <x:row r="565">
      <x:c r="A565" s="112" t="n">
        <x:v>45970</x:v>
      </x:c>
      <x:c r="B565" s="113" t="str">
        <x:v>09:30-10:20</x:v>
      </x:c>
      <x:c r="C565" s="114" t="n">
        <x:v>462.46448879040673</x:v>
      </x:c>
    </x:row>
    <x:row r="566">
      <x:c r="A566" s="112"/>
      <x:c r="B566" s="113" t="str">
        <x:v>20:00-21:50</x:v>
      </x:c>
      <x:c r="C566" s="114" t="n">
        <x:v>2738.992054808062</x:v>
      </x:c>
    </x:row>
    <x:row r="567">
      <x:c r="A567" s="112" t="n">
        <x:v>45971</x:v>
      </x:c>
      <x:c r="B567" s="113" t="str">
        <x:v>09:10-10:50</x:v>
      </x:c>
      <x:c r="C567" s="114" t="n">
        <x:v>1166.4324227802394</x:v>
      </x:c>
    </x:row>
    <x:row r="568">
      <x:c r="A568" s="112"/>
      <x:c r="B568" s="113" t="str">
        <x:v>19:40-20:20</x:v>
      </x:c>
      <x:c r="C568" s="114" t="n">
        <x:v>2276.349167863511</x:v>
      </x:c>
    </x:row>
    <x:row r="569">
      <x:c r="A569" s="112"/>
      <x:c r="B569" s="113" t="str">
        <x:v>20:30-21:00</x:v>
      </x:c>
      <x:c r="C569" s="114" t="n">
        <x:v>730.95847890625</x:v>
      </x:c>
    </x:row>
    <x:row r="570">
      <x:c r="A570" s="112"/>
      <x:c r="B570" s="113" t="str">
        <x:v>21:20-22:00</x:v>
      </x:c>
      <x:c r="C570" s="114" t="n">
        <x:v>154.08228444921866</x:v>
      </x:c>
    </x:row>
    <x:row r="571">
      <x:c r="A571" s="112" t="n">
        <x:v>45972</x:v>
      </x:c>
      <x:c r="B571" s="113" t="str">
        <x:v>09:40-10:20</x:v>
      </x:c>
      <x:c r="C571" s="114" t="n">
        <x:v>478.2018723318999</x:v>
      </x:c>
    </x:row>
    <x:row r="572">
      <x:c r="A572" s="112"/>
      <x:c r="B572" s="113" t="str">
        <x:v>20:20-20:40</x:v>
      </x:c>
      <x:c r="C572" s="114" t="n">
        <x:v>744.5039161456044</x:v>
      </x:c>
    </x:row>
    <x:row r="573">
      <x:c r="A573" s="112"/>
      <x:c r="B573" s="113" t="str">
        <x:v>21:20-21:50</x:v>
      </x:c>
      <x:c r="C573" s="114" t="n">
        <x:v>86.43850787630222</x:v>
      </x:c>
    </x:row>
    <x:row r="574">
      <x:c r="A574" s="112" t="n">
        <x:v>45973</x:v>
      </x:c>
      <x:c r="B574" s="113" t="str">
        <x:v>06:20-06:30</x:v>
      </x:c>
      <x:c r="C574" s="114" t="n">
        <x:v>6.343548079244442</x:v>
      </x:c>
    </x:row>
    <x:row r="575">
      <x:c r="A575" s="112"/>
      <x:c r="B575" s="113" t="str">
        <x:v>09:30-10:40</x:v>
      </x:c>
      <x:c r="C575" s="114" t="n">
        <x:v>579.104164493613</x:v>
      </x:c>
    </x:row>
    <x:row r="576">
      <x:c r="A576" s="112"/>
      <x:c r="B576" s="113" t="str">
        <x:v>20:20-20:40</x:v>
      </x:c>
      <x:c r="C576" s="114" t="n">
        <x:v>849.0955648606283</x:v>
      </x:c>
    </x:row>
    <x:row r="577">
      <x:c r="A577" s="112"/>
      <x:c r="B577" s="113" t="str">
        <x:v>21:40-21:50</x:v>
      </x:c>
      <x:c r="C577" s="114" t="n">
        <x:v>30.02020433984385</x:v>
      </x:c>
    </x:row>
    <x:row r="578">
      <x:c r="A578" s="112" t="n">
        <x:v>45974</x:v>
      </x:c>
      <x:c r="B578" s="113" t="str">
        <x:v>20:10-20:40</x:v>
      </x:c>
      <x:c r="C578" s="114" t="n">
        <x:v>2026.2172624039847</x:v>
      </x:c>
    </x:row>
    <x:row r="579">
      <x:c r="A579" s="112"/>
      <x:c r="B579" s="113" t="str">
        <x:v>21:00-21:20</x:v>
      </x:c>
      <x:c r="C579" s="114" t="n">
        <x:v>13.309367749999955</x:v>
      </x:c>
    </x:row>
    <x:row r="580">
      <x:c r="A580" s="112"/>
      <x:c r="B580" s="113" t="str">
        <x:v>21:30-21:50</x:v>
      </x:c>
      <x:c r="C580" s="114" t="n">
        <x:v>32.08310239583341</x:v>
      </x:c>
    </x:row>
    <x:row r="581">
      <x:c r="A581" s="112" t="n">
        <x:v>45975</x:v>
      </x:c>
      <x:c r="B581" s="113" t="str">
        <x:v>07:50-08:20</x:v>
      </x:c>
      <x:c r="C581" s="114" t="n">
        <x:v>222.77189606544655</x:v>
      </x:c>
    </x:row>
    <x:row r="582">
      <x:c r="A582" s="112"/>
      <x:c r="B582" s="113" t="str">
        <x:v>20:40-20:50</x:v>
      </x:c>
      <x:c r="C582" s="114" t="n">
        <x:v>383.94074923777754</x:v>
      </x:c>
    </x:row>
    <x:row r="583">
      <x:c r="A583" s="112"/>
      <x:c r="B583" s="113" t="str">
        <x:v>21:10-21:40</x:v>
      </x:c>
      <x:c r="C583" s="114" t="n">
        <x:v>45.765702184244844</x:v>
      </x:c>
    </x:row>
    <x:row r="584">
      <x:c r="A584" s="112" t="n">
        <x:v>45976</x:v>
      </x:c>
      <x:c r="B584" s="113" t="str">
        <x:v>07:40-08:30</x:v>
      </x:c>
      <x:c r="C584" s="114" t="n">
        <x:v>694.8384367060302</x:v>
      </x:c>
    </x:row>
    <x:row r="585">
      <x:c r="A585" s="112"/>
      <x:c r="B585" s="113" t="str">
        <x:v>20:40-20:50</x:v>
      </x:c>
      <x:c r="C585" s="114" t="n">
        <x:v>86.86726467591285</x:v>
      </x:c>
    </x:row>
    <x:row r="586">
      <x:c r="A586" s="112"/>
      <x:c r="B586" s="113" t="str">
        <x:v>21:00-21:10</x:v>
      </x:c>
      <x:c r="C586" s="114" t="n">
        <x:v>6.222537141927114</x:v>
      </x:c>
    </x:row>
    <x:row r="587">
      <x:c r="A587" s="112"/>
      <x:c r="B587" s="113" t="str">
        <x:v>21:30-21:50</x:v>
      </x:c>
      <x:c r="C587" s="114" t="n">
        <x:v>24.875266101288332</x:v>
      </x:c>
    </x:row>
    <x:row r="588">
      <x:c r="A588" s="112" t="n">
        <x:v>45977</x:v>
      </x:c>
      <x:c r="B588" s="113" t="str">
        <x:v>09:40-10:50</x:v>
      </x:c>
      <x:c r="C588" s="114" t="n">
        <x:v>1017.8394170908042</x:v>
      </x:c>
    </x:row>
    <x:row r="589">
      <x:c r="A589" s="112"/>
      <x:c r="B589" s="113" t="str">
        <x:v>20:10-20:50</x:v>
      </x:c>
      <x:c r="C589" s="114" t="n">
        <x:v>1959.6793784570764</x:v>
      </x:c>
    </x:row>
    <x:row r="590">
      <x:c r="A590" s="112"/>
      <x:c r="B590" s="113" t="str">
        <x:v>21:20-21:50</x:v>
      </x:c>
      <x:c r="C590" s="114" t="n">
        <x:v>84.84440390518898</x:v>
      </x:c>
    </x:row>
    <x:row r="591">
      <x:c r="A591" s="112" t="n">
        <x:v>45978</x:v>
      </x:c>
      <x:c r="B591" s="113" t="str">
        <x:v>09:50-10:50</x:v>
      </x:c>
      <x:c r="C591" s="114" t="n">
        <x:v>339.30392965172</x:v>
      </x:c>
    </x:row>
    <x:row r="592">
      <x:c r="A592" s="112"/>
      <x:c r="B592" s="113" t="str">
        <x:v>20:30-20:50</x:v>
      </x:c>
      <x:c r="C592" s="114" t="n">
        <x:v>310.68604228457315</x:v>
      </x:c>
    </x:row>
    <x:row r="593">
      <x:c r="A593" s="112"/>
      <x:c r="B593" s="113" t="str">
        <x:v>21:30-22:00</x:v>
      </x:c>
      <x:c r="C593" s="114" t="n">
        <x:v>57.25557914570315</x:v>
      </x:c>
    </x:row>
    <x:row r="594">
      <x:c r="A594" s="112" t="n">
        <x:v>45979</x:v>
      </x:c>
      <x:c r="B594" s="113" t="str">
        <x:v>19:50-21:50</x:v>
      </x:c>
      <x:c r="C594" s="114" t="n">
        <x:v>2368.7015681364414</x:v>
      </x:c>
    </x:row>
    <x:row r="595">
      <x:c r="A595" s="112" t="n">
        <x:v>45980</x:v>
      </x:c>
      <x:c r="B595" s="113" t="str">
        <x:v>05:50-06:00</x:v>
      </x:c>
      <x:c r="C595" s="114" t="n">
        <x:v>1.3850000000001046</x:v>
      </x:c>
    </x:row>
    <x:row r="596">
      <x:c r="A596" s="112"/>
      <x:c r="B596" s="113" t="str">
        <x:v>09:20-10:50</x:v>
      </x:c>
      <x:c r="C596" s="114" t="n">
        <x:v>1463.0178009549975</x:v>
      </x:c>
    </x:row>
    <x:row r="597">
      <x:c r="A597" s="112"/>
      <x:c r="B597" s="113" t="str">
        <x:v>20:20-21:10</x:v>
      </x:c>
      <x:c r="C597" s="114" t="n">
        <x:v>998.1303343698902</x:v>
      </x:c>
    </x:row>
    <x:row r="598">
      <x:c r="A598" s="112"/>
      <x:c r="B598" s="113" t="str">
        <x:v>21:30-21:50</x:v>
      </x:c>
      <x:c r="C598" s="114" t="n">
        <x:v>19.975671574218676</x:v>
      </x:c>
    </x:row>
    <x:row r="599">
      <x:c r="A599" s="112" t="n">
        <x:v>45981</x:v>
      </x:c>
      <x:c r="B599" s="113" t="str">
        <x:v>20:10-21:50</x:v>
      </x:c>
      <x:c r="C599" s="114" t="n">
        <x:v>1680.7426791371458</x:v>
      </x:c>
    </x:row>
    <x:row r="600">
      <x:c r="A600" s="112" t="n">
        <x:v>45982</x:v>
      </x:c>
      <x:c r="B600" s="113" t="str">
        <x:v>07:30-08:20</x:v>
      </x:c>
      <x:c r="C600" s="114" t="n">
        <x:v>730.3049498585526</x:v>
      </x:c>
    </x:row>
    <x:row r="601">
      <x:c r="A601" s="112"/>
      <x:c r="B601" s="113" t="str">
        <x:v>21:40-21:50</x:v>
      </x:c>
      <x:c r="C601" s="114" t="n">
        <x:v>8.25721048841118</x:v>
      </x:c>
    </x:row>
    <x:row r="602">
      <x:c r="A602" s="112" t="n">
        <x:v>45983</x:v>
      </x:c>
      <x:c r="B602" s="113" t="str">
        <x:v>07:40-08:30</x:v>
      </x:c>
      <x:c r="C602" s="114" t="n">
        <x:v>641.9451353056718</x:v>
      </x:c>
    </x:row>
    <x:row r="603">
      <x:c r="A603" s="112"/>
      <x:c r="B603" s="113" t="str">
        <x:v>08:40-09:10</x:v>
      </x:c>
      <x:c r="C603" s="114" t="n">
        <x:v>67.99899650000008</x:v>
      </x:c>
    </x:row>
    <x:row r="604">
      <x:c r="A604" s="112"/>
      <x:c r="B604" s="113" t="str">
        <x:v>20:40-21:00</x:v>
      </x:c>
      <x:c r="C604" s="114" t="n">
        <x:v>248.83976452264994</x:v>
      </x:c>
    </x:row>
    <x:row r="605">
      <x:c r="A605" s="112"/>
      <x:c r="B605" s="113" t="str">
        <x:v>21:30-21:50</x:v>
      </x:c>
      <x:c r="C605" s="114" t="n">
        <x:v>29.454711076173304</x:v>
      </x:c>
    </x:row>
    <x:row r="606">
      <x:c r="A606" s="112" t="n">
        <x:v>45984</x:v>
      </x:c>
      <x:c r="B606" s="113" t="str">
        <x:v>09:40-10:50</x:v>
      </x:c>
      <x:c r="C606" s="114" t="n">
        <x:v>1446.2324075590705</x:v>
      </x:c>
    </x:row>
    <x:row r="607">
      <x:c r="A607" s="112"/>
      <x:c r="B607" s="113" t="str">
        <x:v>20:30-21:20</x:v>
      </x:c>
      <x:c r="C607" s="114" t="n">
        <x:v>721.0697180158714</x:v>
      </x:c>
    </x:row>
    <x:row r="608">
      <x:c r="A608" s="112"/>
      <x:c r="B608" s="113" t="str">
        <x:v>21:40-21:50</x:v>
      </x:c>
      <x:c r="C608" s="114" t="n">
        <x:v>24.94921506510418</x:v>
      </x:c>
    </x:row>
    <x:row r="609">
      <x:c r="A609" s="112" t="n">
        <x:v>45985</x:v>
      </x:c>
      <x:c r="B609" s="113" t="str">
        <x:v>20:20-21:10</x:v>
      </x:c>
      <x:c r="C609" s="114" t="n">
        <x:v>937.7973066228093</x:v>
      </x:c>
    </x:row>
    <x:row r="610">
      <x:c r="A610" s="112"/>
      <x:c r="B610" s="113" t="str">
        <x:v>21:20-22:00</x:v>
      </x:c>
      <x:c r="C610" s="114" t="n">
        <x:v>51.76453339453146</x:v>
      </x:c>
    </x:row>
    <x:row r="611">
      <x:c r="A611" s="112" t="n">
        <x:v>45986</x:v>
      </x:c>
      <x:c r="B611" s="113" t="str">
        <x:v>09:50-10:50</x:v>
      </x:c>
      <x:c r="C611" s="114" t="n">
        <x:v>567.6923880205499</x:v>
      </x:c>
    </x:row>
    <x:row r="612">
      <x:c r="A612" s="112"/>
      <x:c r="B612" s="113" t="str">
        <x:v>20:10-20:50</x:v>
      </x:c>
      <x:c r="C612" s="114" t="n">
        <x:v>1305.5789257983715</x:v>
      </x:c>
    </x:row>
    <x:row r="613">
      <x:c r="A613" s="112"/>
      <x:c r="B613" s="113" t="str">
        <x:v>21:20-21:50</x:v>
      </x:c>
      <x:c r="C613" s="114" t="n">
        <x:v>100.55736852213573</x:v>
      </x:c>
    </x:row>
    <x:row r="614">
      <x:c r="A614" s="112" t="n">
        <x:v>45987</x:v>
      </x:c>
      <x:c r="B614" s="113" t="str">
        <x:v>10:10-10:50</x:v>
      </x:c>
      <x:c r="C614" s="114" t="n">
        <x:v>440.3167787880919</x:v>
      </x:c>
    </x:row>
    <x:row r="615">
      <x:c r="A615" s="112"/>
      <x:c r="B615" s="113" t="str">
        <x:v>20:00-20:40</x:v>
      </x:c>
      <x:c r="C615" s="114" t="n">
        <x:v>1886.7112420563394</x:v>
      </x:c>
    </x:row>
    <x:row r="616">
      <x:c r="A616" s="112" t="n">
        <x:v>45988</x:v>
      </x:c>
      <x:c r="B616" s="113" t="str">
        <x:v>20:10-20:40</x:v>
      </x:c>
      <x:c r="C616" s="114" t="n">
        <x:v>1199.9961724552759</x:v>
      </x:c>
    </x:row>
    <x:row r="617">
      <x:c r="A617" s="112"/>
      <x:c r="B617" s="113" t="str">
        <x:v>21:30-21:50</x:v>
      </x:c>
      <x:c r="C617" s="114" t="n">
        <x:v>66.05565707161449</x:v>
      </x:c>
    </x:row>
    <x:row r="618">
      <x:c r="A618" s="112" t="n">
        <x:v>45989</x:v>
      </x:c>
      <x:c r="B618" s="113" t="str">
        <x:v>07:50-09:00</x:v>
      </x:c>
      <x:c r="C618" s="114" t="n">
        <x:v>738.8938471036756</x:v>
      </x:c>
    </x:row>
    <x:row r="619">
      <x:c r="A619" s="112"/>
      <x:c r="B619" s="113" t="str">
        <x:v>21:10-21:20</x:v>
      </x:c>
      <x:c r="C619" s="114" t="n">
        <x:v>199.38358158368163</x:v>
      </x:c>
    </x:row>
    <x:row r="620">
      <x:c r="A620" s="112" t="n">
        <x:v>45990</x:v>
      </x:c>
      <x:c r="B620" s="113" t="str">
        <x:v>07:50-09:00</x:v>
      </x:c>
      <x:c r="C620" s="114" t="n">
        <x:v>494.67494601422845</x:v>
      </x:c>
    </x:row>
    <x:row r="621">
      <x:c r="A621" s="112"/>
      <x:c r="B621" s="113" t="str">
        <x:v>20:00-21:00</x:v>
      </x:c>
      <x:c r="C621" s="114" t="n">
        <x:v>2100.778756720758</x:v>
      </x:c>
    </x:row>
    <x:row r="622">
      <x:c r="A622" s="112"/>
      <x:c r="B622" s="113" t="str">
        <x:v>21:20-21:40</x:v>
      </x:c>
      <x:c r="C622" s="114" t="n">
        <x:v>16.898864617187847</x:v>
      </x:c>
    </x:row>
    <x:row r="623">
      <x:c r="A623" s="112" t="n">
        <x:v>45991</x:v>
      </x:c>
      <x:c r="B623" s="113" t="str">
        <x:v>10:00-10:50</x:v>
      </x:c>
      <x:c r="C623" s="114" t="n">
        <x:v>731.0723912005163</x:v>
      </x:c>
    </x:row>
    <x:row r="624">
      <x:c r="A624" s="112"/>
      <x:c r="B624" s="113" t="str">
        <x:v>19:20-20:40</x:v>
      </x:c>
      <x:c r="C624" s="114" t="n">
        <x:v>3079.7162592891336</x:v>
      </x:c>
    </x:row>
    <x:row r="625">
      <x:c r="A625" s="112"/>
      <x:c r="B625" s="113" t="str">
        <x:v>21:20-21:50</x:v>
      </x:c>
      <x:c r="C625" s="114" t="n">
        <x:v>128.9572778304077</x:v>
      </x:c>
    </x:row>
    <x:row r="626">
      <x:c r="A626" s="112" t="n">
        <x:v>45992</x:v>
      </x:c>
      <x:c r="B626" s="113" t="str">
        <x:v>06:00-06:10</x:v>
      </x:c>
      <x:c r="C626" s="114" t="n">
        <x:v>77.4940666504757</x:v>
      </x:c>
    </x:row>
    <x:row r="627">
      <x:c r="A627" s="112"/>
      <x:c r="B627" s="113" t="str">
        <x:v>07:50-08:10</x:v>
      </x:c>
      <x:c r="C627" s="114" t="n">
        <x:v>92.03820244437702</x:v>
      </x:c>
    </x:row>
    <x:row r="628">
      <x:c r="A628" s="112"/>
      <x:c r="B628" s="113" t="str">
        <x:v>08:40-10:50</x:v>
      </x:c>
      <x:c r="C628" s="114" t="n">
        <x:v>5101.663279455509</x:v>
      </x:c>
    </x:row>
    <x:row r="629">
      <x:c r="A629" s="112"/>
      <x:c r="B629" s="113" t="str">
        <x:v>19:40-20:40</x:v>
      </x:c>
      <x:c r="C629" s="114" t="n">
        <x:v>2688.0902437007885</x:v>
      </x:c>
    </x:row>
    <x:row r="630">
      <x:c r="A630" s="112"/>
      <x:c r="B630" s="113" t="str">
        <x:v>21:30-21:50</x:v>
      </x:c>
      <x:c r="C630" s="114" t="n">
        <x:v>42.93545680954173</x:v>
      </x:c>
    </x:row>
    <x:row r="631">
      <x:c r="A631" s="112" t="n">
        <x:v>45993</x:v>
      </x:c>
      <x:c r="B631" s="113" t="str">
        <x:v>07:50-08:20</x:v>
      </x:c>
      <x:c r="C631" s="114" t="n">
        <x:v>93.69886765743615</x:v>
      </x:c>
    </x:row>
    <x:row r="632">
      <x:c r="A632" s="112"/>
      <x:c r="B632" s="113" t="str">
        <x:v>09:10-10:50</x:v>
      </x:c>
      <x:c r="C632" s="114" t="n">
        <x:v>3823.642432750724</x:v>
      </x:c>
    </x:row>
    <x:row r="633">
      <x:c r="A633" s="112"/>
      <x:c r="B633" s="113" t="str">
        <x:v>19:30-20:10</x:v>
      </x:c>
      <x:c r="C633" s="114" t="n">
        <x:v>2175.9130256694198</x:v>
      </x:c>
    </x:row>
    <x:row r="634">
      <x:c r="A634" s="112"/>
      <x:c r="B634" s="113" t="str">
        <x:v>20:30-21:40</x:v>
      </x:c>
      <x:c r="C634" s="114" t="n">
        <x:v>838.7572181684667</x:v>
      </x:c>
    </x:row>
    <x:row r="635">
      <x:c r="A635" s="112" t="n">
        <x:v>45994</x:v>
      </x:c>
      <x:c r="B635" s="113" t="str">
        <x:v>09:20-10:40</x:v>
      </x:c>
      <x:c r="C635" s="114" t="n">
        <x:v>2105.29760564975</x:v>
      </x:c>
    </x:row>
    <x:row r="636">
      <x:c r="A636" s="112"/>
      <x:c r="B636" s="113" t="str">
        <x:v>20:00-21:10</x:v>
      </x:c>
      <x:c r="C636" s="114" t="n">
        <x:v>2009.3342101660892</x:v>
      </x:c>
    </x:row>
    <x:row r="637">
      <x:c r="A637" s="112"/>
      <x:c r="B637" s="113" t="str">
        <x:v>21:30-21:50</x:v>
      </x:c>
      <x:c r="C637" s="114" t="n">
        <x:v>58.66955642838509</x:v>
      </x:c>
    </x:row>
    <x:row r="638">
      <x:c r="A638" s="112" t="n">
        <x:v>45995</x:v>
      </x:c>
      <x:c r="B638" s="113" t="str">
        <x:v>08:00-08:20</x:v>
      </x:c>
      <x:c r="C638" s="114" t="n">
        <x:v>78.3209503354185</x:v>
      </x:c>
    </x:row>
    <x:row r="639">
      <x:c r="A639" s="112"/>
      <x:c r="B639" s="113" t="str">
        <x:v>09:20-10:50</x:v>
      </x:c>
      <x:c r="C639" s="114" t="n">
        <x:v>2887.2401595906617</x:v>
      </x:c>
    </x:row>
    <x:row r="640">
      <x:c r="A640" s="112"/>
      <x:c r="B640" s="113" t="str">
        <x:v>20:20-20:50</x:v>
      </x:c>
      <x:c r="C640" s="114" t="n">
        <x:v>1158.295381708326</x:v>
      </x:c>
    </x:row>
    <x:row r="641">
      <x:c r="A641" s="112" t="n">
        <x:v>45996</x:v>
      </x:c>
      <x:c r="B641" s="113" t="str">
        <x:v>07:40-09:30</x:v>
      </x:c>
      <x:c r="C641" s="114" t="n">
        <x:v>2337.2560573754204</x:v>
      </x:c>
    </x:row>
    <x:row r="642">
      <x:c r="A642" s="112"/>
      <x:c r="B642" s="113" t="str">
        <x:v>19:30-20:50</x:v>
      </x:c>
      <x:c r="C642" s="114" t="n">
        <x:v>3331.731852860845</x:v>
      </x:c>
    </x:row>
    <x:row r="643">
      <x:c r="A643" s="112"/>
      <x:c r="B643" s="113" t="str">
        <x:v>21:40-21:50</x:v>
      </x:c>
      <x:c r="C643" s="114" t="n">
        <x:v>19.16232741341131</x:v>
      </x:c>
    </x:row>
    <x:row r="644">
      <x:c r="A644" s="112" t="n">
        <x:v>45997</x:v>
      </x:c>
      <x:c r="B644" s="113" t="str">
        <x:v>08:50-09:50</x:v>
      </x:c>
      <x:c r="C644" s="114" t="n">
        <x:v>648.3820897539019</x:v>
      </x:c>
    </x:row>
    <x:row r="645">
      <x:c r="A645" s="112"/>
      <x:c r="B645" s="113" t="str">
        <x:v>19:30-21:30</x:v>
      </x:c>
      <x:c r="C645" s="114" t="n">
        <x:v>3485.692530341575</x:v>
      </x:c>
    </x:row>
    <x:row r="646">
      <x:c r="A646" s="112" t="n">
        <x:v>45998</x:v>
      </x:c>
      <x:c r="B646" s="113" t="str">
        <x:v>07:50-08:00</x:v>
      </x:c>
      <x:c r="C646" s="114" t="n">
        <x:v>14.01768592811652</x:v>
      </x:c>
    </x:row>
    <x:row r="647">
      <x:c r="A647" s="112"/>
      <x:c r="B647" s="113" t="str">
        <x:v>09:40-10:50</x:v>
      </x:c>
      <x:c r="C647" s="114" t="n">
        <x:v>1738.5083092781263</x:v>
      </x:c>
    </x:row>
    <x:row r="648">
      <x:c r="A648" s="112"/>
      <x:c r="B648" s="113" t="str">
        <x:v>20:10-21:00</x:v>
      </x:c>
      <x:c r="C648" s="114" t="n">
        <x:v>1681.142120008019</x:v>
      </x:c>
    </x:row>
    <x:row r="649">
      <x:c r="A649" s="112" t="n">
        <x:v>45999</x:v>
      </x:c>
      <x:c r="B649" s="113" t="str">
        <x:v>10:30-10:50</x:v>
      </x:c>
      <x:c r="C649" s="114" t="n">
        <x:v>95.4426600606873</x:v>
      </x:c>
    </x:row>
    <x:row r="650">
      <x:c r="A650" s="112"/>
      <x:c r="B650" s="113" t="str">
        <x:v>20:10-20:50</x:v>
      </x:c>
      <x:c r="C650" s="114" t="n">
        <x:v>1738.0684677596894</x:v>
      </x:c>
    </x:row>
    <x:row r="651">
      <x:c r="A651" s="112"/>
      <x:c r="B651" s="113" t="str">
        <x:v>21:40-21:50</x:v>
      </x:c>
      <x:c r="C651" s="114" t="n">
        <x:v>3.3392727096355426</x:v>
      </x:c>
    </x:row>
    <x:row r="652">
      <x:c r="A652" s="112" t="n">
        <x:v>46000</x:v>
      </x:c>
      <x:c r="B652" s="113" t="str">
        <x:v>07:50-08:10</x:v>
      </x:c>
      <x:c r="C652" s="114" t="n">
        <x:v>52.48168643265092</x:v>
      </x:c>
    </x:row>
    <x:row r="653">
      <x:c r="A653" s="112"/>
      <x:c r="B653" s="113" t="str">
        <x:v>10:00-10:40</x:v>
      </x:c>
      <x:c r="C653" s="114" t="n">
        <x:v>659.7982398122324</x:v>
      </x:c>
    </x:row>
    <x:row r="654">
      <x:c r="A654" s="112"/>
      <x:c r="B654" s="113" t="str">
        <x:v>20:30-21:30</x:v>
      </x:c>
      <x:c r="C654" s="114" t="n">
        <x:v>917.4643774527705</x:v>
      </x:c>
    </x:row>
    <x:row r="655">
      <x:c r="A655" s="112" t="n">
        <x:v>46001</x:v>
      </x:c>
      <x:c r="B655" s="113" t="str">
        <x:v>10:30-10:50</x:v>
      </x:c>
      <x:c r="C655" s="114" t="n">
        <x:v>537.4590523461653</x:v>
      </x:c>
    </x:row>
    <x:row r="656">
      <x:c r="A656" s="112"/>
      <x:c r="B656" s="113" t="str">
        <x:v>20:30-20:50</x:v>
      </x:c>
      <x:c r="C656" s="114" t="n">
        <x:v>1338.762123841178</x:v>
      </x:c>
    </x:row>
    <x:row r="657">
      <x:c r="A657" s="112"/>
      <x:c r="B657" s="113" t="str">
        <x:v>21:00-21:20</x:v>
      </x:c>
      <x:c r="C657" s="114" t="n">
        <x:v>6.121953181503772</x:v>
      </x:c>
    </x:row>
    <x:row r="658">
      <x:c r="A658" s="112"/>
      <x:c r="B658" s="113" t="str">
        <x:v>21:30-21:40</x:v>
      </x:c>
      <x:c r="C658" s="114" t="n">
        <x:v>4.698413424479031</x:v>
      </x:c>
    </x:row>
    <x:row r="659">
      <x:c r="A659" s="112" t="n">
        <x:v>46002</x:v>
      </x:c>
      <x:c r="B659" s="113" t="str">
        <x:v>20:40-20:50</x:v>
      </x:c>
      <x:c r="C659" s="114" t="n">
        <x:v>38.21010863387244</x:v>
      </x:c>
    </x:row>
    <x:row r="660">
      <x:c r="A660" s="112"/>
      <x:c r="B660" s="113" t="str">
        <x:v>21:30-21:50</x:v>
      </x:c>
      <x:c r="C660" s="114" t="n">
        <x:v>28.57549231119781</x:v>
      </x:c>
    </x:row>
    <x:row r="661">
      <x:c r="A661" s="112" t="n">
        <x:v>46003</x:v>
      </x:c>
      <x:c r="B661" s="113" t="str">
        <x:v>08:50-09:50</x:v>
      </x:c>
      <x:c r="C661" s="114" t="n">
        <x:v>449.671975613931</x:v>
      </x:c>
    </x:row>
    <x:row r="662">
      <x:c r="A662" s="112"/>
      <x:c r="B662" s="113" t="str">
        <x:v>19:30-21:20</x:v>
      </x:c>
      <x:c r="C662" s="114" t="n">
        <x:v>3347.1693055736423</x:v>
      </x:c>
    </x:row>
    <x:row r="663">
      <x:c r="A663" s="112" t="n">
        <x:v>46004</x:v>
      </x:c>
      <x:c r="B663" s="113" t="str">
        <x:v>09:00-09:50</x:v>
      </x:c>
      <x:c r="C663" s="114" t="n">
        <x:v>323.7730310410195</x:v>
      </x:c>
    </x:row>
    <x:row r="664">
      <x:c r="A664" s="112"/>
      <x:c r="B664" s="113" t="str">
        <x:v>20:00-21:00</x:v>
      </x:c>
      <x:c r="C664" s="114" t="n">
        <x:v>2061.4176308538013</x:v>
      </x:c>
    </x:row>
    <x:row r="665">
      <x:c r="A665" s="112"/>
      <x:c r="B665" s="113" t="str">
        <x:v>21:30-21:50</x:v>
      </x:c>
      <x:c r="C665" s="114" t="n">
        <x:v>56.96461791015598</x:v>
      </x:c>
    </x:row>
    <x:row r="666">
      <x:c r="A666" s="112" t="n">
        <x:v>46005</x:v>
      </x:c>
      <x:c r="B666" s="113" t="str">
        <x:v>10:10-10:50</x:v>
      </x:c>
      <x:c r="C666" s="114" t="n">
        <x:v>886.1066658662365</x:v>
      </x:c>
    </x:row>
    <x:row r="667">
      <x:c r="A667" s="112"/>
      <x:c r="B667" s="113" t="str">
        <x:v>20:30-22:00</x:v>
      </x:c>
      <x:c r="C667" s="114" t="n">
        <x:v>978.5620829204983</x:v>
      </x:c>
    </x:row>
    <x:row r="668">
      <x:c r="A668" s="112" t="n">
        <x:v>46006</x:v>
      </x:c>
      <x:c r="B668" s="113" t="str">
        <x:v>10:10-10:50</x:v>
      </x:c>
      <x:c r="C668" s="114" t="n">
        <x:v>1135.3377904521376</x:v>
      </x:c>
    </x:row>
    <x:row r="669">
      <x:c r="A669" s="112"/>
      <x:c r="B669" s="113" t="str">
        <x:v>20:40-20:50</x:v>
      </x:c>
      <x:c r="C669" s="114" t="n">
        <x:v>608.2815437894326</x:v>
      </x:c>
    </x:row>
    <x:row r="670">
      <x:c r="A670" s="112" t="n">
        <x:v>46007</x:v>
      </x:c>
      <x:c r="B670" s="113" t="str">
        <x:v>10:10-10:50</x:v>
      </x:c>
      <x:c r="C670" s="114" t="n">
        <x:v>909.2719611724455</x:v>
      </x:c>
    </x:row>
    <x:row r="671">
      <x:c r="A671" s="112"/>
      <x:c r="B671" s="113" t="str">
        <x:v>20:40-21:10</x:v>
      </x:c>
      <x:c r="C671" s="114" t="n">
        <x:v>391.05857735845154</x:v>
      </x:c>
    </x:row>
    <x:row r="672">
      <x:c r="A672" s="112"/>
      <x:c r="B672" s="113" t="str">
        <x:v>21:30-21:50</x:v>
      </x:c>
      <x:c r="C672" s="114" t="n">
        <x:v>35.08557034505202</x:v>
      </x:c>
    </x:row>
    <x:row r="673">
      <x:c r="A673" s="112" t="n">
        <x:v>46008</x:v>
      </x:c>
      <x:c r="B673" s="113" t="str">
        <x:v>20:40-20:50</x:v>
      </x:c>
      <x:c r="C673" s="114" t="n">
        <x:v>81.50833238336497</x:v>
      </x:c>
    </x:row>
    <x:row r="674">
      <x:c r="A674" s="112"/>
      <x:c r="B674" s="113" t="str">
        <x:v>21:20-21:40</x:v>
      </x:c>
      <x:c r="C674" s="114" t="n">
        <x:v>47.09639195833322</x:v>
      </x:c>
    </x:row>
    <x:row r="675">
      <x:c r="A675" s="112" t="n">
        <x:v>46009</x:v>
      </x:c>
      <x:c r="B675" s="113" t="str">
        <x:v>10:10-10:50</x:v>
      </x:c>
      <x:c r="C675" s="114" t="n">
        <x:v>986.7423886426933</x:v>
      </x:c>
    </x:row>
    <x:row r="676">
      <x:c r="A676" s="112"/>
      <x:c r="B676" s="113" t="str">
        <x:v>21:00-21:10</x:v>
      </x:c>
      <x:c r="C676" s="114" t="n">
        <x:v>8.895558179447198</x:v>
      </x:c>
    </x:row>
    <x:row r="677">
      <x:c r="A677" s="112" t="n">
        <x:v>46010</x:v>
      </x:c>
      <x:c r="B677" s="113" t="str">
        <x:v>09:00-09:30</x:v>
      </x:c>
      <x:c r="C677" s="114" t="n">
        <x:v>105.40546008658896</x:v>
      </x:c>
    </x:row>
    <x:row r="678">
      <x:c r="A678" s="112"/>
      <x:c r="B678" s="113" t="str">
        <x:v>20:20-20:50</x:v>
      </x:c>
      <x:c r="C678" s="114" t="n">
        <x:v>1016.0024359698136</x:v>
      </x:c>
    </x:row>
    <x:row r="679">
      <x:c r="A679" s="112"/>
      <x:c r="B679" s="113" t="str">
        <x:v>21:10-21:40</x:v>
      </x:c>
      <x:c r="C679" s="114" t="n">
        <x:v>52.51028722981763</x:v>
      </x:c>
    </x:row>
    <x:row r="680">
      <x:c r="A680" s="112" t="n">
        <x:v>46011</x:v>
      </x:c>
      <x:c r="B680" s="113" t="str">
        <x:v>08:50-09:40</x:v>
      </x:c>
      <x:c r="C680" s="114" t="n">
        <x:v>596.0649892936151</x:v>
      </x:c>
    </x:row>
    <x:row r="681">
      <x:c r="A681" s="112"/>
      <x:c r="B681" s="113" t="str">
        <x:v>20:40-21:10</x:v>
      </x:c>
      <x:c r="C681" s="114" t="n">
        <x:v>168.04807009175482</x:v>
      </x:c>
    </x:row>
    <x:row r="682">
      <x:c r="A682" s="112"/>
      <x:c r="B682" s="113" t="str">
        <x:v>21:30-22:00</x:v>
      </x:c>
      <x:c r="C682" s="114" t="n">
        <x:v>60.06860427473951</x:v>
      </x:c>
    </x:row>
    <x:row r="683">
      <x:c r="A683" s="112" t="n">
        <x:v>46012</x:v>
      </x:c>
      <x:c r="B683" s="113" t="str">
        <x:v>10:30-10:50</x:v>
      </x:c>
      <x:c r="C683" s="114" t="n">
        <x:v>481.08963774919033</x:v>
      </x:c>
    </x:row>
    <x:row r="684">
      <x:c r="A684" s="112"/>
      <x:c r="B684" s="113" t="str">
        <x:v>20:30-20:50</x:v>
      </x:c>
      <x:c r="C684" s="114" t="n">
        <x:v>912.311310660919</x:v>
      </x:c>
    </x:row>
    <x:row r="685">
      <x:c r="A685" s="112" t="n">
        <x:v>46013</x:v>
      </x:c>
      <x:c r="B685" s="113" t="str">
        <x:v>10:10-10:50</x:v>
      </x:c>
      <x:c r="C685" s="114" t="n">
        <x:v>781.0880603366435</x:v>
      </x:c>
    </x:row>
    <x:row r="686">
      <x:c r="A686" s="112"/>
      <x:c r="B686" s="113" t="str">
        <x:v>20:40-21:50</x:v>
      </x:c>
      <x:c r="C686" s="114" t="n">
        <x:v>718.7671069927108</x:v>
      </x:c>
    </x:row>
    <x:row r="687">
      <x:c r="A687" s="112" t="n">
        <x:v>46014</x:v>
      </x:c>
      <x:c r="B687" s="113" t="str">
        <x:v>20:40-20:50</x:v>
      </x:c>
      <x:c r="C687" s="114" t="n">
        <x:v>55.624187648277484</x:v>
      </x:c>
    </x:row>
    <x:row r="688">
      <x:c r="A688" s="112"/>
      <x:c r="B688" s="113" t="str">
        <x:v>21:40-21:50</x:v>
      </x:c>
      <x:c r="C688" s="114" t="n">
        <x:v>10.274265561197852</x:v>
      </x:c>
    </x:row>
    <x:row r="689">
      <x:c r="A689" s="112" t="n">
        <x:v>46015</x:v>
      </x:c>
      <x:c r="B689" s="113" t="str">
        <x:v>10:30-10:50</x:v>
      </x:c>
      <x:c r="C689" s="114" t="n">
        <x:v>367.52119381413627</x:v>
      </x:c>
    </x:row>
    <x:row r="690">
      <x:c r="A690" s="112"/>
      <x:c r="B690" s="113" t="str">
        <x:v>20:30-20:50</x:v>
      </x:c>
      <x:c r="C690" s="114" t="n">
        <x:v>680.0098350578622</x:v>
      </x:c>
    </x:row>
    <x:row r="691">
      <x:c r="A691" s="112" t="n">
        <x:v>46016</x:v>
      </x:c>
      <x:c r="B691" s="113" t="str">
        <x:v>20:40-21:00</x:v>
      </x:c>
      <x:c r="C691" s="114" t="n">
        <x:v>531.5226740160783</x:v>
      </x:c>
    </x:row>
    <x:row r="692">
      <x:c r="A692" s="112"/>
      <x:c r="B692" s="113" t="str">
        <x:v>21:30-21:40</x:v>
      </x:c>
      <x:c r="C692" s="114" t="n">
        <x:v>8.571750882812148</x:v>
      </x:c>
    </x:row>
    <x:row r="693">
      <x:c r="A693" s="112" t="n">
        <x:v>46017</x:v>
      </x:c>
      <x:c r="B693" s="113" t="str">
        <x:v>08:50-09:30</x:v>
      </x:c>
      <x:c r="C693" s="114" t="n">
        <x:v>431.5132420429678</x:v>
      </x:c>
    </x:row>
    <x:row r="694">
      <x:c r="A694" s="112"/>
      <x:c r="B694" s="113" t="str">
        <x:v>20:20-20:50</x:v>
      </x:c>
      <x:c r="C694" s="114" t="n">
        <x:v>1325.5516266885506</x:v>
      </x:c>
    </x:row>
    <x:row r="695">
      <x:c r="A695" s="112"/>
      <x:c r="B695" s="113" t="str">
        <x:v>21:00-21:40</x:v>
      </x:c>
      <x:c r="C695" s="114" t="n">
        <x:v>27.7921744140624</x:v>
      </x:c>
    </x:row>
    <x:row r="696">
      <x:c r="A696" s="112" t="n">
        <x:v>46018</x:v>
      </x:c>
      <x:c r="B696" s="113" t="str">
        <x:v>20:20-20:50</x:v>
      </x:c>
      <x:c r="C696" s="114" t="n">
        <x:v>1334.6439608288833</x:v>
      </x:c>
    </x:row>
    <x:row r="697">
      <x:c r="A697" s="112" t="n">
        <x:v>46019</x:v>
      </x:c>
      <x:c r="B697" s="113" t="str">
        <x:v>08:00-08:10</x:v>
      </x:c>
      <x:c r="C697" s="114" t="n">
        <x:v>21.978239729067695</x:v>
      </x:c>
    </x:row>
    <x:row r="698">
      <x:c r="A698" s="112"/>
      <x:c r="B698" s="113" t="str">
        <x:v>10:30-10:50</x:v>
      </x:c>
      <x:c r="C698" s="114" t="n">
        <x:v>341.3310741802747</x:v>
      </x:c>
    </x:row>
    <x:row r="699">
      <x:c r="A699" s="112"/>
      <x:c r="B699" s="113" t="str">
        <x:v>20:40-21:40</x:v>
      </x:c>
      <x:c r="C699" s="114" t="n">
        <x:v>142.43734553514003</x:v>
      </x:c>
    </x:row>
    <x:row r="700">
      <x:c r="A700" s="112" t="n">
        <x:v>46020</x:v>
      </x:c>
      <x:c r="B700" s="113" t="str">
        <x:v>20:40-21:00</x:v>
      </x:c>
      <x:c r="C700" s="114" t="n">
        <x:v>430.99639473008256</x:v>
      </x:c>
    </x:row>
    <x:row r="701">
      <x:c r="A701" s="112"/>
      <x:c r="B701" s="113" t="str">
        <x:v>21:20-22:00</x:v>
      </x:c>
      <x:c r="C701" s="114" t="n">
        <x:v>48.95124668359383</x:v>
      </x:c>
    </x:row>
    <x:row r="702">
      <x:c r="A702" s="112" t="n">
        <x:v>46021</x:v>
      </x:c>
      <x:c r="B702" s="113" t="str">
        <x:v>10:20-10:50</x:v>
      </x:c>
      <x:c r="C702" s="114" t="n">
        <x:v>746.5296253705474</x:v>
      </x:c>
    </x:row>
    <x:row r="703">
      <x:c r="A703" s="112" t="n">
        <x:v>46022</x:v>
      </x:c>
      <x:c r="B703" s="113" t="str">
        <x:v>10:20-10:50</x:v>
      </x:c>
      <x:c r="C703" s="114" t="n">
        <x:v>810.7061050127663</x:v>
      </x:c>
    </x:row>
    <x:row r="704">
      <x:c r="A704" s="112"/>
      <x:c r="B704" s="113" t="str">
        <x:v>20:30-21:30</x:v>
      </x:c>
      <x:c r="C704" s="114" t="n">
        <x:v>959.2425363760428</x:v>
      </x:c>
    </x:row>
    <x:row r="705">
      <x:c r="A705" s="112"/>
      <x:c r="B705" s="113" t="str">
        <x:v>21:50-22:00</x:v>
      </x:c>
      <x:c r="C705" s="114" t="n">
        <x:v>11.349936382812597</x:v>
      </x:c>
    </x:row>
  </x:sheetData>
  <x:pageMargins left="0.7" right="0.7" top="0.75" bottom="0.75" header="0.3" footer="0.3"/>
</x:worksheet>
</file>